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Assumptions" sheetId="3" state="visible" r:id="rId5"/>
    <sheet name="Budget_vs_Actual" sheetId="4" state="visible" r:id="rId6"/>
    <sheet name="Store_BvA" sheetId="5" state="visible" r:id="rId7"/>
    <sheet name="Dept_BvA" sheetId="6" state="visible" r:id="rId8"/>
    <sheet name="Excel_Forecast" sheetId="7" state="visible" r:id="rId9"/>
    <sheet name="Holidays" sheetId="8" state="visible" r:id="rId10"/>
    <sheet name="Monthly_Data" sheetId="9" state="visible" r:id="rId11"/>
    <sheet name="Dept_Data" sheetId="10" state="visible" r:id="rId12"/>
    <sheet name="Forecast_Data" sheetId="11" state="visible" r:id="rId13"/>
    <sheet name="Weekly_Total" sheetId="12" state="visible" r:id="rId14"/>
    <sheet name="Cleaning_Log" sheetId="13" state="visible" r:id="rId15"/>
  </sheets>
  <definedNames>
    <definedName function="false" hidden="true" localSheetId="5" name="_xlnm._FilterDatabase" vbProcedure="false">Dept_BvA!$A$4:$I$85</definedName>
    <definedName function="false" hidden="true" localSheetId="4" name="_xlnm._FilterDatabase" vbProcedure="false">Store_BvA!$A$4:$R$49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<sst xmlns="http://schemas.openxmlformats.org/spreadsheetml/2006/main" count="9345" uniqueCount="234">
  <si>
    <t xml:space="preserve">Monthly Revenue Forecasting &amp; Budget Variance - Excel workbook</t>
  </si>
  <si>
    <t xml:space="preserve">Real Walmart weekly sales (45 stores, Feb 2010 - Oct 2012), allocated to months in SQL. Budget = assumption.</t>
  </si>
  <si>
    <t xml:space="preserve">Sheet</t>
  </si>
  <si>
    <t xml:space="preserve">What it does</t>
  </si>
  <si>
    <t xml:space="preserve">Dashboard</t>
  </si>
  <si>
    <t xml:space="preserve">Headline KPIs, key findings and two charts.</t>
  </si>
  <si>
    <t xml:space="preserve">Assumptions</t>
  </si>
  <si>
    <t xml:space="preserve">EDIT HERE: growth targets by store type and the trading-day option. Everything else recalculates.</t>
  </si>
  <si>
    <t xml:space="preserve">Budget_vs_Actual</t>
  </si>
  <si>
    <t xml:space="preserve">FY2013 by month: last-year actual, budget, actual, variance, status, forecast and latest estimate.</t>
  </si>
  <si>
    <t xml:space="preserve">Store_BvA</t>
  </si>
  <si>
    <t xml:space="preserve">Every store: YTD budget vs actual, rank, revenue per sq ft, full-year latest estimate; summary by store type.</t>
  </si>
  <si>
    <t xml:space="preserve">Dept_BvA</t>
  </si>
  <si>
    <t xml:space="preserve">81 departments: YTD budget vs actual and which departments move the total most.</t>
  </si>
  <si>
    <t xml:space="preserve">Excel_Forecast</t>
  </si>
  <si>
    <t xml:space="preserve">Seasonal index x trend forecast built with FORECAST/INDEX formulas; backtest MAPE vs budget and Python.</t>
  </si>
  <si>
    <t xml:space="preserve">Holidays</t>
  </si>
  <si>
    <t xml:space="preserve">Holiday vs normal weeks and the five biggest weeks (LARGE + INDEX/MATCH).</t>
  </si>
  <si>
    <t xml:space="preserve">Monthly_Data</t>
  </si>
  <si>
    <t xml:space="preserve">Store x month revenue (Feb 2010 - Sep 2012), from the SQL view vw_monthly_store.</t>
  </si>
  <si>
    <t xml:space="preserve">Dept_Data</t>
  </si>
  <si>
    <t xml:space="preserve">Department x store type x month revenue.</t>
  </si>
  <si>
    <t xml:space="preserve">Forecast_Data</t>
  </si>
  <si>
    <t xml:space="preserve">Forecasts written by the Python notebook (backtest and Oct 2012 - Jan 2013).</t>
  </si>
  <si>
    <t xml:space="preserve">Weekly_Total</t>
  </si>
  <si>
    <t xml:space="preserve">Company total sales per week with Walmart's holiday flag.</t>
  </si>
  <si>
    <t xml:space="preserve">Cleaning_Log</t>
  </si>
  <si>
    <t xml:space="preserve">Data checks and cleaning applied to the original files.</t>
  </si>
  <si>
    <t xml:space="preserve">Formulas used</t>
  </si>
  <si>
    <t xml:space="preserve">SUMIFS, COUNTIFS, AVERAGEIF, INDEX/MATCH, RANK, LARGE, FORECAST, EOMONTH, EDATE, SUMPRODUCT, IF/IFERROR.</t>
  </si>
  <si>
    <t xml:space="preserve">Colour key</t>
  </si>
  <si>
    <t xml:space="preserve">Yellow + blue text = inputs. Green fill = favourable variance, orange fill = unfavourable.</t>
  </si>
  <si>
    <t xml:space="preserve">Sign convention</t>
  </si>
  <si>
    <t xml:space="preserve">Variance = actual - budget. Positive = favourable (revenue above budget).</t>
  </si>
  <si>
    <t xml:space="preserve">Walmart FY2013 Revenue: Budget vs Actual &amp; Forecast</t>
  </si>
  <si>
    <t xml:space="preserve">Real Walmart sales, 45 stores | FY2013 = Feb 2012 - Jan 2013 | budget = assumption (see Assumptions sheet)</t>
  </si>
  <si>
    <t xml:space="preserve">FY2012 revenue (last full year)</t>
  </si>
  <si>
    <t xml:space="preserve">FY2013 YTD actual (Feb-Sep)</t>
  </si>
  <si>
    <t xml:space="preserve">YTD growth vs last year</t>
  </si>
  <si>
    <t xml:space="preserve">FY2013 YTD budget</t>
  </si>
  <si>
    <t xml:space="preserve">YTD variance vs budget</t>
  </si>
  <si>
    <t xml:space="preserve">YTD variance %</t>
  </si>
  <si>
    <t xml:space="preserve">Full-year budget</t>
  </si>
  <si>
    <t xml:space="preserve">Latest estimate (actual + forecast)</t>
  </si>
  <si>
    <t xml:space="preserve">Latest estimate vs budget</t>
  </si>
  <si>
    <t xml:space="preserve">Stores on / above budget (YTD)</t>
  </si>
  <si>
    <t xml:space="preserve">Leap-day sales in Feb 2012</t>
  </si>
  <si>
    <t xml:space="preserve">Best backtest MAPE (Holt-Winters)</t>
  </si>
  <si>
    <t xml:space="preserve">Key findings</t>
  </si>
  <si>
    <t xml:space="preserve">1. YTD revenue is slightly ahead of budget, but most of February's beat is the extra leap day (switch the trading-day option on the Assumptions sheet to see it).</t>
  </si>
  <si>
    <t xml:space="preserve">2. Momentum slowed: Feb-May beat budget, Jun-Aug fell behind.</t>
  </si>
  <si>
    <t xml:space="preserve">3. Type A stores (3% target) are just behind budget; Types B and C beat lower targets.</t>
  </si>
  <si>
    <t xml:space="preserve">4. Store 14 alone is about $7.7M behind - almost as much as the company's whole YTD lead.</t>
  </si>
  <si>
    <t xml:space="preserve">5. The forecast puts the full year within about 1% of budget; October and November carry the most risk.</t>
  </si>
  <si>
    <t xml:space="preserve">Sheets: Assumptions (change growth targets) | Budget_vs_Actual | Store_BvA | Dept_BvA | Excel_Forecast | Holidays | data sheets | Cleaning_Log</t>
  </si>
  <si>
    <t xml:space="preserve">Budget Assumptions</t>
  </si>
  <si>
    <t xml:space="preserve">Change the yellow cells - every budget and variance in the workbook updates.</t>
  </si>
  <si>
    <t xml:space="preserve">Store type</t>
  </si>
  <si>
    <t xml:space="preserve">FY2013 growth target</t>
  </si>
  <si>
    <t xml:space="preserve">Rationale</t>
  </si>
  <si>
    <t xml:space="preserve">A</t>
  </si>
  <si>
    <t xml:space="preserve">Large supercenters - main growth driver</t>
  </si>
  <si>
    <t xml:space="preserve">B</t>
  </si>
  <si>
    <t xml:space="preserve">Mid-size stores - modest growth</t>
  </si>
  <si>
    <t xml:space="preserve">C</t>
  </si>
  <si>
    <t xml:space="preserve">Small stores - low growth</t>
  </si>
  <si>
    <t xml:space="preserve">Adjust budget for trading days?</t>
  </si>
  <si>
    <t xml:space="preserve">No</t>
  </si>
  <si>
    <t xml:space="preserve">No  = budget is last year x (1 + growth) - the method used in SQL and Python.</t>
  </si>
  <si>
    <t xml:space="preserve">Yes = also scales each month by its number of days (fixes the Feb 2012 leap day: 29 vs 28 days).</t>
  </si>
  <si>
    <t xml:space="preserve">Budget method</t>
  </si>
  <si>
    <t xml:space="preserve">FY2013 budget (Feb 2012 - Jan 2013) = FY2012 actual for the same store / month x (1 + growth target for the store type).</t>
  </si>
  <si>
    <t xml:space="preserve">These targets are ASSUMPTIONS for the project - Walmart's internal budget is not public. All sales figures are real.</t>
  </si>
  <si>
    <t xml:space="preserve">FY2013 Budget vs Actual, by Month</t>
  </si>
  <si>
    <t xml:space="preserve">Actuals Feb - Sep 2012; Oct 2012 - Jan 2013 use the Python Holt-Winters forecast. Positive variance = favourable.</t>
  </si>
  <si>
    <t xml:space="preserve">Month</t>
  </si>
  <si>
    <t xml:space="preserve">Fiscal month</t>
  </si>
  <si>
    <t xml:space="preserve">LY actual - Type A</t>
  </si>
  <si>
    <t xml:space="preserve">LY actual - Type B</t>
  </si>
  <si>
    <t xml:space="preserve">LY actual - Type C</t>
  </si>
  <si>
    <t xml:space="preserve">Day factor</t>
  </si>
  <si>
    <t xml:space="preserve">Budget</t>
  </si>
  <si>
    <t xml:space="preserve">Actual</t>
  </si>
  <si>
    <t xml:space="preserve">Variance</t>
  </si>
  <si>
    <t xml:space="preserve">Variance %</t>
  </si>
  <si>
    <t xml:space="preserve">Status</t>
  </si>
  <si>
    <t xml:space="preserve">Forecast</t>
  </si>
  <si>
    <t xml:space="preserve">Latest estimate</t>
  </si>
  <si>
    <t xml:space="preserve">LE vs budget</t>
  </si>
  <si>
    <t xml:space="preserve">Cumulative LE vs budget</t>
  </si>
  <si>
    <t xml:space="preserve">Full year</t>
  </si>
  <si>
    <t xml:space="preserve">J17 = full-year latest estimate vs budget</t>
  </si>
  <si>
    <t xml:space="preserve">Year to date (months with actuals)</t>
  </si>
  <si>
    <t xml:space="preserve">Budget vs Actual by Store</t>
  </si>
  <si>
    <t xml:space="preserve">Year to date = Feb - Sep 2012. Full-year forecast for Oct - Jan uses each store's run-rate (Python).</t>
  </si>
  <si>
    <t xml:space="preserve">Store</t>
  </si>
  <si>
    <t xml:space="preserve">Type</t>
  </si>
  <si>
    <t xml:space="preserve">Size (sq ft)</t>
  </si>
  <si>
    <t xml:space="preserve">LY YTD (Feb-Sep 2011)</t>
  </si>
  <si>
    <t xml:space="preserve">LY Feb 2011</t>
  </si>
  <si>
    <t xml:space="preserve">YTD budget</t>
  </si>
  <si>
    <t xml:space="preserve">YTD actual</t>
  </si>
  <si>
    <t xml:space="preserve">YTD variance</t>
  </si>
  <si>
    <t xml:space="preserve">Rank (1 = best)</t>
  </si>
  <si>
    <t xml:space="preserve">FY2012 revenue</t>
  </si>
  <si>
    <t xml:space="preserve">Revenue / sq ft</t>
  </si>
  <si>
    <t xml:space="preserve">Forecast Oct-Jan</t>
  </si>
  <si>
    <t xml:space="preserve">LE vs budget %</t>
  </si>
  <si>
    <t xml:space="preserve">Total</t>
  </si>
  <si>
    <t xml:space="preserve">Tip: use the filter arrows on row 4 to sort stores by variance %. Store 14 is the largest $ shortfall.</t>
  </si>
  <si>
    <t xml:space="preserve">Summary by store type</t>
  </si>
  <si>
    <t xml:space="preserve">Stores</t>
  </si>
  <si>
    <t xml:space="preserve">Growth target</t>
  </si>
  <si>
    <t xml:space="preserve">Budget vs Actual by Department (YTD)</t>
  </si>
  <si>
    <t xml:space="preserve">Department budgets follow the same rule: LY actual by store type x (1 + growth target).</t>
  </si>
  <si>
    <t xml:space="preserve">Dept</t>
  </si>
  <si>
    <t xml:space="preserve">LY YTD - A</t>
  </si>
  <si>
    <t xml:space="preserve">LY YTD - B</t>
  </si>
  <si>
    <t xml:space="preserve">LY YTD - C</t>
  </si>
  <si>
    <t xml:space="preserve">Abs. variance rank</t>
  </si>
  <si>
    <t xml:space="preserve">helper: |variance|</t>
  </si>
  <si>
    <t xml:space="preserve">Tip: filter or sort column I to see the departments that move the total most.</t>
  </si>
  <si>
    <t xml:space="preserve">Note: budget here does not apply the trading-day factor (department detail is kept simple).</t>
  </si>
  <si>
    <t xml:space="preserve">Forecast in Excel: Seasonal Index x Trend</t>
  </si>
  <si>
    <t xml:space="preserve">Classic FP&amp;A method built only with formulas. Compare its accuracy with the budget and Python's Holt-Winters.</t>
  </si>
  <si>
    <t xml:space="preserve">t</t>
  </si>
  <si>
    <t xml:space="preserve">FY</t>
  </si>
  <si>
    <t xml:space="preserve">Revenue</t>
  </si>
  <si>
    <t xml:space="preserve">Days</t>
  </si>
  <si>
    <t xml:space="preserve">Revenue / day</t>
  </si>
  <si>
    <t xml:space="preserve">Seasonal index</t>
  </si>
  <si>
    <t xml:space="preserve">Deseasonalised / day</t>
  </si>
  <si>
    <t xml:space="preserve">Trend (train to Jan 2012)</t>
  </si>
  <si>
    <t xml:space="preserve">Backtest forecast</t>
  </si>
  <si>
    <t xml:space="preserve">Abs % error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</si>
  <si>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</si>
  <si>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</si>
  <si>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</si>
  <si>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</si>
  <si>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</si>
  <si>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</si>
  <si>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</si>
  <si>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</si>
  <si>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</si>
  <si>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</si>
  <si>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</si>
  <si>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</si>
  <si>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Index = month's revenue/day / that year's average, averaged over FY2011 &amp; FY2012.</t>
  </si>
  <si>
    <t xml:space="preserve">Backtest accuracy, Feb - Sep 2012 (MAPE = average % miss)</t>
  </si>
  <si>
    <t xml:space="preserve">Method</t>
  </si>
  <si>
    <t xml:space="preserve">MAPE</t>
  </si>
  <si>
    <t xml:space="preserve">Excel: seasonal index x trend</t>
  </si>
  <si>
    <t xml:space="preserve">Budget: last year x growth</t>
  </si>
  <si>
    <t xml:space="preserve">Python: Holt-Winters</t>
  </si>
  <si>
    <t xml:space="preserve">Excel forecast for Oct 2012 - Jan 2013 (trend refit on all 32 months)</t>
  </si>
  <si>
    <t xml:space="preserve">Excel forecast</t>
  </si>
  <si>
    <t xml:space="preserve">Python Holt-Winters</t>
  </si>
  <si>
    <t xml:space="preserve">Total Oct - Jan</t>
  </si>
  <si>
    <t xml:space="preserve">Holiday Weeks and Peak Weeks</t>
  </si>
  <si>
    <t xml:space="preserve">Company total weekly sales (Sat - Fri weeks).</t>
  </si>
  <si>
    <t xml:space="preserve">Week type</t>
  </si>
  <si>
    <t xml:space="preserve">Weeks</t>
  </si>
  <si>
    <t xml:space="preserve">Avg weekly sales</t>
  </si>
  <si>
    <t xml:space="preserve">vs normal week</t>
  </si>
  <si>
    <t xml:space="preserve">Normal week</t>
  </si>
  <si>
    <t xml:space="preserve">Flagged holiday week</t>
  </si>
  <si>
    <t xml:space="preserve">Rank</t>
  </si>
  <si>
    <t xml:space="preserve">Week ending</t>
  </si>
  <si>
    <t xml:space="preserve">Sales</t>
  </si>
  <si>
    <t xml:space="preserve">Holiday flag?</t>
  </si>
  <si>
    <t xml:space="preserve">The two biggest weeks are the weeks BEFORE Christmas, which Walmart's holiday flag does not mark.</t>
  </si>
  <si>
    <t xml:space="preserve">store_id</t>
  </si>
  <si>
    <t xml:space="preserve">store_type</t>
  </si>
  <si>
    <t xml:space="preserve">size_sqft</t>
  </si>
  <si>
    <t xml:space="preserve">month_start</t>
  </si>
  <si>
    <t xml:space="preserve">fiscal_year</t>
  </si>
  <si>
    <t xml:space="preserve">fiscal_month</t>
  </si>
  <si>
    <t xml:space="preserve">revenue</t>
  </si>
  <si>
    <t xml:space="preserve">dept_id</t>
  </si>
  <si>
    <t xml:space="preserve">level</t>
  </si>
  <si>
    <t xml:space="preserve">model</t>
  </si>
  <si>
    <t xml:space="preserve">purpose</t>
  </si>
  <si>
    <t xml:space="preserve">forecast</t>
  </si>
  <si>
    <t xml:space="preserve">lower_80</t>
  </si>
  <si>
    <t xml:space="preserve">upper_80</t>
  </si>
  <si>
    <t xml:space="preserve">Seasonal naive</t>
  </si>
  <si>
    <t xml:space="preserve">Backtest</t>
  </si>
  <si>
    <t xml:space="preserve">Seasonal naive + trend</t>
  </si>
  <si>
    <t xml:space="preserve">Holt-Winters</t>
  </si>
  <si>
    <t xml:space="preserve">SARIMA</t>
  </si>
  <si>
    <t xml:space="preserve">Regression</t>
  </si>
  <si>
    <t xml:space="preserve">Store run-rate</t>
  </si>
  <si>
    <t xml:space="preserve">week_end_date</t>
  </si>
  <si>
    <t xml:space="preserve">sales</t>
  </si>
  <si>
    <t xml:space="preserve">is_holiday</t>
  </si>
  <si>
    <t xml:space="preserve">Data Checks and Cleaning</t>
  </si>
  <si>
    <t xml:space="preserve">From scripts/01_prepare_data.py - the original files in data/source were never modified.</t>
  </si>
  <si>
    <t xml:space="preserve">table</t>
  </si>
  <si>
    <t xml:space="preserve">check</t>
  </si>
  <si>
    <t xml:space="preserve">rows</t>
  </si>
  <si>
    <t xml:space="preserve">action</t>
  </si>
  <si>
    <t xml:space="preserve">stores</t>
  </si>
  <si>
    <t xml:space="preserve">File uses old Mac line endings (\r)</t>
  </si>
  <si>
    <t xml:space="preserve">converted to normal line endings</t>
  </si>
  <si>
    <t xml:space="preserve">Rows loaded</t>
  </si>
  <si>
    <t xml:space="preserve">45 stores, types A/B/C</t>
  </si>
  <si>
    <t xml:space="preserve">weekly_sales</t>
  </si>
  <si>
    <t xml:space="preserve">one row per store x department x week</t>
  </si>
  <si>
    <t xml:space="preserve">Duplicate store-dept-week rows</t>
  </si>
  <si>
    <t xml:space="preserve">none found</t>
  </si>
  <si>
    <t xml:space="preserve">Negative weekly sales (returns exceed sales)</t>
  </si>
  <si>
    <t xml:space="preserve">kept - they are real returns/adjustments; flagged in column is_negative</t>
  </si>
  <si>
    <t xml:space="preserve">Week-ending day check</t>
  </si>
  <si>
    <t xml:space="preserve">all weeks end on Friday (Sat-Fri weeks)</t>
  </si>
  <si>
    <t xml:space="preserve">Store-dept-weeks with no row</t>
  </si>
  <si>
    <t xml:space="preserve">not every store has every department every week; treated as no sales</t>
  </si>
  <si>
    <t xml:space="preserve">store_week_features</t>
  </si>
  <si>
    <t xml:space="preserve">Weeks after last sales week (competition test period)</t>
  </si>
  <si>
    <t xml:space="preserve">removed - no sales to compare against</t>
  </si>
  <si>
    <t xml:space="preserve">Markdown data missing before Nov 2011</t>
  </si>
  <si>
    <t xml:space="preserve">left blank (NULL) - Walmart only provided markdowns from Nov 2011; not set to 0</t>
  </si>
  <si>
    <t xml:space="preserve">Negative markdown values</t>
  </si>
  <si>
    <t xml:space="preserve">kept as provided (small adjustments)</t>
  </si>
  <si>
    <t xml:space="preserve">Holiday flag mismatches vs sales file</t>
  </si>
  <si>
    <t xml:space="preserve">none - flags agree</t>
  </si>
  <si>
    <t xml:space="preserve">departments</t>
  </si>
  <si>
    <t xml:space="preserve">Department names</t>
  </si>
  <si>
    <t xml:space="preserve">Walmart anonymised departments to numbers; labelled 'Dept 01' etc.</t>
  </si>
  <si>
    <t xml:space="preserve">calendar</t>
  </si>
  <si>
    <t xml:space="preserve">Days generated</t>
  </si>
  <si>
    <t xml:space="preserve">Walmart fiscal year: Feb-Jan, FY2013 = Feb 2012 - Jan 2013</t>
  </si>
  <si>
    <t xml:space="preserve">budget_assumptions</t>
  </si>
  <si>
    <t xml:space="preserve">FY2013 growth targets</t>
  </si>
  <si>
    <t xml:space="preserve">ASSUMPTION (not Walmart data): budget = FY2012 actual x (1 + target)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</si>
</sst>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,,\M;&quot;($&quot;#,##0.0,,&quot;M)&quot;;\-"/>
    <numFmt numFmtId="166" formatCode="0.00%;\(0.00%\);\-"/>
    <numFmt numFmtId="167" formatCode="0"/>
    <numFmt numFmtId="168" formatCode="\$#,##0,,\M"/>
    <numFmt numFmtId="169" formatCode="0.0%"/>
    <numFmt numFmtId="170" formatCode="mmm\ yyyy"/>
    <numFmt numFmtId="171" formatCode="\$#,##0;&quot;($&quot;#,##0\);\-"/>
    <numFmt numFmtId="172" formatCode="0.000"/>
    <numFmt numFmtId="173" formatCode="\$#,##0.0,,\M"/>
    <numFmt numFmtId="174" formatCode="#,##0"/>
    <numFmt numFmtId="175" formatCode="0.0%;\(0.0%\);\-"/>
    <numFmt numFmtId="176" formatCode="\$#,##0"/>
    <numFmt numFmtId="177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EF3FA"/>
        <bgColor rgb="FFF9F9F9"/>
      </patternFill>
    </fill>
    <fill>
      <patternFill patternType="solid">
        <fgColor rgb="FFFFF2CC"/>
        <bgColor rgb="FFFCE3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8C2"/>
      </left>
      <right style="thin">
        <color rgb="FFC9C8C2"/>
      </right>
      <top style="thin">
        <color rgb="FFC9C8C2"/>
      </top>
      <bottom style="thin">
        <color rgb="FFC9C8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DDF3EA"/>
        </patternFill>
      </fill>
    </dxf>
    <dxf>
      <fill>
        <patternFill>
          <bgColor rgb="FFFCE3D8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F3EA"/>
          <bgColor rgb="FF000000"/>
        </patternFill>
      </fill>
    </dxf>
    <dxf>
      <fill>
        <patternFill patternType="solid">
          <fgColor rgb="FFFCE3D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8C2"/>
      <rgbColor rgb="FF878787"/>
      <rgbColor rgb="FF9999FF"/>
      <rgbColor rgb="FF993366"/>
      <rgbColor rgb="FFFFF2CC"/>
      <rgbColor rgb="FFDDF3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A"/>
      <rgbColor rgb="FFF9F9F9"/>
      <rgbColor rgb="FFFFFF99"/>
      <rgbColor rgb="FF99CCFF"/>
      <rgbColor rgb="FFFF99CC"/>
      <rgbColor rgb="FFCC99FF"/>
      <rgbColor rgb="FFFCE3D8"/>
      <rgbColor rgb="FF2A78D6"/>
      <rgbColor rgb="FF33CCCC"/>
      <rgbColor rgb="FF99CC00"/>
      <rgbColor rgb="FFFFCC00"/>
      <rgbColor rgb="FFEDA100"/>
      <rgbColor rgb="FFEB6834"/>
      <rgbColor rgb="FF666699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Latest estimate vs budget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Budget_vs_Actual!M4</c:f>
              <c:strCache>
                <c:ptCount val="1"/>
                <c:pt idx="0">
                  <c:v>Latest estimate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Budget_vs_Actual!$A$5:$A$16</c:f>
              <c:strCache>
                <c:ptCount val="12"/>
                <c:pt idx="0">
                  <c:v>Feb 2012</c:v>
                </c:pt>
                <c:pt idx="1">
                  <c:v>Mar 2012</c:v>
                </c:pt>
                <c:pt idx="2">
                  <c:v>Apr 2012</c:v>
                </c:pt>
                <c:pt idx="3">
                  <c:v>May 2012</c:v>
                </c:pt>
                <c:pt idx="4">
                  <c:v>Jun 2012</c:v>
                </c:pt>
                <c:pt idx="5">
                  <c:v>Jul 2012</c:v>
                </c:pt>
                <c:pt idx="6">
                  <c:v>Aug 2012</c:v>
                </c:pt>
                <c:pt idx="7">
                  <c:v>Sep 2012</c:v>
                </c:pt>
                <c:pt idx="8">
                  <c:v>Oct 2012</c:v>
                </c:pt>
                <c:pt idx="9">
                  <c:v>Nov 2012</c:v>
                </c:pt>
                <c:pt idx="10">
                  <c:v>Dec 2012</c:v>
                </c:pt>
                <c:pt idx="11">
                  <c:v>Jan 2013</c:v>
                </c:pt>
              </c:strCache>
            </c:strRef>
          </c:cat>
          <c:val>
            <c:numRef>
              <c:f>Budget_vs_Actual!$M$5:$M$16</c:f>
              <c:numCache>
                <c:formatCode>\$#,##0;"($"#,##0\);\-</c:formatCode>
                <c:ptCount val="12"/>
                <c:pt idx="0">
                  <c:v>199201113.93</c:v>
                </c:pt>
                <c:pt idx="1">
                  <c:v>205680670.61</c:v>
                </c:pt>
                <c:pt idx="2">
                  <c:v>201473802.81</c:v>
                </c:pt>
                <c:pt idx="3">
                  <c:v>209954665.65</c:v>
                </c:pt>
                <c:pt idx="4">
                  <c:v>206547918.22</c:v>
                </c:pt>
                <c:pt idx="5">
                  <c:v>207322391.83</c:v>
                </c:pt>
                <c:pt idx="6">
                  <c:v>209715966.1</c:v>
                </c:pt>
                <c:pt idx="7">
                  <c:v>194236013.1</c:v>
                </c:pt>
                <c:pt idx="8">
                  <c:v>203386860.38</c:v>
                </c:pt>
                <c:pt idx="9">
                  <c:v>226185387.84</c:v>
                </c:pt>
                <c:pt idx="10">
                  <c:v>265190327.77</c:v>
                </c:pt>
                <c:pt idx="11">
                  <c:v>189780874.6</c:v>
                </c:pt>
              </c:numCache>
            </c:numRef>
          </c:val>
        </c:ser>
        <c:gapWidth val="150"/>
        <c:overlap val="0"/>
        <c:axId val="37748000"/>
        <c:axId val="53271409"/>
      </c:barChart>
      <c:lineChart>
        <c:grouping val="standard"/>
        <c:varyColors val="0"/>
        <c:ser>
          <c:idx val="1"/>
          <c:order val="1"/>
          <c:tx>
            <c:strRef>
              <c:f>Budget_vs_Actual!G4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2514e"/>
            </a:solidFill>
            <a:ln w="28080">
              <a:solidFill>
                <a:srgbClr val="52514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Budget_vs_Actual!$A$5:$A$16</c:f>
              <c:strCache>
                <c:ptCount val="12"/>
                <c:pt idx="0">
                  <c:v>Feb 2012</c:v>
                </c:pt>
                <c:pt idx="1">
                  <c:v>Mar 2012</c:v>
                </c:pt>
                <c:pt idx="2">
                  <c:v>Apr 2012</c:v>
                </c:pt>
                <c:pt idx="3">
                  <c:v>May 2012</c:v>
                </c:pt>
                <c:pt idx="4">
                  <c:v>Jun 2012</c:v>
                </c:pt>
                <c:pt idx="5">
                  <c:v>Jul 2012</c:v>
                </c:pt>
                <c:pt idx="6">
                  <c:v>Aug 2012</c:v>
                </c:pt>
                <c:pt idx="7">
                  <c:v>Sep 2012</c:v>
                </c:pt>
                <c:pt idx="8">
                  <c:v>Oct 2012</c:v>
                </c:pt>
                <c:pt idx="9">
                  <c:v>Nov 2012</c:v>
                </c:pt>
                <c:pt idx="10">
                  <c:v>Dec 2012</c:v>
                </c:pt>
                <c:pt idx="11">
                  <c:v>Jan 2013</c:v>
                </c:pt>
              </c:strCache>
            </c:strRef>
          </c:cat>
          <c:val>
            <c:numRef>
              <c:f>Budget_vs_Actual!$G$5:$G$16</c:f>
              <c:numCache>
                <c:formatCode>\$#,##0;"($"#,##0\);\-</c:formatCode>
                <c:ptCount val="12"/>
                <c:pt idx="0">
                  <c:v>191568814.52565</c:v>
                </c:pt>
                <c:pt idx="1">
                  <c:v>201609623.7954</c:v>
                </c:pt>
                <c:pt idx="2">
                  <c:v>201097376.5438</c:v>
                </c:pt>
                <c:pt idx="3">
                  <c:v>208126691.1268</c:v>
                </c:pt>
                <c:pt idx="4">
                  <c:v>207982155.2742</c:v>
                </c:pt>
                <c:pt idx="5">
                  <c:v>208154840.12565</c:v>
                </c:pt>
                <c:pt idx="6">
                  <c:v>212719372.58345</c:v>
                </c:pt>
                <c:pt idx="7">
                  <c:v>193364986.18895</c:v>
                </c:pt>
                <c:pt idx="8">
                  <c:v>209453811.0317</c:v>
                </c:pt>
                <c:pt idx="9">
                  <c:v>230454492.51685</c:v>
                </c:pt>
                <c:pt idx="10">
                  <c:v>265999128.3522</c:v>
                </c:pt>
                <c:pt idx="11">
                  <c:v>193733499.97175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748000"/>
        <c:axId val="53271409"/>
      </c:lineChart>
      <c:catAx>
        <c:axId val="37748000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71409"/>
        <c:crosses val="autoZero"/>
        <c:auto val="1"/>
        <c:lblAlgn val="ctr"/>
        <c:lblOffset val="100"/>
        <c:noMultiLvlLbl val="0"/>
      </c:catAx>
      <c:valAx>
        <c:axId val="53271409"/>
        <c:scaling>
          <c:orientation val="minMax"/>
          <c:min val="15000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480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variance % by store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Store_BvA!G54</c:f>
              <c:strCache>
                <c:ptCount val="1"/>
                <c:pt idx="0">
                  <c:v>Variance %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Store_BvA!$A$55:$A$57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Store_BvA!$G$55:$G$57</c:f>
              <c:numCache>
                <c:formatCode>0.00%;\(0.00%\);\-</c:formatCode>
                <c:ptCount val="3"/>
                <c:pt idx="0">
                  <c:v>-0.00146671806677013</c:v>
                </c:pt>
                <c:pt idx="1">
                  <c:v>0.0151157439963693</c:v>
                </c:pt>
                <c:pt idx="2">
                  <c:v>0.0398518675971034</c:v>
                </c:pt>
              </c:numCache>
            </c:numRef>
          </c:val>
        </c:ser>
        <c:gapWidth val="150"/>
        <c:overlap val="0"/>
        <c:axId val="71561166"/>
        <c:axId val="9237201"/>
      </c:barChart>
      <c:catAx>
        <c:axId val="71561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7201"/>
        <c:crosses val="autoZero"/>
        <c:auto val="1"/>
        <c:lblAlgn val="ctr"/>
        <c:lblOffset val="100"/>
        <c:noMultiLvlLbl val="0"/>
      </c:catAx>
      <c:valAx>
        <c:axId val="92372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611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Latest estimate (actual + forecast)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Budget_vs_Actual!M4</c:f>
              <c:strCache>
                <c:ptCount val="1"/>
                <c:pt idx="0">
                  <c:v>Latest estimate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Budget_vs_Actual!$A$5:$A$16</c:f>
              <c:strCache>
                <c:ptCount val="12"/>
                <c:pt idx="0">
                  <c:v>Feb 2012</c:v>
                </c:pt>
                <c:pt idx="1">
                  <c:v>Mar 2012</c:v>
                </c:pt>
                <c:pt idx="2">
                  <c:v>Apr 2012</c:v>
                </c:pt>
                <c:pt idx="3">
                  <c:v>May 2012</c:v>
                </c:pt>
                <c:pt idx="4">
                  <c:v>Jun 2012</c:v>
                </c:pt>
                <c:pt idx="5">
                  <c:v>Jul 2012</c:v>
                </c:pt>
                <c:pt idx="6">
                  <c:v>Aug 2012</c:v>
                </c:pt>
                <c:pt idx="7">
                  <c:v>Sep 2012</c:v>
                </c:pt>
                <c:pt idx="8">
                  <c:v>Oct 2012</c:v>
                </c:pt>
                <c:pt idx="9">
                  <c:v>Nov 2012</c:v>
                </c:pt>
                <c:pt idx="10">
                  <c:v>Dec 2012</c:v>
                </c:pt>
                <c:pt idx="11">
                  <c:v>Jan 2013</c:v>
                </c:pt>
              </c:strCache>
            </c:strRef>
          </c:cat>
          <c:val>
            <c:numRef>
              <c:f>Budget_vs_Actual!$M$5:$M$16</c:f>
              <c:numCache>
                <c:formatCode>\$#,##0;"($"#,##0\);\-</c:formatCode>
                <c:ptCount val="12"/>
                <c:pt idx="0">
                  <c:v>199201113.93</c:v>
                </c:pt>
                <c:pt idx="1">
                  <c:v>205680670.61</c:v>
                </c:pt>
                <c:pt idx="2">
                  <c:v>201473802.81</c:v>
                </c:pt>
                <c:pt idx="3">
                  <c:v>209954665.65</c:v>
                </c:pt>
                <c:pt idx="4">
                  <c:v>206547918.22</c:v>
                </c:pt>
                <c:pt idx="5">
                  <c:v>207322391.83</c:v>
                </c:pt>
                <c:pt idx="6">
                  <c:v>209715966.1</c:v>
                </c:pt>
                <c:pt idx="7">
                  <c:v>194236013.1</c:v>
                </c:pt>
                <c:pt idx="8">
                  <c:v>203386860.38</c:v>
                </c:pt>
                <c:pt idx="9">
                  <c:v>226185387.84</c:v>
                </c:pt>
                <c:pt idx="10">
                  <c:v>265190327.77</c:v>
                </c:pt>
                <c:pt idx="11">
                  <c:v>189780874.6</c:v>
                </c:pt>
              </c:numCache>
            </c:numRef>
          </c:val>
        </c:ser>
        <c:gapWidth val="150"/>
        <c:overlap val="0"/>
        <c:axId val="89430623"/>
        <c:axId val="24718620"/>
      </c:barChart>
      <c:lineChart>
        <c:grouping val="standard"/>
        <c:varyColors val="0"/>
        <c:ser>
          <c:idx val="1"/>
          <c:order val="1"/>
          <c:tx>
            <c:strRef>
              <c:f>Budget_vs_Actual!G4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2514e"/>
            </a:solidFill>
            <a:ln w="28080">
              <a:solidFill>
                <a:srgbClr val="52514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Budget_vs_Actual!$A$5:$A$16</c:f>
              <c:strCache>
                <c:ptCount val="12"/>
                <c:pt idx="0">
                  <c:v>Feb 2012</c:v>
                </c:pt>
                <c:pt idx="1">
                  <c:v>Mar 2012</c:v>
                </c:pt>
                <c:pt idx="2">
                  <c:v>Apr 2012</c:v>
                </c:pt>
                <c:pt idx="3">
                  <c:v>May 2012</c:v>
                </c:pt>
                <c:pt idx="4">
                  <c:v>Jun 2012</c:v>
                </c:pt>
                <c:pt idx="5">
                  <c:v>Jul 2012</c:v>
                </c:pt>
                <c:pt idx="6">
                  <c:v>Aug 2012</c:v>
                </c:pt>
                <c:pt idx="7">
                  <c:v>Sep 2012</c:v>
                </c:pt>
                <c:pt idx="8">
                  <c:v>Oct 2012</c:v>
                </c:pt>
                <c:pt idx="9">
                  <c:v>Nov 2012</c:v>
                </c:pt>
                <c:pt idx="10">
                  <c:v>Dec 2012</c:v>
                </c:pt>
                <c:pt idx="11">
                  <c:v>Jan 2013</c:v>
                </c:pt>
              </c:strCache>
            </c:strRef>
          </c:cat>
          <c:val>
            <c:numRef>
              <c:f>Budget_vs_Actual!$G$5:$G$16</c:f>
              <c:numCache>
                <c:formatCode>\$#,##0;"($"#,##0\);\-</c:formatCode>
                <c:ptCount val="12"/>
                <c:pt idx="0">
                  <c:v>191568814.52565</c:v>
                </c:pt>
                <c:pt idx="1">
                  <c:v>201609623.7954</c:v>
                </c:pt>
                <c:pt idx="2">
                  <c:v>201097376.5438</c:v>
                </c:pt>
                <c:pt idx="3">
                  <c:v>208126691.1268</c:v>
                </c:pt>
                <c:pt idx="4">
                  <c:v>207982155.2742</c:v>
                </c:pt>
                <c:pt idx="5">
                  <c:v>208154840.12565</c:v>
                </c:pt>
                <c:pt idx="6">
                  <c:v>212719372.58345</c:v>
                </c:pt>
                <c:pt idx="7">
                  <c:v>193364986.18895</c:v>
                </c:pt>
                <c:pt idx="8">
                  <c:v>209453811.0317</c:v>
                </c:pt>
                <c:pt idx="9">
                  <c:v>230454492.51685</c:v>
                </c:pt>
                <c:pt idx="10">
                  <c:v>265999128.3522</c:v>
                </c:pt>
                <c:pt idx="11">
                  <c:v>193733499.97175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430623"/>
        <c:axId val="24718620"/>
      </c:lineChart>
      <c:catAx>
        <c:axId val="89430623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18620"/>
        <c:crosses val="autoZero"/>
        <c:auto val="1"/>
        <c:lblAlgn val="ctr"/>
        <c:lblOffset val="100"/>
        <c:noMultiLvlLbl val="0"/>
      </c:catAx>
      <c:valAx>
        <c:axId val="24718620"/>
        <c:scaling>
          <c:orientation val="minMax"/>
          <c:min val="15000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306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variance vs budget (actual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Budget_vs_Actual!I4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Budget_vs_Actual!$A$5:$A$12</c:f>
              <c:strCache>
                <c:ptCount val="8"/>
                <c:pt idx="0">
                  <c:v>Feb 2012</c:v>
                </c:pt>
                <c:pt idx="1">
                  <c:v>Mar 2012</c:v>
                </c:pt>
                <c:pt idx="2">
                  <c:v>Apr 2012</c:v>
                </c:pt>
                <c:pt idx="3">
                  <c:v>May 2012</c:v>
                </c:pt>
                <c:pt idx="4">
                  <c:v>Jun 2012</c:v>
                </c:pt>
                <c:pt idx="5">
                  <c:v>Jul 2012</c:v>
                </c:pt>
                <c:pt idx="6">
                  <c:v>Aug 2012</c:v>
                </c:pt>
                <c:pt idx="7">
                  <c:v>Sep 2012</c:v>
                </c:pt>
              </c:strCache>
            </c:strRef>
          </c:cat>
          <c:val>
            <c:numRef>
              <c:f>Budget_vs_Actual!$I$5:$I$12</c:f>
              <c:numCache>
                <c:formatCode>\$#,##0;"($"#,##0\);\-</c:formatCode>
                <c:ptCount val="8"/>
                <c:pt idx="0">
                  <c:v>7632299.40435001</c:v>
                </c:pt>
                <c:pt idx="1">
                  <c:v>4071046.81459999</c:v>
                </c:pt>
                <c:pt idx="2">
                  <c:v>376426.266200006</c:v>
                </c:pt>
                <c:pt idx="3">
                  <c:v>1827974.52320001</c:v>
                </c:pt>
                <c:pt idx="4">
                  <c:v>-1434237.05420002</c:v>
                </c:pt>
                <c:pt idx="5">
                  <c:v>-832448.295649976</c:v>
                </c:pt>
                <c:pt idx="6">
                  <c:v>-3003406.48345</c:v>
                </c:pt>
                <c:pt idx="7">
                  <c:v>871026.911049992</c:v>
                </c:pt>
              </c:numCache>
            </c:numRef>
          </c:val>
        </c:ser>
        <c:gapWidth val="150"/>
        <c:overlap val="0"/>
        <c:axId val="33970483"/>
        <c:axId val="86988523"/>
      </c:barChart>
      <c:catAx>
        <c:axId val="33970483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88523"/>
        <c:crosses val="autoZero"/>
        <c:auto val="1"/>
        <c:lblAlgn val="ctr"/>
        <c:lblOffset val="100"/>
        <c:noMultiLvlLbl val="0"/>
      </c:catAx>
      <c:valAx>
        <c:axId val="86988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704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variance % by store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Store_BvA!G54</c:f>
              <c:strCache>
                <c:ptCount val="1"/>
                <c:pt idx="0">
                  <c:v>Variance %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Store_BvA!$A$55:$A$57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Store_BvA!$G$55:$G$57</c:f>
              <c:numCache>
                <c:formatCode>0.00%;\(0.00%\);\-</c:formatCode>
                <c:ptCount val="3"/>
                <c:pt idx="0">
                  <c:v>-0.00146671806677013</c:v>
                </c:pt>
                <c:pt idx="1">
                  <c:v>0.0151157439963693</c:v>
                </c:pt>
                <c:pt idx="2">
                  <c:v>0.0398518675971034</c:v>
                </c:pt>
              </c:numCache>
            </c:numRef>
          </c:val>
        </c:ser>
        <c:gapWidth val="150"/>
        <c:overlap val="0"/>
        <c:axId val="90241480"/>
        <c:axId val="52016749"/>
      </c:barChart>
      <c:catAx>
        <c:axId val="9024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16749"/>
        <c:crosses val="autoZero"/>
        <c:auto val="1"/>
        <c:lblAlgn val="ctr"/>
        <c:lblOffset val="100"/>
        <c:noMultiLvlLbl val="0"/>
      </c:catAx>
      <c:valAx>
        <c:axId val="520167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414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Revenue: actual and Excel seasonal-index backtest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Excel_Forecast!E4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2514e"/>
            </a:solidFill>
            <a:ln w="47520">
              <a:solidFill>
                <a:srgbClr val="52514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Excel_Forecast!$A$5:$A$36</c:f>
              <c:strCache>
                <c:ptCount val="32"/>
                <c:pt idx="0">
                  <c:v>Feb 2010</c:v>
                </c:pt>
                <c:pt idx="1">
                  <c:v>Mar 2010</c:v>
                </c:pt>
                <c:pt idx="2">
                  <c:v>Apr 2010</c:v>
                </c:pt>
                <c:pt idx="3">
                  <c:v>May 2010</c:v>
                </c:pt>
                <c:pt idx="4">
                  <c:v>Jun 2010</c:v>
                </c:pt>
                <c:pt idx="5">
                  <c:v>Jul 2010</c:v>
                </c:pt>
                <c:pt idx="6">
                  <c:v>Aug 2010</c:v>
                </c:pt>
                <c:pt idx="7">
                  <c:v>Sep 2010</c:v>
                </c:pt>
                <c:pt idx="8">
                  <c:v>Oct 2010</c:v>
                </c:pt>
                <c:pt idx="9">
                  <c:v>Nov 2010</c:v>
                </c:pt>
                <c:pt idx="10">
                  <c:v>Dec 2010</c:v>
                </c:pt>
                <c:pt idx="11">
                  <c:v>Jan 2011</c:v>
                </c:pt>
                <c:pt idx="12">
                  <c:v>Feb 2011</c:v>
                </c:pt>
                <c:pt idx="13">
                  <c:v>Mar 2011</c:v>
                </c:pt>
                <c:pt idx="14">
                  <c:v>Apr 2011</c:v>
                </c:pt>
                <c:pt idx="15">
                  <c:v>May 2011</c:v>
                </c:pt>
                <c:pt idx="16">
                  <c:v>Jun 2011</c:v>
                </c:pt>
                <c:pt idx="17">
                  <c:v>Jul 2011</c:v>
                </c:pt>
                <c:pt idx="18">
                  <c:v>Aug 2011</c:v>
                </c:pt>
                <c:pt idx="19">
                  <c:v>Sep 2011</c:v>
                </c:pt>
                <c:pt idx="20">
                  <c:v>Oct 2011</c:v>
                </c:pt>
                <c:pt idx="21">
                  <c:v>Nov 2011</c:v>
                </c:pt>
                <c:pt idx="22">
                  <c:v>Dec 2011</c:v>
                </c:pt>
                <c:pt idx="23">
                  <c:v>Jan 2012</c:v>
                </c:pt>
                <c:pt idx="24">
                  <c:v>Feb 2012</c:v>
                </c:pt>
                <c:pt idx="25">
                  <c:v>Mar 2012</c:v>
                </c:pt>
                <c:pt idx="26">
                  <c:v>Apr 2012</c:v>
                </c:pt>
                <c:pt idx="27">
                  <c:v>May 2012</c:v>
                </c:pt>
                <c:pt idx="28">
                  <c:v>Jun 2012</c:v>
                </c:pt>
                <c:pt idx="29">
                  <c:v>Jul 2012</c:v>
                </c:pt>
                <c:pt idx="30">
                  <c:v>Aug 2012</c:v>
                </c:pt>
                <c:pt idx="31">
                  <c:v>Sep 2012</c:v>
                </c:pt>
              </c:strCache>
            </c:strRef>
          </c:cat>
          <c:val>
            <c:numRef>
              <c:f>Excel_Forecast!$E$5:$E$36</c:f>
              <c:numCache>
                <c:formatCode>\$#,##0;"($"#,##0\);\-</c:formatCode>
                <c:ptCount val="32"/>
                <c:pt idx="0">
                  <c:v>189510334.43</c:v>
                </c:pt>
                <c:pt idx="1">
                  <c:v>204544976.27</c:v>
                </c:pt>
                <c:pt idx="2">
                  <c:v>195395345.72</c:v>
                </c:pt>
                <c:pt idx="3">
                  <c:v>208220309.95</c:v>
                </c:pt>
                <c:pt idx="4">
                  <c:v>205677857.04</c:v>
                </c:pt>
                <c:pt idx="5">
                  <c:v>204525493.91</c:v>
                </c:pt>
                <c:pt idx="6">
                  <c:v>207721829.68</c:v>
                </c:pt>
                <c:pt idx="7">
                  <c:v>186505357.17</c:v>
                </c:pt>
                <c:pt idx="8">
                  <c:v>194036782.44</c:v>
                </c:pt>
                <c:pt idx="9">
                  <c:v>218292248.47</c:v>
                </c:pt>
                <c:pt idx="10">
                  <c:v>260241088.28</c:v>
                </c:pt>
                <c:pt idx="11">
                  <c:v>183483871.6</c:v>
                </c:pt>
                <c:pt idx="12">
                  <c:v>186685967.4</c:v>
                </c:pt>
                <c:pt idx="13">
                  <c:v>196472467.69</c:v>
                </c:pt>
                <c:pt idx="14">
                  <c:v>195970512.43</c:v>
                </c:pt>
                <c:pt idx="15">
                  <c:v>202823303.77</c:v>
                </c:pt>
                <c:pt idx="16">
                  <c:v>202685262.56</c:v>
                </c:pt>
                <c:pt idx="17">
                  <c:v>202848515.5</c:v>
                </c:pt>
                <c:pt idx="18">
                  <c:v>207292501.01</c:v>
                </c:pt>
                <c:pt idx="19">
                  <c:v>188435864.71</c:v>
                </c:pt>
                <c:pt idx="20">
                  <c:v>204113659.56</c:v>
                </c:pt>
                <c:pt idx="21">
                  <c:v>224588947.81</c:v>
                </c:pt>
                <c:pt idx="22">
                  <c:v>259221336.66</c:v>
                </c:pt>
                <c:pt idx="23">
                  <c:v>188806901.61</c:v>
                </c:pt>
                <c:pt idx="24">
                  <c:v>199201113.93</c:v>
                </c:pt>
                <c:pt idx="25">
                  <c:v>205680670.61</c:v>
                </c:pt>
                <c:pt idx="26">
                  <c:v>201473802.81</c:v>
                </c:pt>
                <c:pt idx="27">
                  <c:v>209954665.65</c:v>
                </c:pt>
                <c:pt idx="28">
                  <c:v>206547918.22</c:v>
                </c:pt>
                <c:pt idx="29">
                  <c:v>207322391.83</c:v>
                </c:pt>
                <c:pt idx="30">
                  <c:v>209715966.1</c:v>
                </c:pt>
                <c:pt idx="31">
                  <c:v>194236013.1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Excel_Forecast!K4</c:f>
              <c:strCache>
                <c:ptCount val="1"/>
                <c:pt idx="0">
                  <c:v>Backtest forecast</c:v>
                </c:pt>
              </c:strCache>
            </c:strRef>
          </c:tx>
          <c:spPr>
            <a:solidFill>
              <a:srgbClr val="eb6834"/>
            </a:solidFill>
            <a:ln w="4752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Excel_Forecast!$A$5:$A$36</c:f>
              <c:strCache>
                <c:ptCount val="32"/>
                <c:pt idx="0">
                  <c:v>Feb 2010</c:v>
                </c:pt>
                <c:pt idx="1">
                  <c:v>Mar 2010</c:v>
                </c:pt>
                <c:pt idx="2">
                  <c:v>Apr 2010</c:v>
                </c:pt>
                <c:pt idx="3">
                  <c:v>May 2010</c:v>
                </c:pt>
                <c:pt idx="4">
                  <c:v>Jun 2010</c:v>
                </c:pt>
                <c:pt idx="5">
                  <c:v>Jul 2010</c:v>
                </c:pt>
                <c:pt idx="6">
                  <c:v>Aug 2010</c:v>
                </c:pt>
                <c:pt idx="7">
                  <c:v>Sep 2010</c:v>
                </c:pt>
                <c:pt idx="8">
                  <c:v>Oct 2010</c:v>
                </c:pt>
                <c:pt idx="9">
                  <c:v>Nov 2010</c:v>
                </c:pt>
                <c:pt idx="10">
                  <c:v>Dec 2010</c:v>
                </c:pt>
                <c:pt idx="11">
                  <c:v>Jan 2011</c:v>
                </c:pt>
                <c:pt idx="12">
                  <c:v>Feb 2011</c:v>
                </c:pt>
                <c:pt idx="13">
                  <c:v>Mar 2011</c:v>
                </c:pt>
                <c:pt idx="14">
                  <c:v>Apr 2011</c:v>
                </c:pt>
                <c:pt idx="15">
                  <c:v>May 2011</c:v>
                </c:pt>
                <c:pt idx="16">
                  <c:v>Jun 2011</c:v>
                </c:pt>
                <c:pt idx="17">
                  <c:v>Jul 2011</c:v>
                </c:pt>
                <c:pt idx="18">
                  <c:v>Aug 2011</c:v>
                </c:pt>
                <c:pt idx="19">
                  <c:v>Sep 2011</c:v>
                </c:pt>
                <c:pt idx="20">
                  <c:v>Oct 2011</c:v>
                </c:pt>
                <c:pt idx="21">
                  <c:v>Nov 2011</c:v>
                </c:pt>
                <c:pt idx="22">
                  <c:v>Dec 2011</c:v>
                </c:pt>
                <c:pt idx="23">
                  <c:v>Jan 2012</c:v>
                </c:pt>
                <c:pt idx="24">
                  <c:v>Feb 2012</c:v>
                </c:pt>
                <c:pt idx="25">
                  <c:v>Mar 2012</c:v>
                </c:pt>
                <c:pt idx="26">
                  <c:v>Apr 2012</c:v>
                </c:pt>
                <c:pt idx="27">
                  <c:v>May 2012</c:v>
                </c:pt>
                <c:pt idx="28">
                  <c:v>Jun 2012</c:v>
                </c:pt>
                <c:pt idx="29">
                  <c:v>Jul 2012</c:v>
                </c:pt>
                <c:pt idx="30">
                  <c:v>Aug 2012</c:v>
                </c:pt>
                <c:pt idx="31">
                  <c:v>Sep 2012</c:v>
                </c:pt>
              </c:strCache>
            </c:strRef>
          </c:cat>
          <c:val>
            <c:numRef>
              <c:f>Excel_Forecast!$K$5:$K$36</c:f>
              <c:numCache>
                <c:formatCode>\$#,##0;"($"#,##0\);\-</c:formatCode>
                <c:ptCount val="32"/>
                <c:pt idx="24">
                  <c:v>194949969.534942</c:v>
                </c:pt>
                <c:pt idx="25">
                  <c:v>200658508.06522</c:v>
                </c:pt>
                <c:pt idx="26">
                  <c:v>195838419.935578</c:v>
                </c:pt>
                <c:pt idx="27">
                  <c:v>205697390.382849</c:v>
                </c:pt>
                <c:pt idx="28">
                  <c:v>204366794.883467</c:v>
                </c:pt>
                <c:pt idx="29">
                  <c:v>203882738.580512</c:v>
                </c:pt>
                <c:pt idx="30">
                  <c:v>207717732.001997</c:v>
                </c:pt>
                <c:pt idx="31">
                  <c:v>187670734.452001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78299"/>
        <c:axId val="88141162"/>
      </c:lineChart>
      <c:catAx>
        <c:axId val="9178299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41162"/>
        <c:crosses val="autoZero"/>
        <c:auto val="1"/>
        <c:lblAlgn val="ctr"/>
        <c:lblOffset val="100"/>
        <c:noMultiLvlLbl val="0"/>
      </c:catAx>
      <c:valAx>
        <c:axId val="88141162"/>
        <c:scaling>
          <c:orientation val="minMax"/>
          <c:min val="17000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82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sales, all stores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Weekly_Total!B1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a78d6"/>
            </a:solidFill>
            <a:ln w="475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Weekly_Total!$A$2:$A$144</c:f>
              <c:strCache>
                <c:ptCount val="143"/>
                <c:pt idx="0">
                  <c:v>2010-02-05</c:v>
                </c:pt>
                <c:pt idx="1">
                  <c:v>2010-02-12</c:v>
                </c:pt>
                <c:pt idx="2">
                  <c:v>2010-02-19</c:v>
                </c:pt>
                <c:pt idx="3">
                  <c:v>2010-02-26</c:v>
                </c:pt>
                <c:pt idx="4">
                  <c:v>2010-03-05</c:v>
                </c:pt>
                <c:pt idx="5">
                  <c:v>2010-03-12</c:v>
                </c:pt>
                <c:pt idx="6">
                  <c:v>2010-03-19</c:v>
                </c:pt>
                <c:pt idx="7">
                  <c:v>2010-03-26</c:v>
                </c:pt>
                <c:pt idx="8">
                  <c:v>2010-04-02</c:v>
                </c:pt>
                <c:pt idx="9">
                  <c:v>2010-04-09</c:v>
                </c:pt>
                <c:pt idx="10">
                  <c:v>2010-04-16</c:v>
                </c:pt>
                <c:pt idx="11">
                  <c:v>2010-04-23</c:v>
                </c:pt>
                <c:pt idx="12">
                  <c:v>2010-04-30</c:v>
                </c:pt>
                <c:pt idx="13">
                  <c:v>2010-05-07</c:v>
                </c:pt>
                <c:pt idx="14">
                  <c:v>2010-05-14</c:v>
                </c:pt>
                <c:pt idx="15">
                  <c:v>2010-05-21</c:v>
                </c:pt>
                <c:pt idx="16">
                  <c:v>2010-05-28</c:v>
                </c:pt>
                <c:pt idx="17">
                  <c:v>2010-06-04</c:v>
                </c:pt>
                <c:pt idx="18">
                  <c:v>2010-06-11</c:v>
                </c:pt>
                <c:pt idx="19">
                  <c:v>2010-06-18</c:v>
                </c:pt>
                <c:pt idx="20">
                  <c:v>2010-06-25</c:v>
                </c:pt>
                <c:pt idx="21">
                  <c:v>2010-07-02</c:v>
                </c:pt>
                <c:pt idx="22">
                  <c:v>2010-07-09</c:v>
                </c:pt>
                <c:pt idx="23">
                  <c:v>2010-07-16</c:v>
                </c:pt>
                <c:pt idx="24">
                  <c:v>2010-07-23</c:v>
                </c:pt>
                <c:pt idx="25">
                  <c:v>2010-07-30</c:v>
                </c:pt>
                <c:pt idx="26">
                  <c:v>2010-08-06</c:v>
                </c:pt>
                <c:pt idx="27">
                  <c:v>2010-08-13</c:v>
                </c:pt>
                <c:pt idx="28">
                  <c:v>2010-08-20</c:v>
                </c:pt>
                <c:pt idx="29">
                  <c:v>2010-08-27</c:v>
                </c:pt>
                <c:pt idx="30">
                  <c:v>2010-09-03</c:v>
                </c:pt>
                <c:pt idx="31">
                  <c:v>2010-09-10</c:v>
                </c:pt>
                <c:pt idx="32">
                  <c:v>2010-09-17</c:v>
                </c:pt>
                <c:pt idx="33">
                  <c:v>2010-09-24</c:v>
                </c:pt>
                <c:pt idx="34">
                  <c:v>2010-10-01</c:v>
                </c:pt>
                <c:pt idx="35">
                  <c:v>2010-10-08</c:v>
                </c:pt>
                <c:pt idx="36">
                  <c:v>2010-10-15</c:v>
                </c:pt>
                <c:pt idx="37">
                  <c:v>2010-10-22</c:v>
                </c:pt>
                <c:pt idx="38">
                  <c:v>2010-10-29</c:v>
                </c:pt>
                <c:pt idx="39">
                  <c:v>2010-11-05</c:v>
                </c:pt>
                <c:pt idx="40">
                  <c:v>2010-11-12</c:v>
                </c:pt>
                <c:pt idx="41">
                  <c:v>2010-11-19</c:v>
                </c:pt>
                <c:pt idx="42">
                  <c:v>2010-11-26</c:v>
                </c:pt>
                <c:pt idx="43">
                  <c:v>2010-12-03</c:v>
                </c:pt>
                <c:pt idx="44">
                  <c:v>2010-12-10</c:v>
                </c:pt>
                <c:pt idx="45">
                  <c:v>2010-12-17</c:v>
                </c:pt>
                <c:pt idx="46">
                  <c:v>2010-12-24</c:v>
                </c:pt>
                <c:pt idx="47">
                  <c:v>2010-12-31</c:v>
                </c:pt>
                <c:pt idx="48">
                  <c:v>2011-01-07</c:v>
                </c:pt>
                <c:pt idx="49">
                  <c:v>2011-01-14</c:v>
                </c:pt>
                <c:pt idx="50">
                  <c:v>2011-01-21</c:v>
                </c:pt>
                <c:pt idx="51">
                  <c:v>2011-01-28</c:v>
                </c:pt>
                <c:pt idx="52">
                  <c:v>2011-02-04</c:v>
                </c:pt>
                <c:pt idx="53">
                  <c:v>2011-02-11</c:v>
                </c:pt>
                <c:pt idx="54">
                  <c:v>2011-02-18</c:v>
                </c:pt>
                <c:pt idx="55">
                  <c:v>2011-02-25</c:v>
                </c:pt>
                <c:pt idx="56">
                  <c:v>2011-03-04</c:v>
                </c:pt>
                <c:pt idx="57">
                  <c:v>2011-03-11</c:v>
                </c:pt>
                <c:pt idx="58">
                  <c:v>2011-03-18</c:v>
                </c:pt>
                <c:pt idx="59">
                  <c:v>2011-03-25</c:v>
                </c:pt>
                <c:pt idx="60">
                  <c:v>2011-04-01</c:v>
                </c:pt>
                <c:pt idx="61">
                  <c:v>2011-04-08</c:v>
                </c:pt>
                <c:pt idx="62">
                  <c:v>2011-04-15</c:v>
                </c:pt>
                <c:pt idx="63">
                  <c:v>2011-04-22</c:v>
                </c:pt>
                <c:pt idx="64">
                  <c:v>2011-04-29</c:v>
                </c:pt>
                <c:pt idx="65">
                  <c:v>2011-05-06</c:v>
                </c:pt>
                <c:pt idx="66">
                  <c:v>2011-05-13</c:v>
                </c:pt>
                <c:pt idx="67">
                  <c:v>2011-05-20</c:v>
                </c:pt>
                <c:pt idx="68">
                  <c:v>2011-05-27</c:v>
                </c:pt>
                <c:pt idx="69">
                  <c:v>2011-06-03</c:v>
                </c:pt>
                <c:pt idx="70">
                  <c:v>2011-06-10</c:v>
                </c:pt>
                <c:pt idx="71">
                  <c:v>2011-06-17</c:v>
                </c:pt>
                <c:pt idx="72">
                  <c:v>2011-06-24</c:v>
                </c:pt>
                <c:pt idx="73">
                  <c:v>2011-07-01</c:v>
                </c:pt>
                <c:pt idx="74">
                  <c:v>2011-07-08</c:v>
                </c:pt>
                <c:pt idx="75">
                  <c:v>2011-07-15</c:v>
                </c:pt>
                <c:pt idx="76">
                  <c:v>2011-07-22</c:v>
                </c:pt>
                <c:pt idx="77">
                  <c:v>2011-07-29</c:v>
                </c:pt>
                <c:pt idx="78">
                  <c:v>2011-08-05</c:v>
                </c:pt>
                <c:pt idx="79">
                  <c:v>2011-08-12</c:v>
                </c:pt>
                <c:pt idx="80">
                  <c:v>2011-08-19</c:v>
                </c:pt>
                <c:pt idx="81">
                  <c:v>2011-08-26</c:v>
                </c:pt>
                <c:pt idx="82">
                  <c:v>2011-09-02</c:v>
                </c:pt>
                <c:pt idx="83">
                  <c:v>2011-09-09</c:v>
                </c:pt>
                <c:pt idx="84">
                  <c:v>2011-09-16</c:v>
                </c:pt>
                <c:pt idx="85">
                  <c:v>2011-09-23</c:v>
                </c:pt>
                <c:pt idx="86">
                  <c:v>2011-09-30</c:v>
                </c:pt>
                <c:pt idx="87">
                  <c:v>2011-10-07</c:v>
                </c:pt>
                <c:pt idx="88">
                  <c:v>2011-10-14</c:v>
                </c:pt>
                <c:pt idx="89">
                  <c:v>2011-10-21</c:v>
                </c:pt>
                <c:pt idx="90">
                  <c:v>2011-10-28</c:v>
                </c:pt>
                <c:pt idx="91">
                  <c:v>2011-11-04</c:v>
                </c:pt>
                <c:pt idx="92">
                  <c:v>2011-11-11</c:v>
                </c:pt>
                <c:pt idx="93">
                  <c:v>2011-11-18</c:v>
                </c:pt>
                <c:pt idx="94">
                  <c:v>2011-11-25</c:v>
                </c:pt>
                <c:pt idx="95">
                  <c:v>2011-12-02</c:v>
                </c:pt>
                <c:pt idx="96">
                  <c:v>2011-12-09</c:v>
                </c:pt>
                <c:pt idx="97">
                  <c:v>2011-12-16</c:v>
                </c:pt>
                <c:pt idx="98">
                  <c:v>2011-12-23</c:v>
                </c:pt>
                <c:pt idx="99">
                  <c:v>2011-12-30</c:v>
                </c:pt>
                <c:pt idx="100">
                  <c:v>2012-01-06</c:v>
                </c:pt>
                <c:pt idx="101">
                  <c:v>2012-01-13</c:v>
                </c:pt>
                <c:pt idx="102">
                  <c:v>2012-01-20</c:v>
                </c:pt>
                <c:pt idx="103">
                  <c:v>2012-01-27</c:v>
                </c:pt>
                <c:pt idx="104">
                  <c:v>2012-02-03</c:v>
                </c:pt>
                <c:pt idx="105">
                  <c:v>2012-02-10</c:v>
                </c:pt>
                <c:pt idx="106">
                  <c:v>2012-02-17</c:v>
                </c:pt>
                <c:pt idx="107">
                  <c:v>2012-02-24</c:v>
                </c:pt>
                <c:pt idx="108">
                  <c:v>2012-03-02</c:v>
                </c:pt>
                <c:pt idx="109">
                  <c:v>2012-03-09</c:v>
                </c:pt>
                <c:pt idx="110">
                  <c:v>2012-03-16</c:v>
                </c:pt>
                <c:pt idx="111">
                  <c:v>2012-03-23</c:v>
                </c:pt>
                <c:pt idx="112">
                  <c:v>2012-03-30</c:v>
                </c:pt>
                <c:pt idx="113">
                  <c:v>2012-04-06</c:v>
                </c:pt>
                <c:pt idx="114">
                  <c:v>2012-04-13</c:v>
                </c:pt>
                <c:pt idx="115">
                  <c:v>2012-04-20</c:v>
                </c:pt>
                <c:pt idx="116">
                  <c:v>2012-04-27</c:v>
                </c:pt>
                <c:pt idx="117">
                  <c:v>2012-05-04</c:v>
                </c:pt>
                <c:pt idx="118">
                  <c:v>2012-05-11</c:v>
                </c:pt>
                <c:pt idx="119">
                  <c:v>2012-05-18</c:v>
                </c:pt>
                <c:pt idx="120">
                  <c:v>2012-05-25</c:v>
                </c:pt>
                <c:pt idx="121">
                  <c:v>2012-06-01</c:v>
                </c:pt>
                <c:pt idx="122">
                  <c:v>2012-06-08</c:v>
                </c:pt>
                <c:pt idx="123">
                  <c:v>2012-06-15</c:v>
                </c:pt>
                <c:pt idx="124">
                  <c:v>2012-06-22</c:v>
                </c:pt>
                <c:pt idx="125">
                  <c:v>2012-06-29</c:v>
                </c:pt>
                <c:pt idx="126">
                  <c:v>2012-07-06</c:v>
                </c:pt>
                <c:pt idx="127">
                  <c:v>2012-07-13</c:v>
                </c:pt>
                <c:pt idx="128">
                  <c:v>2012-07-20</c:v>
                </c:pt>
                <c:pt idx="129">
                  <c:v>2012-07-27</c:v>
                </c:pt>
                <c:pt idx="130">
                  <c:v>2012-08-03</c:v>
                </c:pt>
                <c:pt idx="131">
                  <c:v>2012-08-10</c:v>
                </c:pt>
                <c:pt idx="132">
                  <c:v>2012-08-17</c:v>
                </c:pt>
                <c:pt idx="133">
                  <c:v>2012-08-24</c:v>
                </c:pt>
                <c:pt idx="134">
                  <c:v>2012-08-31</c:v>
                </c:pt>
                <c:pt idx="135">
                  <c:v>2012-09-07</c:v>
                </c:pt>
                <c:pt idx="136">
                  <c:v>2012-09-14</c:v>
                </c:pt>
                <c:pt idx="137">
                  <c:v>2012-09-21</c:v>
                </c:pt>
                <c:pt idx="138">
                  <c:v>2012-09-28</c:v>
                </c:pt>
                <c:pt idx="139">
                  <c:v>2012-10-05</c:v>
                </c:pt>
                <c:pt idx="140">
                  <c:v>2012-10-12</c:v>
                </c:pt>
                <c:pt idx="141">
                  <c:v>2012-10-19</c:v>
                </c:pt>
                <c:pt idx="142">
                  <c:v>2012-10-26</c:v>
                </c:pt>
              </c:strCache>
            </c:strRef>
          </c:cat>
          <c:val>
            <c:numRef>
              <c:f>Weekly_Total!$B$2:$B$144</c:f>
              <c:numCache>
                <c:formatCode>\$#,##0;"($"#,##0\);\-</c:formatCode>
                <c:ptCount val="143"/>
                <c:pt idx="0">
                  <c:v>49750740.5</c:v>
                </c:pt>
                <c:pt idx="1">
                  <c:v>48336677.63</c:v>
                </c:pt>
                <c:pt idx="2">
                  <c:v>48276993.78</c:v>
                </c:pt>
                <c:pt idx="3">
                  <c:v>43968571.13</c:v>
                </c:pt>
                <c:pt idx="4">
                  <c:v>46871470.3</c:v>
                </c:pt>
                <c:pt idx="5">
                  <c:v>45925396.51</c:v>
                </c:pt>
                <c:pt idx="6">
                  <c:v>44988974.64</c:v>
                </c:pt>
                <c:pt idx="7">
                  <c:v>44133961.05</c:v>
                </c:pt>
                <c:pt idx="8">
                  <c:v>50423831.26</c:v>
                </c:pt>
                <c:pt idx="9">
                  <c:v>47365290.44</c:v>
                </c:pt>
                <c:pt idx="10">
                  <c:v>45183667.08</c:v>
                </c:pt>
                <c:pt idx="11">
                  <c:v>44734452.56</c:v>
                </c:pt>
                <c:pt idx="12">
                  <c:v>43705126.71</c:v>
                </c:pt>
                <c:pt idx="13">
                  <c:v>48503243.52</c:v>
                </c:pt>
                <c:pt idx="14">
                  <c:v>45330080.2</c:v>
                </c:pt>
                <c:pt idx="15">
                  <c:v>45120108.06</c:v>
                </c:pt>
                <c:pt idx="16">
                  <c:v>47757502.56</c:v>
                </c:pt>
                <c:pt idx="17">
                  <c:v>50188543.12</c:v>
                </c:pt>
                <c:pt idx="18">
                  <c:v>47826546.72</c:v>
                </c:pt>
                <c:pt idx="19">
                  <c:v>47622046.23</c:v>
                </c:pt>
                <c:pt idx="20">
                  <c:v>46609036.29</c:v>
                </c:pt>
                <c:pt idx="21">
                  <c:v>48917484.5</c:v>
                </c:pt>
                <c:pt idx="22">
                  <c:v>47899529.37</c:v>
                </c:pt>
                <c:pt idx="23">
                  <c:v>46243899.58</c:v>
                </c:pt>
                <c:pt idx="24">
                  <c:v>44888849.11</c:v>
                </c:pt>
                <c:pt idx="25">
                  <c:v>44630363.42</c:v>
                </c:pt>
                <c:pt idx="26">
                  <c:v>48204999.12</c:v>
                </c:pt>
                <c:pt idx="27">
                  <c:v>46464418.41</c:v>
                </c:pt>
                <c:pt idx="28">
                  <c:v>47060952.92</c:v>
                </c:pt>
                <c:pt idx="29">
                  <c:v>45909740.44</c:v>
                </c:pt>
                <c:pt idx="30">
                  <c:v>47194257.61</c:v>
                </c:pt>
                <c:pt idx="31">
                  <c:v>45634397.84</c:v>
                </c:pt>
                <c:pt idx="32">
                  <c:v>43080726.51</c:v>
                </c:pt>
                <c:pt idx="33">
                  <c:v>41358514.41</c:v>
                </c:pt>
                <c:pt idx="34">
                  <c:v>42239875.87</c:v>
                </c:pt>
                <c:pt idx="35">
                  <c:v>45102974.23</c:v>
                </c:pt>
                <c:pt idx="36">
                  <c:v>43149473.45</c:v>
                </c:pt>
                <c:pt idx="37">
                  <c:v>43066669.52</c:v>
                </c:pt>
                <c:pt idx="38">
                  <c:v>43602830.95</c:v>
                </c:pt>
                <c:pt idx="39">
                  <c:v>45781981.89</c:v>
                </c:pt>
                <c:pt idx="40">
                  <c:v>46124800.83</c:v>
                </c:pt>
                <c:pt idx="41">
                  <c:v>45125584.18</c:v>
                </c:pt>
                <c:pt idx="42">
                  <c:v>65821003.24</c:v>
                </c:pt>
                <c:pt idx="43">
                  <c:v>49909027.88</c:v>
                </c:pt>
                <c:pt idx="44">
                  <c:v>55666770.39</c:v>
                </c:pt>
                <c:pt idx="45">
                  <c:v>61820799.85</c:v>
                </c:pt>
                <c:pt idx="46">
                  <c:v>80931415.6</c:v>
                </c:pt>
                <c:pt idx="47">
                  <c:v>40432519</c:v>
                </c:pt>
                <c:pt idx="48">
                  <c:v>42775787.77</c:v>
                </c:pt>
                <c:pt idx="49">
                  <c:v>40673678.04</c:v>
                </c:pt>
                <c:pt idx="50">
                  <c:v>40654648.03</c:v>
                </c:pt>
                <c:pt idx="51">
                  <c:v>39599852.99</c:v>
                </c:pt>
                <c:pt idx="52">
                  <c:v>46153111.12</c:v>
                </c:pt>
                <c:pt idx="53">
                  <c:v>47336192.79</c:v>
                </c:pt>
                <c:pt idx="54">
                  <c:v>48716164.12</c:v>
                </c:pt>
                <c:pt idx="55">
                  <c:v>44125859.84</c:v>
                </c:pt>
                <c:pt idx="56">
                  <c:v>46980603.74</c:v>
                </c:pt>
                <c:pt idx="57">
                  <c:v>44627319.4</c:v>
                </c:pt>
                <c:pt idx="58">
                  <c:v>44872325.97</c:v>
                </c:pt>
                <c:pt idx="59">
                  <c:v>42876199.18</c:v>
                </c:pt>
                <c:pt idx="60">
                  <c:v>43458991.19</c:v>
                </c:pt>
                <c:pt idx="61">
                  <c:v>45887466.8</c:v>
                </c:pt>
                <c:pt idx="62">
                  <c:v>44973328.14</c:v>
                </c:pt>
                <c:pt idx="63">
                  <c:v>48676692.06</c:v>
                </c:pt>
                <c:pt idx="64">
                  <c:v>43530032.78</c:v>
                </c:pt>
                <c:pt idx="65">
                  <c:v>46861958.29</c:v>
                </c:pt>
                <c:pt idx="66">
                  <c:v>45446144.82</c:v>
                </c:pt>
                <c:pt idx="67">
                  <c:v>44046598.01</c:v>
                </c:pt>
                <c:pt idx="68">
                  <c:v>45293457.04</c:v>
                </c:pt>
                <c:pt idx="69">
                  <c:v>48771994.18</c:v>
                </c:pt>
                <c:pt idx="70">
                  <c:v>47669734.66</c:v>
                </c:pt>
                <c:pt idx="71">
                  <c:v>47447561.77</c:v>
                </c:pt>
                <c:pt idx="72">
                  <c:v>45884094.58</c:v>
                </c:pt>
                <c:pt idx="73">
                  <c:v>47578519.5</c:v>
                </c:pt>
                <c:pt idx="74">
                  <c:v>47859263.78</c:v>
                </c:pt>
                <c:pt idx="75">
                  <c:v>45515929.92</c:v>
                </c:pt>
                <c:pt idx="76">
                  <c:v>45274411.39</c:v>
                </c:pt>
                <c:pt idx="77">
                  <c:v>43683274.28</c:v>
                </c:pt>
                <c:pt idx="78">
                  <c:v>48015466.97</c:v>
                </c:pt>
                <c:pt idx="79">
                  <c:v>46249569.21</c:v>
                </c:pt>
                <c:pt idx="80">
                  <c:v>46917347.62</c:v>
                </c:pt>
                <c:pt idx="81">
                  <c:v>47416948.45</c:v>
                </c:pt>
                <c:pt idx="82">
                  <c:v>45376623.27</c:v>
                </c:pt>
                <c:pt idx="83">
                  <c:v>46763227.53</c:v>
                </c:pt>
                <c:pt idx="84">
                  <c:v>43793960.08</c:v>
                </c:pt>
                <c:pt idx="85">
                  <c:v>42718096.73</c:v>
                </c:pt>
                <c:pt idx="86">
                  <c:v>42195830.81</c:v>
                </c:pt>
                <c:pt idx="87">
                  <c:v>47211688.36</c:v>
                </c:pt>
                <c:pt idx="88">
                  <c:v>44374820.3</c:v>
                </c:pt>
                <c:pt idx="89">
                  <c:v>45818953.44</c:v>
                </c:pt>
                <c:pt idx="90">
                  <c:v>45855821.05</c:v>
                </c:pt>
                <c:pt idx="91">
                  <c:v>48655544.3</c:v>
                </c:pt>
                <c:pt idx="92">
                  <c:v>48474224.75</c:v>
                </c:pt>
                <c:pt idx="93">
                  <c:v>46438980.56</c:v>
                </c:pt>
                <c:pt idx="94">
                  <c:v>66593605.26</c:v>
                </c:pt>
                <c:pt idx="95">
                  <c:v>49390556.49</c:v>
                </c:pt>
                <c:pt idx="96">
                  <c:v>55561147.7</c:v>
                </c:pt>
                <c:pt idx="97">
                  <c:v>60085695.94</c:v>
                </c:pt>
                <c:pt idx="98">
                  <c:v>76998241.31</c:v>
                </c:pt>
                <c:pt idx="99">
                  <c:v>46042461.04</c:v>
                </c:pt>
                <c:pt idx="100">
                  <c:v>44955421.95</c:v>
                </c:pt>
                <c:pt idx="101">
                  <c:v>42023078.48</c:v>
                </c:pt>
                <c:pt idx="102">
                  <c:v>42080996.56</c:v>
                </c:pt>
                <c:pt idx="103">
                  <c:v>39834974.67</c:v>
                </c:pt>
                <c:pt idx="104">
                  <c:v>46085608.09</c:v>
                </c:pt>
                <c:pt idx="105">
                  <c:v>50009407.92</c:v>
                </c:pt>
                <c:pt idx="106">
                  <c:v>50197056.96</c:v>
                </c:pt>
                <c:pt idx="107">
                  <c:v>45771506.57</c:v>
                </c:pt>
                <c:pt idx="108">
                  <c:v>46861034.97</c:v>
                </c:pt>
                <c:pt idx="109">
                  <c:v>47480454.11</c:v>
                </c:pt>
                <c:pt idx="110">
                  <c:v>46901504.94</c:v>
                </c:pt>
                <c:pt idx="111">
                  <c:v>44993794.45</c:v>
                </c:pt>
                <c:pt idx="112">
                  <c:v>45272862.02</c:v>
                </c:pt>
                <c:pt idx="113">
                  <c:v>53502315.87</c:v>
                </c:pt>
                <c:pt idx="114">
                  <c:v>46629261.41</c:v>
                </c:pt>
                <c:pt idx="115">
                  <c:v>45072529.78</c:v>
                </c:pt>
                <c:pt idx="116">
                  <c:v>43716798.89</c:v>
                </c:pt>
                <c:pt idx="117">
                  <c:v>47124197.93</c:v>
                </c:pt>
                <c:pt idx="118">
                  <c:v>46925878.99</c:v>
                </c:pt>
                <c:pt idx="119">
                  <c:v>46823939.22</c:v>
                </c:pt>
                <c:pt idx="120">
                  <c:v>47892463.31</c:v>
                </c:pt>
                <c:pt idx="121">
                  <c:v>48281649.72</c:v>
                </c:pt>
                <c:pt idx="122">
                  <c:v>49651171.78</c:v>
                </c:pt>
                <c:pt idx="123">
                  <c:v>48412110.7</c:v>
                </c:pt>
                <c:pt idx="124">
                  <c:v>47668284.97</c:v>
                </c:pt>
                <c:pt idx="125">
                  <c:v>46597112.12</c:v>
                </c:pt>
                <c:pt idx="126">
                  <c:v>51253021.88</c:v>
                </c:pt>
                <c:pt idx="127">
                  <c:v>46099732.1</c:v>
                </c:pt>
                <c:pt idx="128">
                  <c:v>46059543.45</c:v>
                </c:pt>
                <c:pt idx="129">
                  <c:v>44097154.97</c:v>
                </c:pt>
                <c:pt idx="130">
                  <c:v>47485899.56</c:v>
                </c:pt>
                <c:pt idx="131">
                  <c:v>47403451.04</c:v>
                </c:pt>
                <c:pt idx="132">
                  <c:v>47354452.05</c:v>
                </c:pt>
                <c:pt idx="133">
                  <c:v>47447323.6</c:v>
                </c:pt>
                <c:pt idx="134">
                  <c:v>47159639.43</c:v>
                </c:pt>
                <c:pt idx="135">
                  <c:v>48330059.31</c:v>
                </c:pt>
                <c:pt idx="136">
                  <c:v>44226038.65</c:v>
                </c:pt>
                <c:pt idx="137">
                  <c:v>44354547.11</c:v>
                </c:pt>
                <c:pt idx="138">
                  <c:v>43734899.4</c:v>
                </c:pt>
                <c:pt idx="139">
                  <c:v>47566639.31</c:v>
                </c:pt>
                <c:pt idx="140">
                  <c:v>46128514.25</c:v>
                </c:pt>
                <c:pt idx="141">
                  <c:v>45122410.57</c:v>
                </c:pt>
                <c:pt idx="142">
                  <c:v>45544116.29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538741"/>
        <c:axId val="19673750"/>
      </c:lineChart>
      <c:catAx>
        <c:axId val="47538741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73750"/>
        <c:crosses val="autoZero"/>
        <c:auto val="1"/>
        <c:lblAlgn val="ctr"/>
        <c:lblOffset val="100"/>
        <c:noMultiLvlLbl val="0"/>
      </c:catAx>
      <c:valAx>
        <c:axId val="19673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387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130680</xdr:rowOff>
    </xdr:from>
    <xdr:to>
      <xdr:col>5</xdr:col>
      <xdr:colOff>339840</xdr:colOff>
      <xdr:row>35</xdr:row>
      <xdr:rowOff>142200</xdr:rowOff>
    </xdr:to>
    <xdr:graphicFrame>
      <xdr:nvGraphicFramePr>
        <xdr:cNvPr id="0" name="Chart 1"/>
        <xdr:cNvGraphicFramePr/>
      </xdr:nvGraphicFramePr>
      <xdr:xfrm>
        <a:off x="141120" y="42670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130680</xdr:rowOff>
    </xdr:from>
    <xdr:to>
      <xdr:col>10</xdr:col>
      <xdr:colOff>505800</xdr:colOff>
      <xdr:row>35</xdr:row>
      <xdr:rowOff>142200</xdr:rowOff>
    </xdr:to>
    <xdr:graphicFrame>
      <xdr:nvGraphicFramePr>
        <xdr:cNvPr id="1" name="Chart 2"/>
        <xdr:cNvGraphicFramePr/>
      </xdr:nvGraphicFramePr>
      <xdr:xfrm>
        <a:off x="7119000" y="4267080"/>
        <a:ext cx="39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131040</xdr:rowOff>
    </xdr:from>
    <xdr:to>
      <xdr:col>8</xdr:col>
      <xdr:colOff>730080</xdr:colOff>
      <xdr:row>36</xdr:row>
      <xdr:rowOff>142560</xdr:rowOff>
    </xdr:to>
    <xdr:graphicFrame>
      <xdr:nvGraphicFramePr>
        <xdr:cNvPr id="2" name="Chart 1"/>
        <xdr:cNvGraphicFramePr/>
      </xdr:nvGraphicFramePr>
      <xdr:xfrm>
        <a:off x="0" y="421020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20</xdr:row>
      <xdr:rowOff>131040</xdr:rowOff>
    </xdr:from>
    <xdr:to>
      <xdr:col>15</xdr:col>
      <xdr:colOff>543960</xdr:colOff>
      <xdr:row>36</xdr:row>
      <xdr:rowOff>142560</xdr:rowOff>
    </xdr:to>
    <xdr:graphicFrame>
      <xdr:nvGraphicFramePr>
        <xdr:cNvPr id="3" name="Chart 2"/>
        <xdr:cNvGraphicFramePr/>
      </xdr:nvGraphicFramePr>
      <xdr:xfrm>
        <a:off x="8881200" y="42102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51</xdr:row>
      <xdr:rowOff>131040</xdr:rowOff>
    </xdr:from>
    <xdr:to>
      <xdr:col>15</xdr:col>
      <xdr:colOff>442800</xdr:colOff>
      <xdr:row>63</xdr:row>
      <xdr:rowOff>155160</xdr:rowOff>
    </xdr:to>
    <xdr:graphicFrame>
      <xdr:nvGraphicFramePr>
        <xdr:cNvPr id="4" name="Chart 1"/>
        <xdr:cNvGraphicFramePr/>
      </xdr:nvGraphicFramePr>
      <xdr:xfrm>
        <a:off x="9021960" y="101156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130680</xdr:rowOff>
    </xdr:from>
    <xdr:to>
      <xdr:col>9</xdr:col>
      <xdr:colOff>926640</xdr:colOff>
      <xdr:row>56</xdr:row>
      <xdr:rowOff>153000</xdr:rowOff>
    </xdr:to>
    <xdr:graphicFrame>
      <xdr:nvGraphicFramePr>
        <xdr:cNvPr id="5" name="Chart 1"/>
        <xdr:cNvGraphicFramePr/>
      </xdr:nvGraphicFramePr>
      <xdr:xfrm>
        <a:off x="0" y="86295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17</xdr:col>
      <xdr:colOff>581760</xdr:colOff>
      <xdr:row>15</xdr:row>
      <xdr:rowOff>115200</xdr:rowOff>
    </xdr:to>
    <xdr:graphicFrame>
      <xdr:nvGraphicFramePr>
        <xdr:cNvPr id="6" name="Chart 1"/>
        <xdr:cNvGraphicFramePr/>
      </xdr:nvGraphicFramePr>
      <xdr:xfrm>
        <a:off x="4981680" y="5716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eptMonth" displayName="DeptMonth" ref="A1:E6870" headerRowCount="1" totalsRowCount="0" totalsRowShown="0">
  <autoFilter ref="A1:E6870"/>
  <tableColumns count="5">
    <tableColumn id="1" name="dept_id"/>
    <tableColumn id="2" name="store_type"/>
    <tableColumn id="3" name="fiscal_year"/>
    <tableColumn id="4" name="fiscal_month"/>
    <tableColumn id="5" name="revenue"/>
  </tableColumns>
</table>
</file>

<file path=xl/tables/table2.xml><?xml version="1.0" encoding="utf-8"?>
<table xmlns="http://schemas.openxmlformats.org/spreadsheetml/2006/main" id="2" name="Forecasts" displayName="Forecasts" ref="A1:I237" headerRowCount="1" totalsRowCount="0" totalsRowShown="0">
  <autoFilter ref="A1:I237"/>
  <tableColumns count="9">
    <tableColumn id="1" name="level"/>
    <tableColumn id="2" name="store_type"/>
    <tableColumn id="3" name="store_id"/>
    <tableColumn id="4" name="model"/>
    <tableColumn id="5" name="purpose"/>
    <tableColumn id="6" name="month_start"/>
    <tableColumn id="7" name="forecast"/>
    <tableColumn id="8" name="lower_80"/>
    <tableColumn id="9" name="upper_80"/>
  </tableColumns>
</table>
</file>

<file path=xl/tables/table3.xml><?xml version="1.0" encoding="utf-8"?>
<table xmlns="http://schemas.openxmlformats.org/spreadsheetml/2006/main" id="3" name="MonthlyStore" displayName="MonthlyStore" ref="A1:G1441" headerRowCount="1" totalsRowCount="0" totalsRowShown="0">
  <autoFilter ref="A1:G1441"/>
  <tableColumns count="7">
    <tableColumn id="1" name="store_id"/>
    <tableColumn id="2" name="store_type"/>
    <tableColumn id="3" name="size_sqft"/>
    <tableColumn id="4" name="month_start"/>
    <tableColumn id="5" name="fiscal_year"/>
    <tableColumn id="6" name="fiscal_month"/>
    <tableColumn id="7" name="revenue"/>
  </tableColumns>
</table>
</file>

<file path=xl/tables/table4.xml><?xml version="1.0" encoding="utf-8"?>
<table xmlns="http://schemas.openxmlformats.org/spreadsheetml/2006/main" id="4" name="WeeklyTotal" displayName="WeeklyTotal" ref="A1:C144" headerRowCount="1" totalsRowCount="0" totalsRowShown="0">
  <autoFilter ref="A1:C144"/>
  <tableColumns count="3">
    <tableColumn id="1" name="week_end_date"/>
    <tableColumn id="2" name="sales"/>
    <tableColumn id="3" name="is_holida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514E"/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s">
        <v>23</v>
      </c>
    </row>
    <row r="15" customFormat="false" ht="15" hidden="false" customHeight="false" outlineLevel="0" collapsed="false">
      <c r="A15" s="4" t="s">
        <v>24</v>
      </c>
      <c r="B15" s="5" t="s">
        <v>25</v>
      </c>
    </row>
    <row r="16" customFormat="false" ht="15" hidden="false" customHeight="false" outlineLevel="0" collapsed="false">
      <c r="A16" s="4" t="s">
        <v>26</v>
      </c>
      <c r="B16" s="5" t="s">
        <v>27</v>
      </c>
    </row>
    <row r="17" customFormat="false" ht="15" hidden="false" customHeight="false" outlineLevel="0" collapsed="false">
      <c r="A17" s="4"/>
      <c r="B17" s="5"/>
    </row>
    <row r="18" customFormat="false" ht="15" hidden="false" customHeight="false" outlineLevel="0" collapsed="false">
      <c r="A18" s="4" t="s">
        <v>28</v>
      </c>
      <c r="B18" s="5" t="s">
        <v>29</v>
      </c>
    </row>
    <row r="19" customFormat="false" ht="15" hidden="false" customHeight="false" outlineLevel="0" collapsed="false">
      <c r="A19" s="4" t="s">
        <v>30</v>
      </c>
      <c r="B19" s="5" t="s">
        <v>31</v>
      </c>
    </row>
    <row r="20" customFormat="false" ht="15" hidden="false" customHeight="false" outlineLevel="0" collapsed="false">
      <c r="A20" s="4" t="s">
        <v>32</v>
      </c>
      <c r="B20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2"/>
    <col collapsed="false" customWidth="true" hidden="false" outlineLevel="0" max="5" min="5" style="0" width="33"/>
    <col collapsed="false" customWidth="true" hidden="false" outlineLevel="0" max="6" min="6" style="0" width="15"/>
    <col collapsed="false" customWidth="true" hidden="false" outlineLevel="0" max="7" min="7" style="0" width="2"/>
    <col collapsed="false" customWidth="true" hidden="false" outlineLevel="0" max="8" min="8" style="0" width="32"/>
    <col collapsed="false" customWidth="true" hidden="false" outlineLevel="0" max="9" min="9" style="0" width="15"/>
    <col collapsed="false" customWidth="true" hidden="false" outlineLevel="0" max="10" min="10" style="0" width="2"/>
    <col collapsed="false" customWidth="true" hidden="false" outlineLevel="0" max="11" min="11" style="0" width="10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24" hidden="false" customHeight="true" outlineLevel="0" collapsed="false">
      <c r="B4" s="6" t="s">
        <v>36</v>
      </c>
      <c r="C4" s="7" t="n">
        <f aca="false">SUMIFS(Monthly_Data!$G$2:$G$1441,Monthly_Data!$E$2:$E$1441,2012)</f>
        <v>2459945240.71</v>
      </c>
      <c r="E4" s="6" t="s">
        <v>37</v>
      </c>
      <c r="F4" s="7" t="n">
        <f aca="false">Budget_vs_Actual!H19</f>
        <v>1634132542.25</v>
      </c>
      <c r="H4" s="6" t="s">
        <v>38</v>
      </c>
      <c r="I4" s="8" t="n">
        <f aca="false">Budget_vs_Actual!H19/SUMIFS(Monthly_Data!$G$2:$G$1441,Monthly_Data!$E$2:$E$1441,2012,Monthly_Data!$F$2:$F$1441,"&lt;=8")-1</f>
        <v>0.032161245715397</v>
      </c>
    </row>
    <row r="6" customFormat="false" ht="24" hidden="false" customHeight="true" outlineLevel="0" collapsed="false">
      <c r="B6" s="6" t="s">
        <v>39</v>
      </c>
      <c r="C6" s="7" t="n">
        <f aca="false">Budget_vs_Actual!G19</f>
        <v>1624623860.1639</v>
      </c>
      <c r="E6" s="6" t="s">
        <v>40</v>
      </c>
      <c r="F6" s="7" t="n">
        <f aca="false">Budget_vs_Actual!I19</f>
        <v>9508682.0861001</v>
      </c>
      <c r="H6" s="6" t="s">
        <v>41</v>
      </c>
      <c r="I6" s="8" t="n">
        <f aca="false">Budget_vs_Actual!J19</f>
        <v>0.00585285143180208</v>
      </c>
    </row>
    <row r="8" customFormat="false" ht="24" hidden="false" customHeight="true" outlineLevel="0" collapsed="false">
      <c r="B8" s="6" t="s">
        <v>42</v>
      </c>
      <c r="C8" s="7" t="n">
        <f aca="false">Budget_vs_Actual!G17</f>
        <v>2524264792.0364</v>
      </c>
      <c r="E8" s="6" t="s">
        <v>43</v>
      </c>
      <c r="F8" s="7" t="n">
        <f aca="false">Budget_vs_Actual!M17</f>
        <v>2518675992.84</v>
      </c>
      <c r="H8" s="6" t="s">
        <v>44</v>
      </c>
      <c r="I8" s="8" t="n">
        <f aca="false">Budget_vs_Actual!J17</f>
        <v>-0.00221403048286826</v>
      </c>
    </row>
    <row r="10" customFormat="false" ht="24" hidden="false" customHeight="true" outlineLevel="0" collapsed="false">
      <c r="B10" s="6" t="s">
        <v>45</v>
      </c>
      <c r="C10" s="9" t="n">
        <f aca="false">COUNTIF(Store_BvA!K5:K49,"On / above")</f>
        <v>32</v>
      </c>
      <c r="E10" s="6" t="s">
        <v>46</v>
      </c>
      <c r="F10" s="7" t="n">
        <f aca="false">Budget_vs_Actual!H5/29</f>
        <v>6869003.92862069</v>
      </c>
      <c r="H10" s="6" t="s">
        <v>47</v>
      </c>
      <c r="I10" s="8" t="n">
        <f aca="false">Excel_Forecast!P25</f>
        <v>0.0127095976951303</v>
      </c>
    </row>
    <row r="12" customFormat="false" ht="15" hidden="false" customHeight="false" outlineLevel="0" collapsed="false">
      <c r="B12" s="10" t="s">
        <v>48</v>
      </c>
    </row>
    <row r="13" customFormat="false" ht="15" hidden="false" customHeight="false" outlineLevel="0" collapsed="false">
      <c r="B13" s="5" t="s">
        <v>49</v>
      </c>
    </row>
    <row r="14" customFormat="false" ht="15" hidden="false" customHeight="false" outlineLevel="0" collapsed="false">
      <c r="B14" s="5" t="s">
        <v>50</v>
      </c>
    </row>
    <row r="15" customFormat="false" ht="15" hidden="false" customHeight="false" outlineLevel="0" collapsed="false">
      <c r="B15" s="5" t="s">
        <v>51</v>
      </c>
    </row>
    <row r="16" customFormat="false" ht="15" hidden="false" customHeight="false" outlineLevel="0" collapsed="false">
      <c r="B16" s="5" t="s">
        <v>52</v>
      </c>
    </row>
    <row r="17" customFormat="false" ht="15" hidden="false" customHeight="false" outlineLevel="0" collapsed="false">
      <c r="B17" s="5" t="s">
        <v>53</v>
      </c>
    </row>
    <row r="19" customFormat="false" ht="15" hidden="false" customHeight="false" outlineLevel="0" collapsed="false">
      <c r="B19" s="2" t="s">
        <v>54</v>
      </c>
    </row>
  </sheetData>
  <conditionalFormatting sqref="F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I6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I8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A100"/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6"/>
  </cols>
  <sheetData>
    <row r="1" customFormat="false" ht="19.7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31.5" hidden="false" customHeight="true" outlineLevel="0" collapsed="false">
      <c r="B4" s="11" t="s">
        <v>57</v>
      </c>
      <c r="C4" s="11" t="s">
        <v>58</v>
      </c>
      <c r="D4" s="11" t="s">
        <v>59</v>
      </c>
    </row>
    <row r="5" customFormat="false" ht="15" hidden="false" customHeight="false" outlineLevel="0" collapsed="false">
      <c r="B5" s="12" t="s">
        <v>60</v>
      </c>
      <c r="C5" s="13" t="n">
        <v>0.03</v>
      </c>
      <c r="D5" s="14" t="s">
        <v>61</v>
      </c>
    </row>
    <row r="6" customFormat="false" ht="15" hidden="false" customHeight="false" outlineLevel="0" collapsed="false">
      <c r="B6" s="12" t="s">
        <v>62</v>
      </c>
      <c r="C6" s="13" t="n">
        <v>0.02</v>
      </c>
      <c r="D6" s="14" t="s">
        <v>63</v>
      </c>
    </row>
    <row r="7" customFormat="false" ht="15" hidden="false" customHeight="false" outlineLevel="0" collapsed="false">
      <c r="B7" s="12" t="s">
        <v>64</v>
      </c>
      <c r="C7" s="13" t="n">
        <v>0.015</v>
      </c>
      <c r="D7" s="14" t="s">
        <v>65</v>
      </c>
    </row>
    <row r="9" customFormat="false" ht="15" hidden="false" customHeight="false" outlineLevel="0" collapsed="false">
      <c r="B9" s="15" t="s">
        <v>66</v>
      </c>
      <c r="C9" s="15"/>
      <c r="D9" s="16" t="s">
        <v>67</v>
      </c>
    </row>
    <row r="10" customFormat="false" ht="15" hidden="false" customHeight="false" outlineLevel="0" collapsed="false">
      <c r="B10" s="2" t="s">
        <v>68</v>
      </c>
    </row>
    <row r="11" customFormat="false" ht="15" hidden="false" customHeight="false" outlineLevel="0" collapsed="false">
      <c r="B11" s="2" t="s">
        <v>69</v>
      </c>
    </row>
    <row r="13" customFormat="false" ht="15" hidden="false" customHeight="false" outlineLevel="0" collapsed="false">
      <c r="B13" s="15" t="s">
        <v>70</v>
      </c>
    </row>
    <row r="14" customFormat="false" ht="15" hidden="false" customHeight="false" outlineLevel="0" collapsed="false">
      <c r="B14" s="2" t="s">
        <v>71</v>
      </c>
    </row>
    <row r="15" customFormat="false" ht="15" hidden="false" customHeight="false" outlineLevel="0" collapsed="false">
      <c r="B15" s="2" t="s">
        <v>72</v>
      </c>
    </row>
  </sheetData>
  <mergeCells count="1">
    <mergeCell ref="B9:C9"/>
  </mergeCells>
  <dataValidations count="1">
    <dataValidation allowBlank="false" errorStyle="stop" operator="between" showDropDown="false" showErrorMessage="false" showInputMessage="false" sqref="D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5" min="3" style="0" width="15"/>
    <col collapsed="false" customWidth="true" hidden="false" outlineLevel="0" max="6" min="6" style="0" width="8"/>
    <col collapsed="false" customWidth="true" hidden="false" outlineLevel="0" max="8" min="7" style="0" width="15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19.7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31.5" hidden="false" customHeight="true" outlineLevel="0" collapsed="false">
      <c r="A4" s="11" t="s">
        <v>75</v>
      </c>
      <c r="B4" s="11" t="s">
        <v>76</v>
      </c>
      <c r="C4" s="11" t="s">
        <v>77</v>
      </c>
      <c r="D4" s="11" t="s">
        <v>78</v>
      </c>
      <c r="E4" s="11" t="s">
        <v>79</v>
      </c>
      <c r="F4" s="11" t="s">
        <v>80</v>
      </c>
      <c r="G4" s="11" t="s">
        <v>81</v>
      </c>
      <c r="H4" s="11" t="s">
        <v>82</v>
      </c>
      <c r="I4" s="11" t="s">
        <v>83</v>
      </c>
      <c r="J4" s="11" t="s">
        <v>84</v>
      </c>
      <c r="K4" s="11" t="s">
        <v>85</v>
      </c>
      <c r="L4" s="11" t="s">
        <v>86</v>
      </c>
      <c r="M4" s="11" t="s">
        <v>87</v>
      </c>
      <c r="N4" s="11" t="s">
        <v>88</v>
      </c>
      <c r="O4" s="11" t="s">
        <v>89</v>
      </c>
    </row>
    <row r="5" customFormat="false" ht="15" hidden="false" customHeight="false" outlineLevel="0" collapsed="false">
      <c r="A5" s="17" t="n">
        <v>40940</v>
      </c>
      <c r="B5" s="18" t="n">
        <v>1</v>
      </c>
      <c r="C5" s="19" t="n">
        <f aca="false">SUMIFS(Monthly_Data!$G$2:$G$1441,Monthly_Data!$E$2:$E$1441,2012,Monthly_Data!$F$2:$F$1441,$B5,Monthly_Data!$B$2:$B$1441,"A")</f>
        <v>120597506.85</v>
      </c>
      <c r="D5" s="19" t="n">
        <f aca="false">SUMIFS(Monthly_Data!$G$2:$G$1441,Monthly_Data!$E$2:$E$1441,2012,Monthly_Data!$F$2:$F$1441,$B5,Monthly_Data!$B$2:$B$1441,"B")</f>
        <v>54719002.38</v>
      </c>
      <c r="E5" s="19" t="n">
        <f aca="false">SUMIFS(Monthly_Data!$G$2:$G$1441,Monthly_Data!$E$2:$E$1441,2012,Monthly_Data!$F$2:$F$1441,$B5,Monthly_Data!$B$2:$B$1441,"C")</f>
        <v>11369458.17</v>
      </c>
      <c r="F5" s="20" t="n">
        <f aca="false">IF(Assumptions!$D$9="Yes",DAY(EOMONTH($A5,0))/DAY(EOMONTH(EDATE($A5,-12),0)),1)</f>
        <v>1</v>
      </c>
      <c r="G5" s="19" t="n">
        <f aca="false">(C5*(1+Assumptions!$C$5)+D5*(1+Assumptions!$C$6)+E5*(1+Assumptions!$C$7))*F5</f>
        <v>191568814.52565</v>
      </c>
      <c r="H5" s="19" t="n">
        <f aca="false">IF(COUNTIFS(Monthly_Data!$E$2:$E$1441,2013,Monthly_Data!$F$2:$F$1441,$B5)=0,"",SUMIFS(Monthly_Data!$G$2:$G$1441,Monthly_Data!$E$2:$E$1441,2013,Monthly_Data!$F$2:$F$1441,$B5))</f>
        <v>199201113.93</v>
      </c>
      <c r="I5" s="19" t="n">
        <f aca="false">IF(H5="","",H5-G5)</f>
        <v>7632299.40435001</v>
      </c>
      <c r="J5" s="21" t="n">
        <f aca="false">IF(H5="","",I5/G5)</f>
        <v>0.0398410327027842</v>
      </c>
      <c r="K5" s="22" t="str">
        <f aca="false">IF(H5="","Forecast",IF(I5&gt;=0,"Favourable","Unfavourable"))</f>
        <v>Favourable</v>
      </c>
      <c r="L5" s="19" t="str">
        <f aca="false">IF(H5&lt;&gt;"","",SUMIFS(Forecast_Data!$G$2:$G$237,Forecast_Data!$A$2:$A$237,"Total",Forecast_Data!$E$2:$E$237,"Forecast",Forecast_Data!$F$2:$F$237,$A5))</f>
        <v/>
      </c>
      <c r="M5" s="19" t="n">
        <f aca="false">IF(H5&lt;&gt;"",H5,L5)</f>
        <v>199201113.93</v>
      </c>
      <c r="N5" s="19" t="n">
        <f aca="false">M5-G5</f>
        <v>7632299.40435001</v>
      </c>
      <c r="O5" s="19" t="n">
        <f aca="false">SUM($N$5:N5)</f>
        <v>7632299.40435001</v>
      </c>
    </row>
    <row r="6" customFormat="false" ht="15" hidden="false" customHeight="false" outlineLevel="0" collapsed="false">
      <c r="A6" s="17" t="n">
        <v>40969</v>
      </c>
      <c r="B6" s="18" t="n">
        <v>2</v>
      </c>
      <c r="C6" s="19" t="n">
        <f aca="false">SUMIFS(Monthly_Data!$G$2:$G$1441,Monthly_Data!$E$2:$E$1441,2012,Monthly_Data!$F$2:$F$1441,$B6,Monthly_Data!$B$2:$B$1441,"A")</f>
        <v>126893565.09</v>
      </c>
      <c r="D6" s="19" t="n">
        <f aca="false">SUMIFS(Monthly_Data!$G$2:$G$1441,Monthly_Data!$E$2:$E$1441,2012,Monthly_Data!$F$2:$F$1441,$B6,Monthly_Data!$B$2:$B$1441,"B")</f>
        <v>57333122.74</v>
      </c>
      <c r="E6" s="19" t="n">
        <f aca="false">SUMIFS(Monthly_Data!$G$2:$G$1441,Monthly_Data!$E$2:$E$1441,2012,Monthly_Data!$F$2:$F$1441,$B6,Monthly_Data!$B$2:$B$1441,"C")</f>
        <v>12245779.86</v>
      </c>
      <c r="F6" s="20" t="n">
        <f aca="false">IF(Assumptions!$D$9="Yes",DAY(EOMONTH($A6,0))/DAY(EOMONTH(EDATE($A6,-12),0)),1)</f>
        <v>1</v>
      </c>
      <c r="G6" s="19" t="n">
        <f aca="false">(C6*(1+Assumptions!$C$5)+D6*(1+Assumptions!$C$6)+E6*(1+Assumptions!$C$7))*F6</f>
        <v>201609623.7954</v>
      </c>
      <c r="H6" s="19" t="n">
        <f aca="false">IF(COUNTIFS(Monthly_Data!$E$2:$E$1441,2013,Monthly_Data!$F$2:$F$1441,$B6)=0,"",SUMIFS(Monthly_Data!$G$2:$G$1441,Monthly_Data!$E$2:$E$1441,2013,Monthly_Data!$F$2:$F$1441,$B6))</f>
        <v>205680670.61</v>
      </c>
      <c r="I6" s="19" t="n">
        <f aca="false">IF(H6="","",H6-G6)</f>
        <v>4071046.81459999</v>
      </c>
      <c r="J6" s="21" t="n">
        <f aca="false">IF(H6="","",I6/G6)</f>
        <v>0.0201927206547016</v>
      </c>
      <c r="K6" s="22" t="str">
        <f aca="false">IF(H6="","Forecast",IF(I6&gt;=0,"Favourable","Unfavourable"))</f>
        <v>Favourable</v>
      </c>
      <c r="L6" s="19" t="str">
        <f aca="false">IF(H6&lt;&gt;"","",SUMIFS(Forecast_Data!$G$2:$G$237,Forecast_Data!$A$2:$A$237,"Total",Forecast_Data!$E$2:$E$237,"Forecast",Forecast_Data!$F$2:$F$237,$A6))</f>
        <v/>
      </c>
      <c r="M6" s="19" t="n">
        <f aca="false">IF(H6&lt;&gt;"",H6,L6)</f>
        <v>205680670.61</v>
      </c>
      <c r="N6" s="19" t="n">
        <f aca="false">M6-G6</f>
        <v>4071046.81459999</v>
      </c>
      <c r="O6" s="19" t="n">
        <f aca="false">SUM($N$5:N6)</f>
        <v>11703346.21895</v>
      </c>
    </row>
    <row r="7" customFormat="false" ht="15" hidden="false" customHeight="false" outlineLevel="0" collapsed="false">
      <c r="A7" s="17" t="n">
        <v>41000</v>
      </c>
      <c r="B7" s="18" t="n">
        <v>3</v>
      </c>
      <c r="C7" s="19" t="n">
        <f aca="false">SUMIFS(Monthly_Data!$G$2:$G$1441,Monthly_Data!$E$2:$E$1441,2012,Monthly_Data!$F$2:$F$1441,$B7,Monthly_Data!$B$2:$B$1441,"A")</f>
        <v>126777626.31</v>
      </c>
      <c r="D7" s="19" t="n">
        <f aca="false">SUMIFS(Monthly_Data!$G$2:$G$1441,Monthly_Data!$E$2:$E$1441,2012,Monthly_Data!$F$2:$F$1441,$B7,Monthly_Data!$B$2:$B$1441,"B")</f>
        <v>57128406.54</v>
      </c>
      <c r="E7" s="19" t="n">
        <f aca="false">SUMIFS(Monthly_Data!$G$2:$G$1441,Monthly_Data!$E$2:$E$1441,2012,Monthly_Data!$F$2:$F$1441,$B7,Monthly_Data!$B$2:$B$1441,"C")</f>
        <v>12064479.58</v>
      </c>
      <c r="F7" s="20" t="n">
        <f aca="false">IF(Assumptions!$D$9="Yes",DAY(EOMONTH($A7,0))/DAY(EOMONTH(EDATE($A7,-12),0)),1)</f>
        <v>1</v>
      </c>
      <c r="G7" s="19" t="n">
        <f aca="false">(C7*(1+Assumptions!$C$5)+D7*(1+Assumptions!$C$6)+E7*(1+Assumptions!$C$7))*F7</f>
        <v>201097376.5438</v>
      </c>
      <c r="H7" s="19" t="n">
        <f aca="false">IF(COUNTIFS(Monthly_Data!$E$2:$E$1441,2013,Monthly_Data!$F$2:$F$1441,$B7)=0,"",SUMIFS(Monthly_Data!$G$2:$G$1441,Monthly_Data!$E$2:$E$1441,2013,Monthly_Data!$F$2:$F$1441,$B7))</f>
        <v>201473802.81</v>
      </c>
      <c r="I7" s="19" t="n">
        <f aca="false">IF(H7="","",H7-G7)</f>
        <v>376426.266200006</v>
      </c>
      <c r="J7" s="21" t="n">
        <f aca="false">IF(H7="","",I7/G7)</f>
        <v>0.00187186065114091</v>
      </c>
      <c r="K7" s="22" t="str">
        <f aca="false">IF(H7="","Forecast",IF(I7&gt;=0,"Favourable","Unfavourable"))</f>
        <v>Favourable</v>
      </c>
      <c r="L7" s="19" t="str">
        <f aca="false">IF(H7&lt;&gt;"","",SUMIFS(Forecast_Data!$G$2:$G$237,Forecast_Data!$A$2:$A$237,"Total",Forecast_Data!$E$2:$E$237,"Forecast",Forecast_Data!$F$2:$F$237,$A7))</f>
        <v/>
      </c>
      <c r="M7" s="19" t="n">
        <f aca="false">IF(H7&lt;&gt;"",H7,L7)</f>
        <v>201473802.81</v>
      </c>
      <c r="N7" s="19" t="n">
        <f aca="false">M7-G7</f>
        <v>376426.266200006</v>
      </c>
      <c r="O7" s="19" t="n">
        <f aca="false">SUM($N$5:N7)</f>
        <v>12079772.48515</v>
      </c>
    </row>
    <row r="8" customFormat="false" ht="15" hidden="false" customHeight="false" outlineLevel="0" collapsed="false">
      <c r="A8" s="17" t="n">
        <v>41030</v>
      </c>
      <c r="B8" s="18" t="n">
        <v>4</v>
      </c>
      <c r="C8" s="19" t="n">
        <f aca="false">SUMIFS(Monthly_Data!$G$2:$G$1441,Monthly_Data!$E$2:$E$1441,2012,Monthly_Data!$F$2:$F$1441,$B8,Monthly_Data!$B$2:$B$1441,"A")</f>
        <v>130965153.85</v>
      </c>
      <c r="D8" s="19" t="n">
        <f aca="false">SUMIFS(Monthly_Data!$G$2:$G$1441,Monthly_Data!$E$2:$E$1441,2012,Monthly_Data!$F$2:$F$1441,$B8,Monthly_Data!$B$2:$B$1441,"B")</f>
        <v>59312098.5</v>
      </c>
      <c r="E8" s="19" t="n">
        <f aca="false">SUMIFS(Monthly_Data!$G$2:$G$1441,Monthly_Data!$E$2:$E$1441,2012,Monthly_Data!$F$2:$F$1441,$B8,Monthly_Data!$B$2:$B$1441,"C")</f>
        <v>12546051.42</v>
      </c>
      <c r="F8" s="20" t="n">
        <f aca="false">IF(Assumptions!$D$9="Yes",DAY(EOMONTH($A8,0))/DAY(EOMONTH(EDATE($A8,-12),0)),1)</f>
        <v>1</v>
      </c>
      <c r="G8" s="19" t="n">
        <f aca="false">(C8*(1+Assumptions!$C$5)+D8*(1+Assumptions!$C$6)+E8*(1+Assumptions!$C$7))*F8</f>
        <v>208126691.1268</v>
      </c>
      <c r="H8" s="19" t="n">
        <f aca="false">IF(COUNTIFS(Monthly_Data!$E$2:$E$1441,2013,Monthly_Data!$F$2:$F$1441,$B8)=0,"",SUMIFS(Monthly_Data!$G$2:$G$1441,Monthly_Data!$E$2:$E$1441,2013,Monthly_Data!$F$2:$F$1441,$B8))</f>
        <v>209954665.65</v>
      </c>
      <c r="I8" s="19" t="n">
        <f aca="false">IF(H8="","",H8-G8)</f>
        <v>1827974.52320001</v>
      </c>
      <c r="J8" s="21" t="n">
        <f aca="false">IF(H8="","",I8/G8)</f>
        <v>0.00878298940565159</v>
      </c>
      <c r="K8" s="22" t="str">
        <f aca="false">IF(H8="","Forecast",IF(I8&gt;=0,"Favourable","Unfavourable"))</f>
        <v>Favourable</v>
      </c>
      <c r="L8" s="19" t="str">
        <f aca="false">IF(H8&lt;&gt;"","",SUMIFS(Forecast_Data!$G$2:$G$237,Forecast_Data!$A$2:$A$237,"Total",Forecast_Data!$E$2:$E$237,"Forecast",Forecast_Data!$F$2:$F$237,$A8))</f>
        <v/>
      </c>
      <c r="M8" s="19" t="n">
        <f aca="false">IF(H8&lt;&gt;"",H8,L8)</f>
        <v>209954665.65</v>
      </c>
      <c r="N8" s="19" t="n">
        <f aca="false">M8-G8</f>
        <v>1827974.52320001</v>
      </c>
      <c r="O8" s="19" t="n">
        <f aca="false">SUM($N$5:N8)</f>
        <v>13907747.00835</v>
      </c>
    </row>
    <row r="9" customFormat="false" ht="15" hidden="false" customHeight="false" outlineLevel="0" collapsed="false">
      <c r="A9" s="17" t="n">
        <v>41061</v>
      </c>
      <c r="B9" s="18" t="n">
        <v>5</v>
      </c>
      <c r="C9" s="19" t="n">
        <f aca="false">SUMIFS(Monthly_Data!$G$2:$G$1441,Monthly_Data!$E$2:$E$1441,2012,Monthly_Data!$F$2:$F$1441,$B9,Monthly_Data!$B$2:$B$1441,"A")</f>
        <v>130299058.58</v>
      </c>
      <c r="D9" s="19" t="n">
        <f aca="false">SUMIFS(Monthly_Data!$G$2:$G$1441,Monthly_Data!$E$2:$E$1441,2012,Monthly_Data!$F$2:$F$1441,$B9,Monthly_Data!$B$2:$B$1441,"B")</f>
        <v>60425579.42</v>
      </c>
      <c r="E9" s="19" t="n">
        <f aca="false">SUMIFS(Monthly_Data!$G$2:$G$1441,Monthly_Data!$E$2:$E$1441,2012,Monthly_Data!$F$2:$F$1441,$B9,Monthly_Data!$B$2:$B$1441,"C")</f>
        <v>11960624.56</v>
      </c>
      <c r="F9" s="20" t="n">
        <f aca="false">IF(Assumptions!$D$9="Yes",DAY(EOMONTH($A9,0))/DAY(EOMONTH(EDATE($A9,-12),0)),1)</f>
        <v>1</v>
      </c>
      <c r="G9" s="19" t="n">
        <f aca="false">(C9*(1+Assumptions!$C$5)+D9*(1+Assumptions!$C$6)+E9*(1+Assumptions!$C$7))*F9</f>
        <v>207982155.2742</v>
      </c>
      <c r="H9" s="19" t="n">
        <f aca="false">IF(COUNTIFS(Monthly_Data!$E$2:$E$1441,2013,Monthly_Data!$F$2:$F$1441,$B9)=0,"",SUMIFS(Monthly_Data!$G$2:$G$1441,Monthly_Data!$E$2:$E$1441,2013,Monthly_Data!$F$2:$F$1441,$B9))</f>
        <v>206547918.22</v>
      </c>
      <c r="I9" s="19" t="n">
        <f aca="false">IF(H9="","",H9-G9)</f>
        <v>-1434237.05420002</v>
      </c>
      <c r="J9" s="21" t="n">
        <f aca="false">IF(H9="","",I9/G9)</f>
        <v>-0.00689596207092455</v>
      </c>
      <c r="K9" s="22" t="str">
        <f aca="false">IF(H9="","Forecast",IF(I9&gt;=0,"Favourable","Unfavourable"))</f>
        <v>Unfavourable</v>
      </c>
      <c r="L9" s="19" t="str">
        <f aca="false">IF(H9&lt;&gt;"","",SUMIFS(Forecast_Data!$G$2:$G$237,Forecast_Data!$A$2:$A$237,"Total",Forecast_Data!$E$2:$E$237,"Forecast",Forecast_Data!$F$2:$F$237,$A9))</f>
        <v/>
      </c>
      <c r="M9" s="19" t="n">
        <f aca="false">IF(H9&lt;&gt;"",H9,L9)</f>
        <v>206547918.22</v>
      </c>
      <c r="N9" s="19" t="n">
        <f aca="false">M9-G9</f>
        <v>-1434237.05420002</v>
      </c>
      <c r="O9" s="19" t="n">
        <f aca="false">SUM($N$5:N9)</f>
        <v>12473509.95415</v>
      </c>
    </row>
    <row r="10" customFormat="false" ht="15" hidden="false" customHeight="false" outlineLevel="0" collapsed="false">
      <c r="A10" s="17" t="n">
        <v>41091</v>
      </c>
      <c r="B10" s="18" t="n">
        <v>6</v>
      </c>
      <c r="C10" s="19" t="n">
        <f aca="false">SUMIFS(Monthly_Data!$G$2:$G$1441,Monthly_Data!$E$2:$E$1441,2012,Monthly_Data!$F$2:$F$1441,$B10,Monthly_Data!$B$2:$B$1441,"A")</f>
        <v>130999855.61</v>
      </c>
      <c r="D10" s="19" t="n">
        <f aca="false">SUMIFS(Monthly_Data!$G$2:$G$1441,Monthly_Data!$E$2:$E$1441,2012,Monthly_Data!$F$2:$F$1441,$B10,Monthly_Data!$B$2:$B$1441,"B")</f>
        <v>59719811.8</v>
      </c>
      <c r="E10" s="19" t="n">
        <f aca="false">SUMIFS(Monthly_Data!$G$2:$G$1441,Monthly_Data!$E$2:$E$1441,2012,Monthly_Data!$F$2:$F$1441,$B10,Monthly_Data!$B$2:$B$1441,"C")</f>
        <v>12128848.09</v>
      </c>
      <c r="F10" s="20" t="n">
        <f aca="false">IF(Assumptions!$D$9="Yes",DAY(EOMONTH($A10,0))/DAY(EOMONTH(EDATE($A10,-12),0)),1)</f>
        <v>1</v>
      </c>
      <c r="G10" s="19" t="n">
        <f aca="false">(C10*(1+Assumptions!$C$5)+D10*(1+Assumptions!$C$6)+E10*(1+Assumptions!$C$7))*F10</f>
        <v>208154840.12565</v>
      </c>
      <c r="H10" s="19" t="n">
        <f aca="false">IF(COUNTIFS(Monthly_Data!$E$2:$E$1441,2013,Monthly_Data!$F$2:$F$1441,$B10)=0,"",SUMIFS(Monthly_Data!$G$2:$G$1441,Monthly_Data!$E$2:$E$1441,2013,Monthly_Data!$F$2:$F$1441,$B10))</f>
        <v>207322391.83</v>
      </c>
      <c r="I10" s="19" t="n">
        <f aca="false">IF(H10="","",H10-G10)</f>
        <v>-832448.295649976</v>
      </c>
      <c r="J10" s="21" t="n">
        <f aca="false">IF(H10="","",I10/G10)</f>
        <v>-0.00399917818460276</v>
      </c>
      <c r="K10" s="22" t="str">
        <f aca="false">IF(H10="","Forecast",IF(I10&gt;=0,"Favourable","Unfavourable"))</f>
        <v>Unfavourable</v>
      </c>
      <c r="L10" s="19" t="str">
        <f aca="false">IF(H10&lt;&gt;"","",SUMIFS(Forecast_Data!$G$2:$G$237,Forecast_Data!$A$2:$A$237,"Total",Forecast_Data!$E$2:$E$237,"Forecast",Forecast_Data!$F$2:$F$237,$A10))</f>
        <v/>
      </c>
      <c r="M10" s="19" t="n">
        <f aca="false">IF(H10&lt;&gt;"",H10,L10)</f>
        <v>207322391.83</v>
      </c>
      <c r="N10" s="19" t="n">
        <f aca="false">M10-G10</f>
        <v>-832448.295649976</v>
      </c>
      <c r="O10" s="19" t="n">
        <f aca="false">SUM($N$5:N10)</f>
        <v>11641061.6585</v>
      </c>
    </row>
    <row r="11" customFormat="false" ht="15" hidden="false" customHeight="false" outlineLevel="0" collapsed="false">
      <c r="A11" s="17" t="n">
        <v>41122</v>
      </c>
      <c r="B11" s="18" t="n">
        <v>7</v>
      </c>
      <c r="C11" s="19" t="n">
        <f aca="false">SUMIFS(Monthly_Data!$G$2:$G$1441,Monthly_Data!$E$2:$E$1441,2012,Monthly_Data!$F$2:$F$1441,$B11,Monthly_Data!$B$2:$B$1441,"A")</f>
        <v>134221089.42</v>
      </c>
      <c r="D11" s="19" t="n">
        <f aca="false">SUMIFS(Monthly_Data!$G$2:$G$1441,Monthly_Data!$E$2:$E$1441,2012,Monthly_Data!$F$2:$F$1441,$B11,Monthly_Data!$B$2:$B$1441,"B")</f>
        <v>60833543.4</v>
      </c>
      <c r="E11" s="19" t="n">
        <f aca="false">SUMIFS(Monthly_Data!$G$2:$G$1441,Monthly_Data!$E$2:$E$1441,2012,Monthly_Data!$F$2:$F$1441,$B11,Monthly_Data!$B$2:$B$1441,"C")</f>
        <v>12237868.19</v>
      </c>
      <c r="F11" s="20" t="n">
        <f aca="false">IF(Assumptions!$D$9="Yes",DAY(EOMONTH($A11,0))/DAY(EOMONTH(EDATE($A11,-12),0)),1)</f>
        <v>1</v>
      </c>
      <c r="G11" s="19" t="n">
        <f aca="false">(C11*(1+Assumptions!$C$5)+D11*(1+Assumptions!$C$6)+E11*(1+Assumptions!$C$7))*F11</f>
        <v>212719372.58345</v>
      </c>
      <c r="H11" s="19" t="n">
        <f aca="false">IF(COUNTIFS(Monthly_Data!$E$2:$E$1441,2013,Monthly_Data!$F$2:$F$1441,$B11)=0,"",SUMIFS(Monthly_Data!$G$2:$G$1441,Monthly_Data!$E$2:$E$1441,2013,Monthly_Data!$F$2:$F$1441,$B11))</f>
        <v>209715966.1</v>
      </c>
      <c r="I11" s="19" t="n">
        <f aca="false">IF(H11="","",H11-G11)</f>
        <v>-3003406.48345</v>
      </c>
      <c r="J11" s="21" t="n">
        <f aca="false">IF(H11="","",I11/G11)</f>
        <v>-0.0141191018334344</v>
      </c>
      <c r="K11" s="22" t="str">
        <f aca="false">IF(H11="","Forecast",IF(I11&gt;=0,"Favourable","Unfavourable"))</f>
        <v>Unfavourable</v>
      </c>
      <c r="L11" s="19" t="str">
        <f aca="false">IF(H11&lt;&gt;"","",SUMIFS(Forecast_Data!$G$2:$G$237,Forecast_Data!$A$2:$A$237,"Total",Forecast_Data!$E$2:$E$237,"Forecast",Forecast_Data!$F$2:$F$237,$A11))</f>
        <v/>
      </c>
      <c r="M11" s="19" t="n">
        <f aca="false">IF(H11&lt;&gt;"",H11,L11)</f>
        <v>209715966.1</v>
      </c>
      <c r="N11" s="19" t="n">
        <f aca="false">M11-G11</f>
        <v>-3003406.48345</v>
      </c>
      <c r="O11" s="19" t="n">
        <f aca="false">SUM($N$5:N11)</f>
        <v>8637655.17505002</v>
      </c>
    </row>
    <row r="12" customFormat="false" ht="15" hidden="false" customHeight="false" outlineLevel="0" collapsed="false">
      <c r="A12" s="17" t="n">
        <v>41153</v>
      </c>
      <c r="B12" s="18" t="n">
        <v>8</v>
      </c>
      <c r="C12" s="19" t="n">
        <f aca="false">SUMIFS(Monthly_Data!$G$2:$G$1441,Monthly_Data!$E$2:$E$1441,2012,Monthly_Data!$F$2:$F$1441,$B12,Monthly_Data!$B$2:$B$1441,"A")</f>
        <v>121930849.2</v>
      </c>
      <c r="D12" s="19" t="n">
        <f aca="false">SUMIFS(Monthly_Data!$G$2:$G$1441,Monthly_Data!$E$2:$E$1441,2012,Monthly_Data!$F$2:$F$1441,$B12,Monthly_Data!$B$2:$B$1441,"B")</f>
        <v>54724154.06</v>
      </c>
      <c r="E12" s="19" t="n">
        <f aca="false">SUMIFS(Monthly_Data!$G$2:$G$1441,Monthly_Data!$E$2:$E$1441,2012,Monthly_Data!$F$2:$F$1441,$B12,Monthly_Data!$B$2:$B$1441,"C")</f>
        <v>11780861.45</v>
      </c>
      <c r="F12" s="20" t="n">
        <f aca="false">IF(Assumptions!$D$9="Yes",DAY(EOMONTH($A12,0))/DAY(EOMONTH(EDATE($A12,-12),0)),1)</f>
        <v>1</v>
      </c>
      <c r="G12" s="19" t="n">
        <f aca="false">(C12*(1+Assumptions!$C$5)+D12*(1+Assumptions!$C$6)+E12*(1+Assumptions!$C$7))*F12</f>
        <v>193364986.18895</v>
      </c>
      <c r="H12" s="19" t="n">
        <f aca="false">IF(COUNTIFS(Monthly_Data!$E$2:$E$1441,2013,Monthly_Data!$F$2:$F$1441,$B12)=0,"",SUMIFS(Monthly_Data!$G$2:$G$1441,Monthly_Data!$E$2:$E$1441,2013,Monthly_Data!$F$2:$F$1441,$B12))</f>
        <v>194236013.1</v>
      </c>
      <c r="I12" s="19" t="n">
        <f aca="false">IF(H12="","",H12-G12)</f>
        <v>871026.911049992</v>
      </c>
      <c r="J12" s="21" t="n">
        <f aca="false">IF(H12="","",I12/G12)</f>
        <v>0.00450457411249652</v>
      </c>
      <c r="K12" s="22" t="str">
        <f aca="false">IF(H12="","Forecast",IF(I12&gt;=0,"Favourable","Unfavourable"))</f>
        <v>Favourable</v>
      </c>
      <c r="L12" s="19" t="str">
        <f aca="false">IF(H12&lt;&gt;"","",SUMIFS(Forecast_Data!$G$2:$G$237,Forecast_Data!$A$2:$A$237,"Total",Forecast_Data!$E$2:$E$237,"Forecast",Forecast_Data!$F$2:$F$237,$A12))</f>
        <v/>
      </c>
      <c r="M12" s="19" t="n">
        <f aca="false">IF(H12&lt;&gt;"",H12,L12)</f>
        <v>194236013.1</v>
      </c>
      <c r="N12" s="19" t="n">
        <f aca="false">M12-G12</f>
        <v>871026.911049992</v>
      </c>
      <c r="O12" s="19" t="n">
        <f aca="false">SUM($N$5:N12)</f>
        <v>9508682.08610001</v>
      </c>
    </row>
    <row r="13" customFormat="false" ht="15" hidden="false" customHeight="false" outlineLevel="0" collapsed="false">
      <c r="A13" s="17" t="n">
        <v>41183</v>
      </c>
      <c r="B13" s="18" t="n">
        <v>9</v>
      </c>
      <c r="C13" s="19" t="n">
        <f aca="false">SUMIFS(Monthly_Data!$G$2:$G$1441,Monthly_Data!$E$2:$E$1441,2012,Monthly_Data!$F$2:$F$1441,$B13,Monthly_Data!$B$2:$B$1441,"A")</f>
        <v>132087439.23</v>
      </c>
      <c r="D13" s="19" t="n">
        <f aca="false">SUMIFS(Monthly_Data!$G$2:$G$1441,Monthly_Data!$E$2:$E$1441,2012,Monthly_Data!$F$2:$F$1441,$B13,Monthly_Data!$B$2:$B$1441,"B")</f>
        <v>59426997.97</v>
      </c>
      <c r="E13" s="19" t="n">
        <f aca="false">SUMIFS(Monthly_Data!$G$2:$G$1441,Monthly_Data!$E$2:$E$1441,2012,Monthly_Data!$F$2:$F$1441,$B13,Monthly_Data!$B$2:$B$1441,"C")</f>
        <v>12599222.36</v>
      </c>
      <c r="F13" s="20" t="n">
        <f aca="false">IF(Assumptions!$D$9="Yes",DAY(EOMONTH($A13,0))/DAY(EOMONTH(EDATE($A13,-12),0)),1)</f>
        <v>1</v>
      </c>
      <c r="G13" s="19" t="n">
        <f aca="false">(C13*(1+Assumptions!$C$5)+D13*(1+Assumptions!$C$6)+E13*(1+Assumptions!$C$7))*F13</f>
        <v>209453811.0317</v>
      </c>
      <c r="H13" s="19" t="str">
        <f aca="false">IF(COUNTIFS(Monthly_Data!$E$2:$E$1441,2013,Monthly_Data!$F$2:$F$1441,$B13)=0,"",SUMIFS(Monthly_Data!$G$2:$G$1441,Monthly_Data!$E$2:$E$1441,2013,Monthly_Data!$F$2:$F$1441,$B13))</f>
        <v/>
      </c>
      <c r="I13" s="19" t="str">
        <f aca="false">IF(H13="","",H13-G13)</f>
        <v/>
      </c>
      <c r="J13" s="21" t="str">
        <f aca="false">IF(H13="","",I13/G13)</f>
        <v/>
      </c>
      <c r="K13" s="22" t="str">
        <f aca="false">IF(H13="","Forecast",IF(I13&gt;=0,"Favourable","Unfavourable"))</f>
        <v>Forecast</v>
      </c>
      <c r="L13" s="19" t="n">
        <f aca="false">IF(H13&lt;&gt;"","",SUMIFS(Forecast_Data!$G$2:$G$237,Forecast_Data!$A$2:$A$237,"Total",Forecast_Data!$E$2:$E$237,"Forecast",Forecast_Data!$F$2:$F$237,$A13))</f>
        <v>203386860.38</v>
      </c>
      <c r="M13" s="19" t="n">
        <f aca="false">IF(H13&lt;&gt;"",H13,L13)</f>
        <v>203386860.38</v>
      </c>
      <c r="N13" s="19" t="n">
        <f aca="false">M13-G13</f>
        <v>-6066950.65170002</v>
      </c>
      <c r="O13" s="19" t="n">
        <f aca="false">SUM($N$5:N13)</f>
        <v>3441731.43439999</v>
      </c>
    </row>
    <row r="14" customFormat="false" ht="15" hidden="false" customHeight="false" outlineLevel="0" collapsed="false">
      <c r="A14" s="17" t="n">
        <v>41214</v>
      </c>
      <c r="B14" s="18" t="n">
        <v>10</v>
      </c>
      <c r="C14" s="19" t="n">
        <f aca="false">SUMIFS(Monthly_Data!$G$2:$G$1441,Monthly_Data!$E$2:$E$1441,2012,Monthly_Data!$F$2:$F$1441,$B14,Monthly_Data!$B$2:$B$1441,"A")</f>
        <v>143541867.79</v>
      </c>
      <c r="D14" s="19" t="n">
        <f aca="false">SUMIFS(Monthly_Data!$G$2:$G$1441,Monthly_Data!$E$2:$E$1441,2012,Monthly_Data!$F$2:$F$1441,$B14,Monthly_Data!$B$2:$B$1441,"B")</f>
        <v>68716494.57</v>
      </c>
      <c r="E14" s="19" t="n">
        <f aca="false">SUMIFS(Monthly_Data!$G$2:$G$1441,Monthly_Data!$E$2:$E$1441,2012,Monthly_Data!$F$2:$F$1441,$B14,Monthly_Data!$B$2:$B$1441,"C")</f>
        <v>12330585.45</v>
      </c>
      <c r="F14" s="20" t="n">
        <f aca="false">IF(Assumptions!$D$9="Yes",DAY(EOMONTH($A14,0))/DAY(EOMONTH(EDATE($A14,-12),0)),1)</f>
        <v>1</v>
      </c>
      <c r="G14" s="19" t="n">
        <f aca="false">(C14*(1+Assumptions!$C$5)+D14*(1+Assumptions!$C$6)+E14*(1+Assumptions!$C$7))*F14</f>
        <v>230454492.51685</v>
      </c>
      <c r="H14" s="19" t="str">
        <f aca="false">IF(COUNTIFS(Monthly_Data!$E$2:$E$1441,2013,Monthly_Data!$F$2:$F$1441,$B14)=0,"",SUMIFS(Monthly_Data!$G$2:$G$1441,Monthly_Data!$E$2:$E$1441,2013,Monthly_Data!$F$2:$F$1441,$B14))</f>
        <v/>
      </c>
      <c r="I14" s="19" t="str">
        <f aca="false">IF(H14="","",H14-G14)</f>
        <v/>
      </c>
      <c r="J14" s="21" t="str">
        <f aca="false">IF(H14="","",I14/G14)</f>
        <v/>
      </c>
      <c r="K14" s="22" t="str">
        <f aca="false">IF(H14="","Forecast",IF(I14&gt;=0,"Favourable","Unfavourable"))</f>
        <v>Forecast</v>
      </c>
      <c r="L14" s="19" t="n">
        <f aca="false">IF(H14&lt;&gt;"","",SUMIFS(Forecast_Data!$G$2:$G$237,Forecast_Data!$A$2:$A$237,"Total",Forecast_Data!$E$2:$E$237,"Forecast",Forecast_Data!$F$2:$F$237,$A14))</f>
        <v>226185387.84</v>
      </c>
      <c r="M14" s="19" t="n">
        <f aca="false">IF(H14&lt;&gt;"",H14,L14)</f>
        <v>226185387.84</v>
      </c>
      <c r="N14" s="19" t="n">
        <f aca="false">M14-G14</f>
        <v>-4269104.67684999</v>
      </c>
      <c r="O14" s="19" t="n">
        <f aca="false">SUM($N$5:N14)</f>
        <v>-827373.242449999</v>
      </c>
    </row>
    <row r="15" customFormat="false" ht="15" hidden="false" customHeight="false" outlineLevel="0" collapsed="false">
      <c r="A15" s="17" t="n">
        <v>41244</v>
      </c>
      <c r="B15" s="18" t="n">
        <v>11</v>
      </c>
      <c r="C15" s="19" t="n">
        <f aca="false">SUMIFS(Monthly_Data!$G$2:$G$1441,Monthly_Data!$E$2:$E$1441,2012,Monthly_Data!$F$2:$F$1441,$B15,Monthly_Data!$B$2:$B$1441,"A")</f>
        <v>165672595.25</v>
      </c>
      <c r="D15" s="19" t="n">
        <f aca="false">SUMIFS(Monthly_Data!$G$2:$G$1441,Monthly_Data!$E$2:$E$1441,2012,Monthly_Data!$F$2:$F$1441,$B15,Monthly_Data!$B$2:$B$1441,"B")</f>
        <v>80876542.71</v>
      </c>
      <c r="E15" s="19" t="n">
        <f aca="false">SUMIFS(Monthly_Data!$G$2:$G$1441,Monthly_Data!$E$2:$E$1441,2012,Monthly_Data!$F$2:$F$1441,$B15,Monthly_Data!$B$2:$B$1441,"C")</f>
        <v>12672198.7</v>
      </c>
      <c r="F15" s="20" t="n">
        <f aca="false">IF(Assumptions!$D$9="Yes",DAY(EOMONTH($A15,0))/DAY(EOMONTH(EDATE($A15,-12),0)),1)</f>
        <v>1</v>
      </c>
      <c r="G15" s="19" t="n">
        <f aca="false">(C15*(1+Assumptions!$C$5)+D15*(1+Assumptions!$C$6)+E15*(1+Assumptions!$C$7))*F15</f>
        <v>265999128.3522</v>
      </c>
      <c r="H15" s="19" t="str">
        <f aca="false">IF(COUNTIFS(Monthly_Data!$E$2:$E$1441,2013,Monthly_Data!$F$2:$F$1441,$B15)=0,"",SUMIFS(Monthly_Data!$G$2:$G$1441,Monthly_Data!$E$2:$E$1441,2013,Monthly_Data!$F$2:$F$1441,$B15))</f>
        <v/>
      </c>
      <c r="I15" s="19" t="str">
        <f aca="false">IF(H15="","",H15-G15)</f>
        <v/>
      </c>
      <c r="J15" s="21" t="str">
        <f aca="false">IF(H15="","",I15/G15)</f>
        <v/>
      </c>
      <c r="K15" s="22" t="str">
        <f aca="false">IF(H15="","Forecast",IF(I15&gt;=0,"Favourable","Unfavourable"))</f>
        <v>Forecast</v>
      </c>
      <c r="L15" s="19" t="n">
        <f aca="false">IF(H15&lt;&gt;"","",SUMIFS(Forecast_Data!$G$2:$G$237,Forecast_Data!$A$2:$A$237,"Total",Forecast_Data!$E$2:$E$237,"Forecast",Forecast_Data!$F$2:$F$237,$A15))</f>
        <v>265190327.77</v>
      </c>
      <c r="M15" s="19" t="n">
        <f aca="false">IF(H15&lt;&gt;"",H15,L15)</f>
        <v>265190327.77</v>
      </c>
      <c r="N15" s="19" t="n">
        <f aca="false">M15-G15</f>
        <v>-808800.582200021</v>
      </c>
      <c r="O15" s="19" t="n">
        <f aca="false">SUM($N$5:N15)</f>
        <v>-1636173.82465002</v>
      </c>
    </row>
    <row r="16" customFormat="false" ht="15" hidden="false" customHeight="false" outlineLevel="0" collapsed="false">
      <c r="A16" s="17" t="n">
        <v>41275</v>
      </c>
      <c r="B16" s="18" t="n">
        <v>12</v>
      </c>
      <c r="C16" s="19" t="n">
        <f aca="false">SUMIFS(Monthly_Data!$G$2:$G$1441,Monthly_Data!$E$2:$E$1441,2012,Monthly_Data!$F$2:$F$1441,$B16,Monthly_Data!$B$2:$B$1441,"A")</f>
        <v>121618148.72</v>
      </c>
      <c r="D16" s="19" t="n">
        <f aca="false">SUMIFS(Monthly_Data!$G$2:$G$1441,Monthly_Data!$E$2:$E$1441,2012,Monthly_Data!$F$2:$F$1441,$B16,Monthly_Data!$B$2:$B$1441,"B")</f>
        <v>54044521.36</v>
      </c>
      <c r="E16" s="19" t="n">
        <f aca="false">SUMIFS(Monthly_Data!$G$2:$G$1441,Monthly_Data!$E$2:$E$1441,2012,Monthly_Data!$F$2:$F$1441,$B16,Monthly_Data!$B$2:$B$1441,"C")</f>
        <v>13144231.53</v>
      </c>
      <c r="F16" s="20" t="n">
        <f aca="false">IF(Assumptions!$D$9="Yes",DAY(EOMONTH($A16,0))/DAY(EOMONTH(EDATE($A16,-12),0)),1)</f>
        <v>1</v>
      </c>
      <c r="G16" s="19" t="n">
        <f aca="false">(C16*(1+Assumptions!$C$5)+D16*(1+Assumptions!$C$6)+E16*(1+Assumptions!$C$7))*F16</f>
        <v>193733499.97175</v>
      </c>
      <c r="H16" s="19" t="str">
        <f aca="false">IF(COUNTIFS(Monthly_Data!$E$2:$E$1441,2013,Monthly_Data!$F$2:$F$1441,$B16)=0,"",SUMIFS(Monthly_Data!$G$2:$G$1441,Monthly_Data!$E$2:$E$1441,2013,Monthly_Data!$F$2:$F$1441,$B16))</f>
        <v/>
      </c>
      <c r="I16" s="19" t="str">
        <f aca="false">IF(H16="","",H16-G16)</f>
        <v/>
      </c>
      <c r="J16" s="21" t="str">
        <f aca="false">IF(H16="","",I16/G16)</f>
        <v/>
      </c>
      <c r="K16" s="22" t="str">
        <f aca="false">IF(H16="","Forecast",IF(I16&gt;=0,"Favourable","Unfavourable"))</f>
        <v>Forecast</v>
      </c>
      <c r="L16" s="19" t="n">
        <f aca="false">IF(H16&lt;&gt;"","",SUMIFS(Forecast_Data!$G$2:$G$237,Forecast_Data!$A$2:$A$237,"Total",Forecast_Data!$E$2:$E$237,"Forecast",Forecast_Data!$F$2:$F$237,$A16))</f>
        <v>189780874.6</v>
      </c>
      <c r="M16" s="19" t="n">
        <f aca="false">IF(H16&lt;&gt;"",H16,L16)</f>
        <v>189780874.6</v>
      </c>
      <c r="N16" s="19" t="n">
        <f aca="false">M16-G16</f>
        <v>-3952625.37175003</v>
      </c>
      <c r="O16" s="19" t="n">
        <f aca="false">SUM($N$5:N16)</f>
        <v>-5588799.19640005</v>
      </c>
    </row>
    <row r="17" customFormat="false" ht="15" hidden="false" customHeight="false" outlineLevel="0" collapsed="false">
      <c r="A17" s="15" t="s">
        <v>90</v>
      </c>
      <c r="C17" s="23" t="n">
        <f aca="false">SUM(C5:C16)</f>
        <v>1585604755.9</v>
      </c>
      <c r="D17" s="23" t="n">
        <f aca="false">SUM(D5:D16)</f>
        <v>727260275.45</v>
      </c>
      <c r="E17" s="23" t="n">
        <f aca="false">SUM(E5:E16)</f>
        <v>147080209.36</v>
      </c>
      <c r="G17" s="23" t="n">
        <f aca="false">SUM(G5:G16)</f>
        <v>2524264792.0364</v>
      </c>
      <c r="H17" s="23" t="n">
        <f aca="false">SUM(H5:H16)</f>
        <v>1634132542.25</v>
      </c>
      <c r="I17" s="23" t="n">
        <f aca="false">SUM(I5:I16)</f>
        <v>9508682.08610001</v>
      </c>
      <c r="J17" s="24" t="n">
        <f aca="false">IFERROR(N17/G17,0)</f>
        <v>-0.00221403048286826</v>
      </c>
      <c r="L17" s="23" t="n">
        <f aca="false">SUM(L5:L16)</f>
        <v>884543450.59</v>
      </c>
      <c r="M17" s="23" t="n">
        <f aca="false">SUM(M5:M16)</f>
        <v>2518675992.84</v>
      </c>
      <c r="N17" s="23" t="n">
        <f aca="false">M17-G17</f>
        <v>-5588799.19639969</v>
      </c>
    </row>
    <row r="18" customFormat="false" ht="15" hidden="false" customHeight="false" outlineLevel="0" collapsed="false">
      <c r="J18" s="2" t="s">
        <v>91</v>
      </c>
    </row>
    <row r="19" customFormat="false" ht="15" hidden="false" customHeight="false" outlineLevel="0" collapsed="false">
      <c r="A19" s="15" t="s">
        <v>92</v>
      </c>
      <c r="B19" s="15"/>
      <c r="C19" s="15"/>
      <c r="D19" s="15"/>
      <c r="E19" s="15"/>
      <c r="F19" s="15"/>
      <c r="G19" s="23" t="n">
        <f aca="false">SUMPRODUCT((H5:H16&lt;&gt;"")*G5:G16)</f>
        <v>1624623860.1639</v>
      </c>
      <c r="H19" s="23" t="n">
        <f aca="false">SUM(H5:H16)</f>
        <v>1634132542.25</v>
      </c>
      <c r="I19" s="23" t="n">
        <f aca="false">H19-G19</f>
        <v>9508682.0861001</v>
      </c>
      <c r="J19" s="24" t="n">
        <f aca="false">IFERROR(I19/G19,0)</f>
        <v>0.00585285143180208</v>
      </c>
    </row>
  </sheetData>
  <mergeCells count="1">
    <mergeCell ref="A19:F19"/>
  </mergeCells>
  <conditionalFormatting sqref="I5:I1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N5:N17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I19:J19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K5:K16">
    <cfRule type="cellIs" priority="8" operator="equal" aboveAverage="0" equalAverage="0" bottom="0" percent="0" rank="0" text="" dxfId="0">
      <formula>"Favourable"</formula>
    </cfRule>
    <cfRule type="cellIs" priority="9" operator="equal" aboveAverage="0" equalAverage="0" bottom="0" percent="0" rank="0" text="" dxfId="1">
      <formula>"Unfavourable"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6" min="14" style="0" width="15"/>
    <col collapsed="false" customWidth="true" hidden="false" outlineLevel="0" max="17" min="17" style="0" width="13"/>
    <col collapsed="false" customWidth="true" hidden="false" outlineLevel="0" max="18" min="18" style="0" width="10"/>
  </cols>
  <sheetData>
    <row r="1" customFormat="false" ht="19.7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31.5" hidden="false" customHeight="true" outlineLevel="0" collapsed="false">
      <c r="A4" s="11" t="s">
        <v>95</v>
      </c>
      <c r="B4" s="11" t="s">
        <v>96</v>
      </c>
      <c r="C4" s="11" t="s">
        <v>97</v>
      </c>
      <c r="D4" s="11" t="s">
        <v>98</v>
      </c>
      <c r="E4" s="11" t="s">
        <v>99</v>
      </c>
      <c r="F4" s="11" t="s">
        <v>100</v>
      </c>
      <c r="G4" s="11" t="s">
        <v>101</v>
      </c>
      <c r="H4" s="11" t="s">
        <v>102</v>
      </c>
      <c r="I4" s="11" t="s">
        <v>84</v>
      </c>
      <c r="J4" s="11" t="s">
        <v>103</v>
      </c>
      <c r="K4" s="11" t="s">
        <v>85</v>
      </c>
      <c r="L4" s="11" t="s">
        <v>104</v>
      </c>
      <c r="M4" s="11" t="s">
        <v>105</v>
      </c>
      <c r="N4" s="11" t="s">
        <v>42</v>
      </c>
      <c r="O4" s="11" t="s">
        <v>106</v>
      </c>
      <c r="P4" s="11" t="s">
        <v>87</v>
      </c>
      <c r="Q4" s="11" t="s">
        <v>88</v>
      </c>
      <c r="R4" s="11" t="s">
        <v>107</v>
      </c>
    </row>
    <row r="5" customFormat="false" ht="15" hidden="false" customHeight="false" outlineLevel="0" collapsed="false">
      <c r="A5" s="25" t="n">
        <v>1</v>
      </c>
      <c r="B5" s="22" t="s">
        <v>60</v>
      </c>
      <c r="C5" s="26" t="n">
        <v>151315</v>
      </c>
      <c r="D5" s="19" t="n">
        <f aca="false">SUMIFS(Monthly_Data!$G$2:$G$1441,Monthly_Data!$A$2:$A$1441,$A5,Monthly_Data!$E$2:$E$1441,2012,Monthly_Data!$F$2:$F$1441,"&lt;=8")</f>
        <v>52783417.04</v>
      </c>
      <c r="E5" s="19" t="n">
        <f aca="false">SUMIFS(Monthly_Data!$G$2:$G$1441,Monthly_Data!$A$2:$A$1441,$A5,Monthly_Data!$E$2:$E$1441,2012,Monthly_Data!$F$2:$F$1441,1)</f>
        <v>6412587.78</v>
      </c>
      <c r="F5" s="19" t="n">
        <f aca="false">(D5+E5*(IF(Assumptions!$D$9="Yes",DAY(EOMONTH(DATE(2012,2,1),0))/DAY(EOMONTH(EDATE(DATE(2012,2,1),-12),0)),1)-1))*(1+IF(B5="A",Assumptions!$C$5,IF(B5="B",Assumptions!$C$6,Assumptions!$C$7)))</f>
        <v>54366919.5512</v>
      </c>
      <c r="G5" s="19" t="n">
        <f aca="false">SUMIFS(Monthly_Data!$G$2:$G$1441,Monthly_Data!$A$2:$A$1441,$A5,Monthly_Data!$E$2:$E$1441,2013)</f>
        <v>55775096.39</v>
      </c>
      <c r="H5" s="19" t="n">
        <f aca="false">G5-F5</f>
        <v>1408176.8388</v>
      </c>
      <c r="I5" s="27" t="n">
        <f aca="false">IFERROR(H5/F5,0)</f>
        <v>0.025901354176851</v>
      </c>
      <c r="J5" s="18" t="n">
        <f aca="false">RANK(I5,$I$5:$I$49)</f>
        <v>16</v>
      </c>
      <c r="K5" s="22" t="str">
        <f aca="false">IF(H5&gt;=0,"On / above","Below")</f>
        <v>On / above</v>
      </c>
      <c r="L5" s="19" t="n">
        <f aca="false">SUMIFS(Monthly_Data!$G$2:$G$1441,Monthly_Data!$A$2:$A$1441,$A5,Monthly_Data!$E$2:$E$1441,2012)</f>
        <v>81412054.13</v>
      </c>
      <c r="M5" s="28" t="n">
        <f aca="false">IFERROR(L5/C5,0)</f>
        <v>538.030295278062</v>
      </c>
      <c r="N5" s="19" t="n">
        <f aca="false">(L5+E5*(IF(Assumptions!$D$9="Yes",DAY(EOMONTH(DATE(2012,2,1),0))/DAY(EOMONTH(EDATE(DATE(2012,2,1),-12),0)),1)-1))*(1+IF(B5="A",Assumptions!$C$5,IF(B5="B",Assumptions!$C$6,Assumptions!$C$7)))</f>
        <v>83854415.7539</v>
      </c>
      <c r="O5" s="19" t="n">
        <f aca="false">SUMIFS(Forecast_Data!$G$2:$G$237,Forecast_Data!$A$2:$A$237,"Store",Forecast_Data!$C$2:$C$237,$A5)</f>
        <v>30251262.28</v>
      </c>
      <c r="P5" s="19" t="n">
        <f aca="false">G5+O5</f>
        <v>86026358.67</v>
      </c>
      <c r="Q5" s="19" t="n">
        <f aca="false">P5-N5</f>
        <v>2171942.91610001</v>
      </c>
      <c r="R5" s="27" t="n">
        <f aca="false">IFERROR(Q5/N5,0)</f>
        <v>0.0259013541096552</v>
      </c>
    </row>
    <row r="6" customFormat="false" ht="15" hidden="false" customHeight="false" outlineLevel="0" collapsed="false">
      <c r="A6" s="25" t="n">
        <v>2</v>
      </c>
      <c r="B6" s="22" t="s">
        <v>60</v>
      </c>
      <c r="C6" s="26" t="n">
        <v>202307</v>
      </c>
      <c r="D6" s="19" t="n">
        <f aca="false">SUMIFS(Monthly_Data!$G$2:$G$1441,Monthly_Data!$A$2:$A$1441,$A6,Monthly_Data!$E$2:$E$1441,2012,Monthly_Data!$F$2:$F$1441,"&lt;=8")</f>
        <v>63472373.75</v>
      </c>
      <c r="E6" s="19" t="n">
        <f aca="false">SUMIFS(Monthly_Data!$G$2:$G$1441,Monthly_Data!$A$2:$A$1441,$A6,Monthly_Data!$E$2:$E$1441,2012,Monthly_Data!$F$2:$F$1441,1)</f>
        <v>8034181.56</v>
      </c>
      <c r="F6" s="19" t="n">
        <f aca="false">(D6+E6*(IF(Assumptions!$D$9="Yes",DAY(EOMONTH(DATE(2012,2,1),0))/DAY(EOMONTH(EDATE(DATE(2012,2,1),-12),0)),1)-1))*(1+IF(B6="A",Assumptions!$C$5,IF(B6="B",Assumptions!$C$6,Assumptions!$C$7)))</f>
        <v>65376544.9625</v>
      </c>
      <c r="G6" s="19" t="n">
        <f aca="false">SUMIFS(Monthly_Data!$G$2:$G$1441,Monthly_Data!$A$2:$A$1441,$A6,Monthly_Data!$E$2:$E$1441,2013)</f>
        <v>66463322.73</v>
      </c>
      <c r="H6" s="19" t="n">
        <f aca="false">G6-F6</f>
        <v>1086777.76750001</v>
      </c>
      <c r="I6" s="27" t="n">
        <f aca="false">IFERROR(H6/F6,0)</f>
        <v>0.0166233588532918</v>
      </c>
      <c r="J6" s="18" t="n">
        <f aca="false">RANK(I6,$I$5:$I$49)</f>
        <v>20</v>
      </c>
      <c r="K6" s="22" t="str">
        <f aca="false">IF(H6&gt;=0,"On / above","Below")</f>
        <v>On / above</v>
      </c>
      <c r="L6" s="19" t="n">
        <f aca="false">SUMIFS(Monthly_Data!$G$2:$G$1441,Monthly_Data!$A$2:$A$1441,$A6,Monthly_Data!$E$2:$E$1441,2012)</f>
        <v>98854824.43</v>
      </c>
      <c r="M6" s="28" t="n">
        <f aca="false">IFERROR(L6/C6,0)</f>
        <v>488.63768643695</v>
      </c>
      <c r="N6" s="19" t="n">
        <f aca="false">(L6+E6*(IF(Assumptions!$D$9="Yes",DAY(EOMONTH(DATE(2012,2,1),0))/DAY(EOMONTH(EDATE(DATE(2012,2,1),-12),0)),1)-1))*(1+IF(B6="A",Assumptions!$C$5,IF(B6="B",Assumptions!$C$6,Assumptions!$C$7)))</f>
        <v>101820469.1629</v>
      </c>
      <c r="O6" s="19" t="n">
        <f aca="false">SUMIFS(Forecast_Data!$G$2:$G$237,Forecast_Data!$A$2:$A$237,"Store",Forecast_Data!$C$2:$C$237,$A6)</f>
        <v>37049744.64</v>
      </c>
      <c r="P6" s="19" t="n">
        <f aca="false">G6+O6</f>
        <v>103513067.37</v>
      </c>
      <c r="Q6" s="19" t="n">
        <f aca="false">P6-N6</f>
        <v>1692598.20709999</v>
      </c>
      <c r="R6" s="27" t="n">
        <f aca="false">IFERROR(Q6/N6,0)</f>
        <v>0.0166233589475221</v>
      </c>
    </row>
    <row r="7" customFormat="false" ht="15" hidden="false" customHeight="false" outlineLevel="0" collapsed="false">
      <c r="A7" s="25" t="n">
        <v>3</v>
      </c>
      <c r="B7" s="22" t="s">
        <v>62</v>
      </c>
      <c r="C7" s="26" t="n">
        <v>37392</v>
      </c>
      <c r="D7" s="19" t="n">
        <f aca="false">SUMIFS(Monthly_Data!$G$2:$G$1441,Monthly_Data!$A$2:$A$1441,$A7,Monthly_Data!$E$2:$E$1441,2012,Monthly_Data!$F$2:$F$1441,"&lt;=8")</f>
        <v>13360975</v>
      </c>
      <c r="E7" s="19" t="n">
        <f aca="false">SUMIFS(Monthly_Data!$G$2:$G$1441,Monthly_Data!$A$2:$A$1441,$A7,Monthly_Data!$E$2:$E$1441,2012,Monthly_Data!$F$2:$F$1441,1)</f>
        <v>1698422.27</v>
      </c>
      <c r="F7" s="19" t="n">
        <f aca="false">(D7+E7*(IF(Assumptions!$D$9="Yes",DAY(EOMONTH(DATE(2012,2,1),0))/DAY(EOMONTH(EDATE(DATE(2012,2,1),-12),0)),1)-1))*(1+IF(B7="A",Assumptions!$C$5,IF(B7="B",Assumptions!$C$6,Assumptions!$C$7)))</f>
        <v>13628194.5</v>
      </c>
      <c r="G7" s="19" t="n">
        <f aca="false">SUMIFS(Monthly_Data!$G$2:$G$1441,Monthly_Data!$A$2:$A$1441,$A7,Monthly_Data!$E$2:$E$1441,2013)</f>
        <v>14743074.28</v>
      </c>
      <c r="H7" s="19" t="n">
        <f aca="false">G7-F7</f>
        <v>1114879.78</v>
      </c>
      <c r="I7" s="27" t="n">
        <f aca="false">IFERROR(H7/F7,0)</f>
        <v>0.0818068585680957</v>
      </c>
      <c r="J7" s="18" t="n">
        <f aca="false">RANK(I7,$I$5:$I$49)</f>
        <v>3</v>
      </c>
      <c r="K7" s="22" t="str">
        <f aca="false">IF(H7&gt;=0,"On / above","Below")</f>
        <v>On / above</v>
      </c>
      <c r="L7" s="19" t="n">
        <f aca="false">SUMIFS(Monthly_Data!$G$2:$G$1441,Monthly_Data!$A$2:$A$1441,$A7,Monthly_Data!$E$2:$E$1441,2012)</f>
        <v>20877683.57</v>
      </c>
      <c r="M7" s="28" t="n">
        <f aca="false">IFERROR(L7/C7,0)</f>
        <v>558.346265778776</v>
      </c>
      <c r="N7" s="19" t="n">
        <f aca="false">(L7+E7*(IF(Assumptions!$D$9="Yes",DAY(EOMONTH(DATE(2012,2,1),0))/DAY(EOMONTH(EDATE(DATE(2012,2,1),-12),0)),1)-1))*(1+IF(B7="A",Assumptions!$C$5,IF(B7="B",Assumptions!$C$6,Assumptions!$C$7)))</f>
        <v>21295237.2414</v>
      </c>
      <c r="O7" s="19" t="n">
        <f aca="false">SUMIFS(Forecast_Data!$G$2:$G$237,Forecast_Data!$A$2:$A$237,"Store",Forecast_Data!$C$2:$C$237,$A7)</f>
        <v>8294259.43</v>
      </c>
      <c r="P7" s="19" t="n">
        <f aca="false">G7+O7</f>
        <v>23037333.71</v>
      </c>
      <c r="Q7" s="19" t="n">
        <f aca="false">P7-N7</f>
        <v>1742096.4686</v>
      </c>
      <c r="R7" s="27" t="n">
        <f aca="false">IFERROR(Q7/N7,0)</f>
        <v>0.0818068589164716</v>
      </c>
    </row>
    <row r="8" customFormat="false" ht="15" hidden="false" customHeight="false" outlineLevel="0" collapsed="false">
      <c r="A8" s="25" t="n">
        <v>4</v>
      </c>
      <c r="B8" s="22" t="s">
        <v>60</v>
      </c>
      <c r="C8" s="26" t="n">
        <v>205863</v>
      </c>
      <c r="D8" s="19" t="n">
        <f aca="false">SUMIFS(Monthly_Data!$G$2:$G$1441,Monthly_Data!$A$2:$A$1441,$A8,Monthly_Data!$E$2:$E$1441,2012,Monthly_Data!$F$2:$F$1441,"&lt;=8")</f>
        <v>71277070.14</v>
      </c>
      <c r="E8" s="19" t="n">
        <f aca="false">SUMIFS(Monthly_Data!$G$2:$G$1441,Monthly_Data!$A$2:$A$1441,$A8,Monthly_Data!$E$2:$E$1441,2012,Monthly_Data!$F$2:$F$1441,1)</f>
        <v>8694824.92</v>
      </c>
      <c r="F8" s="19" t="n">
        <f aca="false">(D8+E8*(IF(Assumptions!$D$9="Yes",DAY(EOMONTH(DATE(2012,2,1),0))/DAY(EOMONTH(EDATE(DATE(2012,2,1),-12),0)),1)-1))*(1+IF(B8="A",Assumptions!$C$5,IF(B8="B",Assumptions!$C$6,Assumptions!$C$7)))</f>
        <v>73415382.2442</v>
      </c>
      <c r="G8" s="19" t="n">
        <f aca="false">SUMIFS(Monthly_Data!$G$2:$G$1441,Monthly_Data!$A$2:$A$1441,$A8,Monthly_Data!$E$2:$E$1441,2013)</f>
        <v>75647659.01</v>
      </c>
      <c r="H8" s="19" t="n">
        <f aca="false">G8-F8</f>
        <v>2232276.7658</v>
      </c>
      <c r="I8" s="27" t="n">
        <f aca="false">IFERROR(H8/F8,0)</f>
        <v>0.0304061178674358</v>
      </c>
      <c r="J8" s="18" t="n">
        <f aca="false">RANK(I8,$I$5:$I$49)</f>
        <v>13</v>
      </c>
      <c r="K8" s="22" t="str">
        <f aca="false">IF(H8&gt;=0,"On / above","Below")</f>
        <v>On / above</v>
      </c>
      <c r="L8" s="19" t="n">
        <f aca="false">SUMIFS(Monthly_Data!$G$2:$G$1441,Monthly_Data!$A$2:$A$1441,$A8,Monthly_Data!$E$2:$E$1441,2012)</f>
        <v>111920688.97</v>
      </c>
      <c r="M8" s="28" t="n">
        <f aca="false">IFERROR(L8/C8,0)</f>
        <v>543.665879589824</v>
      </c>
      <c r="N8" s="19" t="n">
        <f aca="false">(L8+E8*(IF(Assumptions!$D$9="Yes",DAY(EOMONTH(DATE(2012,2,1),0))/DAY(EOMONTH(EDATE(DATE(2012,2,1),-12),0)),1)-1))*(1+IF(B8="A",Assumptions!$C$5,IF(B8="B",Assumptions!$C$6,Assumptions!$C$7)))</f>
        <v>115278309.6391</v>
      </c>
      <c r="O8" s="19" t="n">
        <f aca="false">SUMIFS(Forecast_Data!$G$2:$G$237,Forecast_Data!$A$2:$A$237,"Store",Forecast_Data!$C$2:$C$237,$A8)</f>
        <v>43135816.49</v>
      </c>
      <c r="P8" s="19" t="n">
        <f aca="false">G8+O8</f>
        <v>118783475.5</v>
      </c>
      <c r="Q8" s="19" t="n">
        <f aca="false">P8-N8</f>
        <v>3505165.8609</v>
      </c>
      <c r="R8" s="27" t="n">
        <f aca="false">IFERROR(Q8/N8,0)</f>
        <v>0.0304061177846341</v>
      </c>
    </row>
    <row r="9" customFormat="false" ht="15" hidden="false" customHeight="false" outlineLevel="0" collapsed="false">
      <c r="A9" s="25" t="n">
        <v>5</v>
      </c>
      <c r="B9" s="22" t="s">
        <v>62</v>
      </c>
      <c r="C9" s="26" t="n">
        <v>34875</v>
      </c>
      <c r="D9" s="19" t="n">
        <f aca="false">SUMIFS(Monthly_Data!$G$2:$G$1441,Monthly_Data!$A$2:$A$1441,$A9,Monthly_Data!$E$2:$E$1441,2012,Monthly_Data!$F$2:$F$1441,"&lt;=8")</f>
        <v>10607057.94</v>
      </c>
      <c r="E9" s="19" t="n">
        <f aca="false">SUMIFS(Monthly_Data!$G$2:$G$1441,Monthly_Data!$A$2:$A$1441,$A9,Monthly_Data!$E$2:$E$1441,2012,Monthly_Data!$F$2:$F$1441,1)</f>
        <v>1292237.48</v>
      </c>
      <c r="F9" s="19" t="n">
        <f aca="false">(D9+E9*(IF(Assumptions!$D$9="Yes",DAY(EOMONTH(DATE(2012,2,1),0))/DAY(EOMONTH(EDATE(DATE(2012,2,1),-12),0)),1)-1))*(1+IF(B9="A",Assumptions!$C$5,IF(B9="B",Assumptions!$C$6,Assumptions!$C$7)))</f>
        <v>10819199.0988</v>
      </c>
      <c r="G9" s="19" t="n">
        <f aca="false">SUMIFS(Monthly_Data!$G$2:$G$1441,Monthly_Data!$A$2:$A$1441,$A9,Monthly_Data!$E$2:$E$1441,2013)</f>
        <v>11587690.42</v>
      </c>
      <c r="H9" s="19" t="n">
        <f aca="false">G9-F9</f>
        <v>768491.3212</v>
      </c>
      <c r="I9" s="27" t="n">
        <f aca="false">IFERROR(H9/F9,0)</f>
        <v>0.0710303335932913</v>
      </c>
      <c r="J9" s="18" t="n">
        <f aca="false">RANK(I9,$I$5:$I$49)</f>
        <v>5</v>
      </c>
      <c r="K9" s="22" t="str">
        <f aca="false">IF(H9&gt;=0,"On / above","Below")</f>
        <v>On / above</v>
      </c>
      <c r="L9" s="19" t="n">
        <f aca="false">SUMIFS(Monthly_Data!$G$2:$G$1441,Monthly_Data!$A$2:$A$1441,$A9,Monthly_Data!$E$2:$E$1441,2012)</f>
        <v>16606030.41</v>
      </c>
      <c r="M9" s="28" t="n">
        <f aca="false">IFERROR(L9/C9,0)</f>
        <v>476.158578064516</v>
      </c>
      <c r="N9" s="19" t="n">
        <f aca="false">(L9+E9*(IF(Assumptions!$D$9="Yes",DAY(EOMONTH(DATE(2012,2,1),0))/DAY(EOMONTH(EDATE(DATE(2012,2,1),-12),0)),1)-1))*(1+IF(B9="A",Assumptions!$C$5,IF(B9="B",Assumptions!$C$6,Assumptions!$C$7)))</f>
        <v>16938151.0182</v>
      </c>
      <c r="O9" s="19" t="n">
        <f aca="false">SUMIFS(Forecast_Data!$G$2:$G$237,Forecast_Data!$A$2:$A$237,"Store",Forecast_Data!$C$2:$C$237,$A9)</f>
        <v>6553583.11</v>
      </c>
      <c r="P9" s="19" t="n">
        <f aca="false">G9+O9</f>
        <v>18141273.53</v>
      </c>
      <c r="Q9" s="19" t="n">
        <f aca="false">P9-N9</f>
        <v>1203122.5118</v>
      </c>
      <c r="R9" s="27" t="n">
        <f aca="false">IFERROR(Q9/N9,0)</f>
        <v>0.0710303332699803</v>
      </c>
    </row>
    <row r="10" customFormat="false" ht="15" hidden="false" customHeight="false" outlineLevel="0" collapsed="false">
      <c r="A10" s="25" t="n">
        <v>6</v>
      </c>
      <c r="B10" s="22" t="s">
        <v>60</v>
      </c>
      <c r="C10" s="26" t="n">
        <v>202505</v>
      </c>
      <c r="D10" s="19" t="n">
        <f aca="false">SUMIFS(Monthly_Data!$G$2:$G$1441,Monthly_Data!$A$2:$A$1441,$A10,Monthly_Data!$E$2:$E$1441,2012,Monthly_Data!$F$2:$F$1441,"&lt;=8")</f>
        <v>52265801.72</v>
      </c>
      <c r="E10" s="19" t="n">
        <f aca="false">SUMIFS(Monthly_Data!$G$2:$G$1441,Monthly_Data!$A$2:$A$1441,$A10,Monthly_Data!$E$2:$E$1441,2012,Monthly_Data!$F$2:$F$1441,1)</f>
        <v>5991331.12</v>
      </c>
      <c r="F10" s="19" t="n">
        <f aca="false">(D10+E10*(IF(Assumptions!$D$9="Yes",DAY(EOMONTH(DATE(2012,2,1),0))/DAY(EOMONTH(EDATE(DATE(2012,2,1),-12),0)),1)-1))*(1+IF(B10="A",Assumptions!$C$5,IF(B10="B",Assumptions!$C$6,Assumptions!$C$7)))</f>
        <v>53833775.7716</v>
      </c>
      <c r="G10" s="19" t="n">
        <f aca="false">SUMIFS(Monthly_Data!$G$2:$G$1441,Monthly_Data!$A$2:$A$1441,$A10,Monthly_Data!$E$2:$E$1441,2013)</f>
        <v>54666446.07</v>
      </c>
      <c r="H10" s="19" t="n">
        <f aca="false">G10-F10</f>
        <v>832670.2984</v>
      </c>
      <c r="I10" s="27" t="n">
        <f aca="false">IFERROR(H10/F10,0)</f>
        <v>0.0154674326009151</v>
      </c>
      <c r="J10" s="18" t="n">
        <f aca="false">RANK(I10,$I$5:$I$49)</f>
        <v>22</v>
      </c>
      <c r="K10" s="22" t="str">
        <f aca="false">IF(H10&gt;=0,"On / above","Below")</f>
        <v>On / above</v>
      </c>
      <c r="L10" s="19" t="n">
        <f aca="false">SUMIFS(Monthly_Data!$G$2:$G$1441,Monthly_Data!$A$2:$A$1441,$A10,Monthly_Data!$E$2:$E$1441,2012)</f>
        <v>80911034.67</v>
      </c>
      <c r="M10" s="28" t="n">
        <f aca="false">IFERROR(L10/C10,0)</f>
        <v>399.550799585195</v>
      </c>
      <c r="N10" s="19" t="n">
        <f aca="false">(L10+E10*(IF(Assumptions!$D$9="Yes",DAY(EOMONTH(DATE(2012,2,1),0))/DAY(EOMONTH(EDATE(DATE(2012,2,1),-12),0)),1)-1))*(1+IF(B10="A",Assumptions!$C$5,IF(B10="B",Assumptions!$C$6,Assumptions!$C$7)))</f>
        <v>83338365.7101</v>
      </c>
      <c r="O10" s="19" t="n">
        <f aca="false">SUMIFS(Forecast_Data!$G$2:$G$237,Forecast_Data!$A$2:$A$237,"Store",Forecast_Data!$C$2:$C$237,$A10)</f>
        <v>29960950.2</v>
      </c>
      <c r="P10" s="19" t="n">
        <f aca="false">G10+O10</f>
        <v>84627396.27</v>
      </c>
      <c r="Q10" s="19" t="n">
        <f aca="false">P10-N10</f>
        <v>1289030.55989999</v>
      </c>
      <c r="R10" s="27" t="n">
        <f aca="false">IFERROR(Q10/N10,0)</f>
        <v>0.0154674326634145</v>
      </c>
    </row>
    <row r="11" customFormat="false" ht="15" hidden="false" customHeight="false" outlineLevel="0" collapsed="false">
      <c r="A11" s="25" t="n">
        <v>7</v>
      </c>
      <c r="B11" s="22" t="s">
        <v>62</v>
      </c>
      <c r="C11" s="26" t="n">
        <v>70713</v>
      </c>
      <c r="D11" s="19" t="n">
        <f aca="false">SUMIFS(Monthly_Data!$G$2:$G$1441,Monthly_Data!$A$2:$A$1441,$A11,Monthly_Data!$E$2:$E$1441,2012,Monthly_Data!$F$2:$F$1441,"&lt;=8")</f>
        <v>19615088.45</v>
      </c>
      <c r="E11" s="19" t="n">
        <f aca="false">SUMIFS(Monthly_Data!$G$2:$G$1441,Monthly_Data!$A$2:$A$1441,$A11,Monthly_Data!$E$2:$E$1441,2012,Monthly_Data!$F$2:$F$1441,1)</f>
        <v>2234159.47</v>
      </c>
      <c r="F11" s="19" t="n">
        <f aca="false">(D11+E11*(IF(Assumptions!$D$9="Yes",DAY(EOMONTH(DATE(2012,2,1),0))/DAY(EOMONTH(EDATE(DATE(2012,2,1),-12),0)),1)-1))*(1+IF(B11="A",Assumptions!$C$5,IF(B11="B",Assumptions!$C$6,Assumptions!$C$7)))</f>
        <v>20007390.219</v>
      </c>
      <c r="G11" s="19" t="n">
        <f aca="false">SUMIFS(Monthly_Data!$G$2:$G$1441,Monthly_Data!$A$2:$A$1441,$A11,Monthly_Data!$E$2:$E$1441,2013)</f>
        <v>20733095.3</v>
      </c>
      <c r="H11" s="19" t="n">
        <f aca="false">G11-F11</f>
        <v>725705.080999997</v>
      </c>
      <c r="I11" s="27" t="n">
        <f aca="false">IFERROR(H11/F11,0)</f>
        <v>0.0362718512038032</v>
      </c>
      <c r="J11" s="18" t="n">
        <f aca="false">RANK(I11,$I$5:$I$49)</f>
        <v>11</v>
      </c>
      <c r="K11" s="22" t="str">
        <f aca="false">IF(H11&gt;=0,"On / above","Below")</f>
        <v>On / above</v>
      </c>
      <c r="L11" s="19" t="n">
        <f aca="false">SUMIFS(Monthly_Data!$G$2:$G$1441,Monthly_Data!$A$2:$A$1441,$A11,Monthly_Data!$E$2:$E$1441,2012)</f>
        <v>30937746.89</v>
      </c>
      <c r="M11" s="28" t="n">
        <f aca="false">IFERROR(L11/C11,0)</f>
        <v>437.511446127303</v>
      </c>
      <c r="N11" s="19" t="n">
        <f aca="false">(L11+E11*(IF(Assumptions!$D$9="Yes",DAY(EOMONTH(DATE(2012,2,1),0))/DAY(EOMONTH(EDATE(DATE(2012,2,1),-12),0)),1)-1))*(1+IF(B11="A",Assumptions!$C$5,IF(B11="B",Assumptions!$C$6,Assumptions!$C$7)))</f>
        <v>31556501.8278</v>
      </c>
      <c r="O11" s="19" t="n">
        <f aca="false">SUMIFS(Forecast_Data!$G$2:$G$237,Forecast_Data!$A$2:$A$237,"Store",Forecast_Data!$C$2:$C$237,$A11)</f>
        <v>11968019.26</v>
      </c>
      <c r="P11" s="19" t="n">
        <f aca="false">G11+O11</f>
        <v>32701114.56</v>
      </c>
      <c r="Q11" s="19" t="n">
        <f aca="false">P11-N11</f>
        <v>1144612.7322</v>
      </c>
      <c r="R11" s="27" t="n">
        <f aca="false">IFERROR(Q11/N11,0)</f>
        <v>0.0362718509943217</v>
      </c>
    </row>
    <row r="12" customFormat="false" ht="15" hidden="false" customHeight="false" outlineLevel="0" collapsed="false">
      <c r="A12" s="25" t="n">
        <v>8</v>
      </c>
      <c r="B12" s="22" t="s">
        <v>60</v>
      </c>
      <c r="C12" s="26" t="n">
        <v>155078</v>
      </c>
      <c r="D12" s="19" t="n">
        <f aca="false">SUMIFS(Monthly_Data!$G$2:$G$1441,Monthly_Data!$A$2:$A$1441,$A12,Monthly_Data!$E$2:$E$1441,2012,Monthly_Data!$F$2:$F$1441,"&lt;=8")</f>
        <v>30769847.28</v>
      </c>
      <c r="E12" s="19" t="n">
        <f aca="false">SUMIFS(Monthly_Data!$G$2:$G$1441,Monthly_Data!$A$2:$A$1441,$A12,Monthly_Data!$E$2:$E$1441,2012,Monthly_Data!$F$2:$F$1441,1)</f>
        <v>3919170.09</v>
      </c>
      <c r="F12" s="19" t="n">
        <f aca="false">(D12+E12*(IF(Assumptions!$D$9="Yes",DAY(EOMONTH(DATE(2012,2,1),0))/DAY(EOMONTH(EDATE(DATE(2012,2,1),-12),0)),1)-1))*(1+IF(B12="A",Assumptions!$C$5,IF(B12="B",Assumptions!$C$6,Assumptions!$C$7)))</f>
        <v>31692942.6984</v>
      </c>
      <c r="G12" s="19" t="n">
        <f aca="false">SUMIFS(Monthly_Data!$G$2:$G$1441,Monthly_Data!$A$2:$A$1441,$A12,Monthly_Data!$E$2:$E$1441,2013)</f>
        <v>32005001.11</v>
      </c>
      <c r="H12" s="19" t="n">
        <f aca="false">G12-F12</f>
        <v>312058.411599997</v>
      </c>
      <c r="I12" s="27" t="n">
        <f aca="false">IFERROR(H12/F12,0)</f>
        <v>0.00984630599214605</v>
      </c>
      <c r="J12" s="18" t="n">
        <f aca="false">RANK(I12,$I$5:$I$49)</f>
        <v>25</v>
      </c>
      <c r="K12" s="22" t="str">
        <f aca="false">IF(H12&gt;=0,"On / above","Below")</f>
        <v>On / above</v>
      </c>
      <c r="L12" s="19" t="n">
        <f aca="false">SUMIFS(Monthly_Data!$G$2:$G$1441,Monthly_Data!$A$2:$A$1441,$A12,Monthly_Data!$E$2:$E$1441,2012)</f>
        <v>47632294.73</v>
      </c>
      <c r="M12" s="28" t="n">
        <f aca="false">IFERROR(L12/C12,0)</f>
        <v>307.15056120146</v>
      </c>
      <c r="N12" s="19" t="n">
        <f aca="false">(L12+E12*(IF(Assumptions!$D$9="Yes",DAY(EOMONTH(DATE(2012,2,1),0))/DAY(EOMONTH(EDATE(DATE(2012,2,1),-12),0)),1)-1))*(1+IF(B12="A",Assumptions!$C$5,IF(B12="B",Assumptions!$C$6,Assumptions!$C$7)))</f>
        <v>49061263.5719</v>
      </c>
      <c r="O12" s="19" t="n">
        <f aca="false">SUMIFS(Forecast_Data!$G$2:$G$237,Forecast_Data!$A$2:$A$237,"Store",Forecast_Data!$C$2:$C$237,$A12)</f>
        <v>17539334.68</v>
      </c>
      <c r="P12" s="19" t="n">
        <f aca="false">G12+O12</f>
        <v>49544335.79</v>
      </c>
      <c r="Q12" s="19" t="n">
        <f aca="false">P12-N12</f>
        <v>483072.218100004</v>
      </c>
      <c r="R12" s="27" t="n">
        <f aca="false">IFERROR(Q12/N12,0)</f>
        <v>0.00984630608610507</v>
      </c>
    </row>
    <row r="13" customFormat="false" ht="15" hidden="false" customHeight="false" outlineLevel="0" collapsed="false">
      <c r="A13" s="25" t="n">
        <v>9</v>
      </c>
      <c r="B13" s="22" t="s">
        <v>62</v>
      </c>
      <c r="C13" s="26" t="n">
        <v>125833</v>
      </c>
      <c r="D13" s="19" t="n">
        <f aca="false">SUMIFS(Monthly_Data!$G$2:$G$1441,Monthly_Data!$A$2:$A$1441,$A13,Monthly_Data!$E$2:$E$1441,2012,Monthly_Data!$F$2:$F$1441,"&lt;=8")</f>
        <v>18443246.97</v>
      </c>
      <c r="E13" s="19" t="n">
        <f aca="false">SUMIFS(Monthly_Data!$G$2:$G$1441,Monthly_Data!$A$2:$A$1441,$A13,Monthly_Data!$E$2:$E$1441,2012,Monthly_Data!$F$2:$F$1441,1)</f>
        <v>2222871.42</v>
      </c>
      <c r="F13" s="19" t="n">
        <f aca="false">(D13+E13*(IF(Assumptions!$D$9="Yes",DAY(EOMONTH(DATE(2012,2,1),0))/DAY(EOMONTH(EDATE(DATE(2012,2,1),-12),0)),1)-1))*(1+IF(B13="A",Assumptions!$C$5,IF(B13="B",Assumptions!$C$6,Assumptions!$C$7)))</f>
        <v>18812111.9094</v>
      </c>
      <c r="G13" s="19" t="n">
        <f aca="false">SUMIFS(Monthly_Data!$G$2:$G$1441,Monthly_Data!$A$2:$A$1441,$A13,Monthly_Data!$E$2:$E$1441,2013)</f>
        <v>19619028.36</v>
      </c>
      <c r="H13" s="19" t="n">
        <f aca="false">G13-F13</f>
        <v>806916.450600002</v>
      </c>
      <c r="I13" s="27" t="n">
        <f aca="false">IFERROR(H13/F13,0)</f>
        <v>0.0428934536688995</v>
      </c>
      <c r="J13" s="18" t="n">
        <f aca="false">RANK(I13,$I$5:$I$49)</f>
        <v>9</v>
      </c>
      <c r="K13" s="22" t="str">
        <f aca="false">IF(H13&gt;=0,"On / above","Below")</f>
        <v>On / above</v>
      </c>
      <c r="L13" s="19" t="n">
        <f aca="false">SUMIFS(Monthly_Data!$G$2:$G$1441,Monthly_Data!$A$2:$A$1441,$A13,Monthly_Data!$E$2:$E$1441,2012)</f>
        <v>28857311.59</v>
      </c>
      <c r="M13" s="28" t="n">
        <f aca="false">IFERROR(L13/C13,0)</f>
        <v>229.330236027115</v>
      </c>
      <c r="N13" s="19" t="n">
        <f aca="false">(L13+E13*(IF(Assumptions!$D$9="Yes",DAY(EOMONTH(DATE(2012,2,1),0))/DAY(EOMONTH(EDATE(DATE(2012,2,1),-12),0)),1)-1))*(1+IF(B13="A",Assumptions!$C$5,IF(B13="B",Assumptions!$C$6,Assumptions!$C$7)))</f>
        <v>29434457.8218</v>
      </c>
      <c r="O13" s="19" t="n">
        <f aca="false">SUMIFS(Forecast_Data!$G$2:$G$237,Forecast_Data!$A$2:$A$237,"Store",Forecast_Data!$C$2:$C$237,$A13)</f>
        <v>11077975.01</v>
      </c>
      <c r="P13" s="19" t="n">
        <f aca="false">G13+O13</f>
        <v>30697003.37</v>
      </c>
      <c r="Q13" s="19" t="n">
        <f aca="false">P13-N13</f>
        <v>1262545.5482</v>
      </c>
      <c r="R13" s="27" t="n">
        <f aca="false">IFERROR(Q13/N13,0)</f>
        <v>0.0428934535109704</v>
      </c>
    </row>
    <row r="14" customFormat="false" ht="15" hidden="false" customHeight="false" outlineLevel="0" collapsed="false">
      <c r="A14" s="25" t="n">
        <v>10</v>
      </c>
      <c r="B14" s="22" t="s">
        <v>62</v>
      </c>
      <c r="C14" s="26" t="n">
        <v>126512</v>
      </c>
      <c r="D14" s="19" t="n">
        <f aca="false">SUMIFS(Monthly_Data!$G$2:$G$1441,Monthly_Data!$A$2:$A$1441,$A14,Monthly_Data!$E$2:$E$1441,2012,Monthly_Data!$F$2:$F$1441,"&lt;=8")</f>
        <v>62972893.24</v>
      </c>
      <c r="E14" s="19" t="n">
        <f aca="false">SUMIFS(Monthly_Data!$G$2:$G$1441,Monthly_Data!$A$2:$A$1441,$A14,Monthly_Data!$E$2:$E$1441,2012,Monthly_Data!$F$2:$F$1441,1)</f>
        <v>8154081.44</v>
      </c>
      <c r="F14" s="19" t="n">
        <f aca="false">(D14+E14*(IF(Assumptions!$D$9="Yes",DAY(EOMONTH(DATE(2012,2,1),0))/DAY(EOMONTH(EDATE(DATE(2012,2,1),-12),0)),1)-1))*(1+IF(B14="A",Assumptions!$C$5,IF(B14="B",Assumptions!$C$6,Assumptions!$C$7)))</f>
        <v>64232351.1048</v>
      </c>
      <c r="G14" s="19" t="n">
        <f aca="false">SUMIFS(Monthly_Data!$G$2:$G$1441,Monthly_Data!$A$2:$A$1441,$A14,Monthly_Data!$E$2:$E$1441,2013)</f>
        <v>64009114.98</v>
      </c>
      <c r="H14" s="19" t="n">
        <f aca="false">G14-F14</f>
        <v>-223236.124799997</v>
      </c>
      <c r="I14" s="27" t="n">
        <f aca="false">IFERROR(H14/F14,0)</f>
        <v>-0.0034754468886834</v>
      </c>
      <c r="J14" s="18" t="n">
        <f aca="false">RANK(I14,$I$5:$I$49)</f>
        <v>36</v>
      </c>
      <c r="K14" s="22" t="str">
        <f aca="false">IF(H14&gt;=0,"On / above","Below")</f>
        <v>Below</v>
      </c>
      <c r="L14" s="19" t="n">
        <f aca="false">SUMIFS(Monthly_Data!$G$2:$G$1441,Monthly_Data!$A$2:$A$1441,$A14,Monthly_Data!$E$2:$E$1441,2012)</f>
        <v>99025028.73</v>
      </c>
      <c r="M14" s="28" t="n">
        <f aca="false">IFERROR(L14/C14,0)</f>
        <v>782.732299939927</v>
      </c>
      <c r="N14" s="19" t="n">
        <f aca="false">(L14+E14*(IF(Assumptions!$D$9="Yes",DAY(EOMONTH(DATE(2012,2,1),0))/DAY(EOMONTH(EDATE(DATE(2012,2,1),-12),0)),1)-1))*(1+IF(B14="A",Assumptions!$C$5,IF(B14="B",Assumptions!$C$6,Assumptions!$C$7)))</f>
        <v>101005529.3046</v>
      </c>
      <c r="O14" s="19" t="n">
        <f aca="false">SUMIFS(Forecast_Data!$G$2:$G$237,Forecast_Data!$A$2:$A$237,"Store",Forecast_Data!$C$2:$C$237,$A14)</f>
        <v>36645374.97</v>
      </c>
      <c r="P14" s="19" t="n">
        <f aca="false">G14+O14</f>
        <v>100654489.95</v>
      </c>
      <c r="Q14" s="19" t="n">
        <f aca="false">P14-N14</f>
        <v>-351039.354599997</v>
      </c>
      <c r="R14" s="27" t="n">
        <f aca="false">IFERROR(Q14/N14,0)</f>
        <v>-0.00347544690886552</v>
      </c>
    </row>
    <row r="15" customFormat="false" ht="15" hidden="false" customHeight="false" outlineLevel="0" collapsed="false">
      <c r="A15" s="25" t="n">
        <v>11</v>
      </c>
      <c r="B15" s="22" t="s">
        <v>60</v>
      </c>
      <c r="C15" s="26" t="n">
        <v>207499</v>
      </c>
      <c r="D15" s="19" t="n">
        <f aca="false">SUMIFS(Monthly_Data!$G$2:$G$1441,Monthly_Data!$A$2:$A$1441,$A15,Monthly_Data!$E$2:$E$1441,2012,Monthly_Data!$F$2:$F$1441,"&lt;=8")</f>
        <v>45600041.22</v>
      </c>
      <c r="E15" s="19" t="n">
        <f aca="false">SUMIFS(Monthly_Data!$G$2:$G$1441,Monthly_Data!$A$2:$A$1441,$A15,Monthly_Data!$E$2:$E$1441,2012,Monthly_Data!$F$2:$F$1441,1)</f>
        <v>5710634.13</v>
      </c>
      <c r="F15" s="19" t="n">
        <f aca="false">(D15+E15*(IF(Assumptions!$D$9="Yes",DAY(EOMONTH(DATE(2012,2,1),0))/DAY(EOMONTH(EDATE(DATE(2012,2,1),-12),0)),1)-1))*(1+IF(B15="A",Assumptions!$C$5,IF(B15="B",Assumptions!$C$6,Assumptions!$C$7)))</f>
        <v>46968042.4566</v>
      </c>
      <c r="G15" s="19" t="n">
        <f aca="false">SUMIFS(Monthly_Data!$G$2:$G$1441,Monthly_Data!$A$2:$A$1441,$A15,Monthly_Data!$E$2:$E$1441,2013)</f>
        <v>47717710.99</v>
      </c>
      <c r="H15" s="19" t="n">
        <f aca="false">G15-F15</f>
        <v>749668.533399999</v>
      </c>
      <c r="I15" s="27" t="n">
        <f aca="false">IFERROR(H15/F15,0)</f>
        <v>0.0159612471414519</v>
      </c>
      <c r="J15" s="18" t="n">
        <f aca="false">RANK(I15,$I$5:$I$49)</f>
        <v>21</v>
      </c>
      <c r="K15" s="22" t="str">
        <f aca="false">IF(H15&gt;=0,"On / above","Below")</f>
        <v>On / above</v>
      </c>
      <c r="L15" s="19" t="n">
        <f aca="false">SUMIFS(Monthly_Data!$G$2:$G$1441,Monthly_Data!$A$2:$A$1441,$A15,Monthly_Data!$E$2:$E$1441,2012)</f>
        <v>70957675.6</v>
      </c>
      <c r="M15" s="28" t="n">
        <f aca="false">IFERROR(L15/C15,0)</f>
        <v>341.966349717348</v>
      </c>
      <c r="N15" s="19" t="n">
        <f aca="false">(L15+E15*(IF(Assumptions!$D$9="Yes",DAY(EOMONTH(DATE(2012,2,1),0))/DAY(EOMONTH(EDATE(DATE(2012,2,1),-12),0)),1)-1))*(1+IF(B15="A",Assumptions!$C$5,IF(B15="B",Assumptions!$C$6,Assumptions!$C$7)))</f>
        <v>73086405.868</v>
      </c>
      <c r="O15" s="19" t="n">
        <f aca="false">SUMIFS(Forecast_Data!$G$2:$G$237,Forecast_Data!$A$2:$A$237,"Store",Forecast_Data!$C$2:$C$237,$A15)</f>
        <v>26535245.06</v>
      </c>
      <c r="P15" s="19" t="n">
        <f aca="false">G15+O15</f>
        <v>74252956.05</v>
      </c>
      <c r="Q15" s="19" t="n">
        <f aca="false">P15-N15</f>
        <v>1166550.18200001</v>
      </c>
      <c r="R15" s="27" t="n">
        <f aca="false">IFERROR(Q15/N15,0)</f>
        <v>0.0159612470766027</v>
      </c>
    </row>
    <row r="16" customFormat="false" ht="15" hidden="false" customHeight="false" outlineLevel="0" collapsed="false">
      <c r="A16" s="25" t="n">
        <v>12</v>
      </c>
      <c r="B16" s="22" t="s">
        <v>62</v>
      </c>
      <c r="C16" s="26" t="n">
        <v>112238</v>
      </c>
      <c r="D16" s="19" t="n">
        <f aca="false">SUMIFS(Monthly_Data!$G$2:$G$1441,Monthly_Data!$A$2:$A$1441,$A16,Monthly_Data!$E$2:$E$1441,2012,Monthly_Data!$F$2:$F$1441,"&lt;=8")</f>
        <v>33934681.58</v>
      </c>
      <c r="E16" s="19" t="n">
        <f aca="false">SUMIFS(Monthly_Data!$G$2:$G$1441,Monthly_Data!$A$2:$A$1441,$A16,Monthly_Data!$E$2:$E$1441,2012,Monthly_Data!$F$2:$F$1441,1)</f>
        <v>4323969.99</v>
      </c>
      <c r="F16" s="19" t="n">
        <f aca="false">(D16+E16*(IF(Assumptions!$D$9="Yes",DAY(EOMONTH(DATE(2012,2,1),0))/DAY(EOMONTH(EDATE(DATE(2012,2,1),-12),0)),1)-1))*(1+IF(B16="A",Assumptions!$C$5,IF(B16="B",Assumptions!$C$6,Assumptions!$C$7)))</f>
        <v>34613375.2116</v>
      </c>
      <c r="G16" s="19" t="n">
        <f aca="false">SUMIFS(Monthly_Data!$G$2:$G$1441,Monthly_Data!$A$2:$A$1441,$A16,Monthly_Data!$E$2:$E$1441,2013)</f>
        <v>35603981.54</v>
      </c>
      <c r="H16" s="19" t="n">
        <f aca="false">G16-F16</f>
        <v>990606.328400001</v>
      </c>
      <c r="I16" s="27" t="n">
        <f aca="false">IFERROR(H16/F16,0)</f>
        <v>0.0286191774810802</v>
      </c>
      <c r="J16" s="18" t="n">
        <f aca="false">RANK(I16,$I$5:$I$49)</f>
        <v>14</v>
      </c>
      <c r="K16" s="22" t="str">
        <f aca="false">IF(H16&gt;=0,"On / above","Below")</f>
        <v>On / above</v>
      </c>
      <c r="L16" s="19" t="n">
        <f aca="false">SUMIFS(Monthly_Data!$G$2:$G$1441,Monthly_Data!$A$2:$A$1441,$A16,Monthly_Data!$E$2:$E$1441,2012)</f>
        <v>52896767.26</v>
      </c>
      <c r="M16" s="28" t="n">
        <f aca="false">IFERROR(L16/C16,0)</f>
        <v>471.291071294927</v>
      </c>
      <c r="N16" s="19" t="n">
        <f aca="false">(L16+E16*(IF(Assumptions!$D$9="Yes",DAY(EOMONTH(DATE(2012,2,1),0))/DAY(EOMONTH(EDATE(DATE(2012,2,1),-12),0)),1)-1))*(1+IF(B16="A",Assumptions!$C$5,IF(B16="B",Assumptions!$C$6,Assumptions!$C$7)))</f>
        <v>53954702.6052</v>
      </c>
      <c r="O16" s="19" t="n">
        <f aca="false">SUMIFS(Forecast_Data!$G$2:$G$237,Forecast_Data!$A$2:$A$237,"Store",Forecast_Data!$C$2:$C$237,$A16)</f>
        <v>19894860.27</v>
      </c>
      <c r="P16" s="19" t="n">
        <f aca="false">G16+O16</f>
        <v>55498841.81</v>
      </c>
      <c r="Q16" s="19" t="n">
        <f aca="false">P16-N16</f>
        <v>1544139.2048</v>
      </c>
      <c r="R16" s="27" t="n">
        <f aca="false">IFERROR(Q16/N16,0)</f>
        <v>0.0286191773884633</v>
      </c>
    </row>
    <row r="17" customFormat="false" ht="15" hidden="false" customHeight="false" outlineLevel="0" collapsed="false">
      <c r="A17" s="25" t="n">
        <v>13</v>
      </c>
      <c r="B17" s="22" t="s">
        <v>60</v>
      </c>
      <c r="C17" s="26" t="n">
        <v>219622</v>
      </c>
      <c r="D17" s="19" t="n">
        <f aca="false">SUMIFS(Monthly_Data!$G$2:$G$1441,Monthly_Data!$A$2:$A$1441,$A17,Monthly_Data!$E$2:$E$1441,2012,Monthly_Data!$F$2:$F$1441,"&lt;=8")</f>
        <v>67166894.34</v>
      </c>
      <c r="E17" s="19" t="n">
        <f aca="false">SUMIFS(Monthly_Data!$G$2:$G$1441,Monthly_Data!$A$2:$A$1441,$A17,Monthly_Data!$E$2:$E$1441,2012,Monthly_Data!$F$2:$F$1441,1)</f>
        <v>7648086.08</v>
      </c>
      <c r="F17" s="19" t="n">
        <f aca="false">(D17+E17*(IF(Assumptions!$D$9="Yes",DAY(EOMONTH(DATE(2012,2,1),0))/DAY(EOMONTH(EDATE(DATE(2012,2,1),-12),0)),1)-1))*(1+IF(B17="A",Assumptions!$C$5,IF(B17="B",Assumptions!$C$6,Assumptions!$C$7)))</f>
        <v>69181901.1702</v>
      </c>
      <c r="G17" s="19" t="n">
        <f aca="false">SUMIFS(Monthly_Data!$G$2:$G$1441,Monthly_Data!$A$2:$A$1441,$A17,Monthly_Data!$E$2:$E$1441,2013)</f>
        <v>70888768.69</v>
      </c>
      <c r="H17" s="19" t="n">
        <f aca="false">G17-F17</f>
        <v>1706867.51979999</v>
      </c>
      <c r="I17" s="27" t="n">
        <f aca="false">IFERROR(H17/F17,0)</f>
        <v>0.0246721684563249</v>
      </c>
      <c r="J17" s="18" t="n">
        <f aca="false">RANK(I17,$I$5:$I$49)</f>
        <v>17</v>
      </c>
      <c r="K17" s="22" t="str">
        <f aca="false">IF(H17&gt;=0,"On / above","Below")</f>
        <v>On / above</v>
      </c>
      <c r="L17" s="19" t="n">
        <f aca="false">SUMIFS(Monthly_Data!$G$2:$G$1441,Monthly_Data!$A$2:$A$1441,$A17,Monthly_Data!$E$2:$E$1441,2012)</f>
        <v>105222625.88</v>
      </c>
      <c r="M17" s="28" t="n">
        <f aca="false">IFERROR(L17/C17,0)</f>
        <v>479.107857500615</v>
      </c>
      <c r="N17" s="19" t="n">
        <f aca="false">(L17+E17*(IF(Assumptions!$D$9="Yes",DAY(EOMONTH(DATE(2012,2,1),0))/DAY(EOMONTH(EDATE(DATE(2012,2,1),-12),0)),1)-1))*(1+IF(B17="A",Assumptions!$C$5,IF(B17="B",Assumptions!$C$6,Assumptions!$C$7)))</f>
        <v>108379304.6564</v>
      </c>
      <c r="O17" s="19" t="n">
        <f aca="false">SUMIFS(Forecast_Data!$G$2:$G$237,Forecast_Data!$A$2:$A$237,"Store",Forecast_Data!$C$2:$C$237,$A17)</f>
        <v>40164488.42</v>
      </c>
      <c r="P17" s="19" t="n">
        <f aca="false">G17+O17</f>
        <v>111053257.11</v>
      </c>
      <c r="Q17" s="19" t="n">
        <f aca="false">P17-N17</f>
        <v>2673952.4536</v>
      </c>
      <c r="R17" s="27" t="n">
        <f aca="false">IFERROR(Q17/N17,0)</f>
        <v>0.0246721683819375</v>
      </c>
    </row>
    <row r="18" customFormat="false" ht="15" hidden="false" customHeight="false" outlineLevel="0" collapsed="false">
      <c r="A18" s="25" t="n">
        <v>14</v>
      </c>
      <c r="B18" s="22" t="s">
        <v>60</v>
      </c>
      <c r="C18" s="26" t="n">
        <v>200898</v>
      </c>
      <c r="D18" s="19" t="n">
        <f aca="false">SUMIFS(Monthly_Data!$G$2:$G$1441,Monthly_Data!$A$2:$A$1441,$A18,Monthly_Data!$E$2:$E$1441,2012,Monthly_Data!$F$2:$F$1441,"&lt;=8")</f>
        <v>68883074.27</v>
      </c>
      <c r="E18" s="19" t="n">
        <f aca="false">SUMIFS(Monthly_Data!$G$2:$G$1441,Monthly_Data!$A$2:$A$1441,$A18,Monthly_Data!$E$2:$E$1441,2012,Monthly_Data!$F$2:$F$1441,1)</f>
        <v>7890461.91</v>
      </c>
      <c r="F18" s="19" t="n">
        <f aca="false">(D18+E18*(IF(Assumptions!$D$9="Yes",DAY(EOMONTH(DATE(2012,2,1),0))/DAY(EOMONTH(EDATE(DATE(2012,2,1),-12),0)),1)-1))*(1+IF(B18="A",Assumptions!$C$5,IF(B18="B",Assumptions!$C$6,Assumptions!$C$7)))</f>
        <v>70949566.4981</v>
      </c>
      <c r="G18" s="19" t="n">
        <f aca="false">SUMIFS(Monthly_Data!$G$2:$G$1441,Monthly_Data!$A$2:$A$1441,$A18,Monthly_Data!$E$2:$E$1441,2013)</f>
        <v>63289082.6</v>
      </c>
      <c r="H18" s="19" t="n">
        <f aca="false">G18-F18</f>
        <v>-7660483.8981</v>
      </c>
      <c r="I18" s="27" t="n">
        <f aca="false">IFERROR(H18/F18,0)</f>
        <v>-0.107970834442028</v>
      </c>
      <c r="J18" s="18" t="n">
        <f aca="false">RANK(I18,$I$5:$I$49)</f>
        <v>44</v>
      </c>
      <c r="K18" s="22" t="str">
        <f aca="false">IF(H18&gt;=0,"On / above","Below")</f>
        <v>Below</v>
      </c>
      <c r="L18" s="19" t="n">
        <f aca="false">SUMIFS(Monthly_Data!$G$2:$G$1441,Monthly_Data!$A$2:$A$1441,$A18,Monthly_Data!$E$2:$E$1441,2012)</f>
        <v>106332813.99</v>
      </c>
      <c r="M18" s="28" t="n">
        <f aca="false">IFERROR(L18/C18,0)</f>
        <v>529.28756876624</v>
      </c>
      <c r="N18" s="19" t="n">
        <f aca="false">(L18+E18*(IF(Assumptions!$D$9="Yes",DAY(EOMONTH(DATE(2012,2,1),0))/DAY(EOMONTH(EDATE(DATE(2012,2,1),-12),0)),1)-1))*(1+IF(B18="A",Assumptions!$C$5,IF(B18="B",Assumptions!$C$6,Assumptions!$C$7)))</f>
        <v>109522798.4097</v>
      </c>
      <c r="O18" s="19" t="n">
        <f aca="false">SUMIFS(Forecast_Data!$G$2:$G$237,Forecast_Data!$A$2:$A$237,"Store",Forecast_Data!$C$2:$C$237,$A18)</f>
        <v>34408447.88</v>
      </c>
      <c r="P18" s="19" t="n">
        <f aca="false">G18+O18</f>
        <v>97697530.48</v>
      </c>
      <c r="Q18" s="19" t="n">
        <f aca="false">P18-N18</f>
        <v>-11825267.9297</v>
      </c>
      <c r="R18" s="27" t="n">
        <f aca="false">IFERROR(Q18/N18,0)</f>
        <v>-0.107970834396181</v>
      </c>
    </row>
    <row r="19" customFormat="false" ht="15" hidden="false" customHeight="false" outlineLevel="0" collapsed="false">
      <c r="A19" s="25" t="n">
        <v>15</v>
      </c>
      <c r="B19" s="22" t="s">
        <v>62</v>
      </c>
      <c r="C19" s="26" t="n">
        <v>123737</v>
      </c>
      <c r="D19" s="19" t="n">
        <f aca="false">SUMIFS(Monthly_Data!$G$2:$G$1441,Monthly_Data!$A$2:$A$1441,$A19,Monthly_Data!$E$2:$E$1441,2012,Monthly_Data!$F$2:$F$1441,"&lt;=8")</f>
        <v>20758507.55</v>
      </c>
      <c r="E19" s="19" t="n">
        <f aca="false">SUMIFS(Monthly_Data!$G$2:$G$1441,Monthly_Data!$A$2:$A$1441,$A19,Monthly_Data!$E$2:$E$1441,2012,Monthly_Data!$F$2:$F$1441,1)</f>
        <v>2344182.9</v>
      </c>
      <c r="F19" s="19" t="n">
        <f aca="false">(D19+E19*(IF(Assumptions!$D$9="Yes",DAY(EOMONTH(DATE(2012,2,1),0))/DAY(EOMONTH(EDATE(DATE(2012,2,1),-12),0)),1)-1))*(1+IF(B19="A",Assumptions!$C$5,IF(B19="B",Assumptions!$C$6,Assumptions!$C$7)))</f>
        <v>21173677.701</v>
      </c>
      <c r="G19" s="19" t="n">
        <f aca="false">SUMIFS(Monthly_Data!$G$2:$G$1441,Monthly_Data!$A$2:$A$1441,$A19,Monthly_Data!$E$2:$E$1441,2013)</f>
        <v>20523592</v>
      </c>
      <c r="H19" s="19" t="n">
        <f aca="false">G19-F19</f>
        <v>-650085.701000001</v>
      </c>
      <c r="I19" s="27" t="n">
        <f aca="false">IFERROR(H19/F19,0)</f>
        <v>-0.0307025406818816</v>
      </c>
      <c r="J19" s="18" t="n">
        <f aca="false">RANK(I19,$I$5:$I$49)</f>
        <v>40</v>
      </c>
      <c r="K19" s="22" t="str">
        <f aca="false">IF(H19&gt;=0,"On / above","Below")</f>
        <v>Below</v>
      </c>
      <c r="L19" s="19" t="n">
        <f aca="false">SUMIFS(Monthly_Data!$G$2:$G$1441,Monthly_Data!$A$2:$A$1441,$A19,Monthly_Data!$E$2:$E$1441,2012)</f>
        <v>32314978.47</v>
      </c>
      <c r="M19" s="28" t="n">
        <f aca="false">IFERROR(L19/C19,0)</f>
        <v>261.158573991611</v>
      </c>
      <c r="N19" s="19" t="n">
        <f aca="false">(L19+E19*(IF(Assumptions!$D$9="Yes",DAY(EOMONTH(DATE(2012,2,1),0))/DAY(EOMONTH(EDATE(DATE(2012,2,1),-12),0)),1)-1))*(1+IF(B19="A",Assumptions!$C$5,IF(B19="B",Assumptions!$C$6,Assumptions!$C$7)))</f>
        <v>32961278.0394</v>
      </c>
      <c r="O19" s="19" t="n">
        <f aca="false">SUMIFS(Forecast_Data!$G$2:$G$237,Forecast_Data!$A$2:$A$237,"Store",Forecast_Data!$C$2:$C$237,$A19)</f>
        <v>11425691.06</v>
      </c>
      <c r="P19" s="19" t="n">
        <f aca="false">G19+O19</f>
        <v>31949283.06</v>
      </c>
      <c r="Q19" s="19" t="n">
        <f aca="false">P19-N19</f>
        <v>-1011994.9794</v>
      </c>
      <c r="R19" s="27" t="n">
        <f aca="false">IFERROR(Q19/N19,0)</f>
        <v>-0.030702540665757</v>
      </c>
    </row>
    <row r="20" customFormat="false" ht="15" hidden="false" customHeight="false" outlineLevel="0" collapsed="false">
      <c r="A20" s="25" t="n">
        <v>16</v>
      </c>
      <c r="B20" s="22" t="s">
        <v>62</v>
      </c>
      <c r="C20" s="26" t="n">
        <v>57197</v>
      </c>
      <c r="D20" s="19" t="n">
        <f aca="false">SUMIFS(Monthly_Data!$G$2:$G$1441,Monthly_Data!$A$2:$A$1441,$A20,Monthly_Data!$E$2:$E$1441,2012,Monthly_Data!$F$2:$F$1441,"&lt;=8")</f>
        <v>17595242.93</v>
      </c>
      <c r="E20" s="19" t="n">
        <f aca="false">SUMIFS(Monthly_Data!$G$2:$G$1441,Monthly_Data!$A$2:$A$1441,$A20,Monthly_Data!$E$2:$E$1441,2012,Monthly_Data!$F$2:$F$1441,1)</f>
        <v>1914836.85</v>
      </c>
      <c r="F20" s="19" t="n">
        <f aca="false">(D20+E20*(IF(Assumptions!$D$9="Yes",DAY(EOMONTH(DATE(2012,2,1),0))/DAY(EOMONTH(EDATE(DATE(2012,2,1),-12),0)),1)-1))*(1+IF(B20="A",Assumptions!$C$5,IF(B20="B",Assumptions!$C$6,Assumptions!$C$7)))</f>
        <v>17947147.7886</v>
      </c>
      <c r="G20" s="19" t="n">
        <f aca="false">SUMIFS(Monthly_Data!$G$2:$G$1441,Monthly_Data!$A$2:$A$1441,$A20,Monthly_Data!$E$2:$E$1441,2013)</f>
        <v>17947636.39</v>
      </c>
      <c r="H20" s="19" t="n">
        <f aca="false">G20-F20</f>
        <v>488.601399999112</v>
      </c>
      <c r="I20" s="27" t="n">
        <f aca="false">IFERROR(H20/F20,0)</f>
        <v>2.72244596051898E-005</v>
      </c>
      <c r="J20" s="18" t="n">
        <f aca="false">RANK(I20,$I$5:$I$49)</f>
        <v>32</v>
      </c>
      <c r="K20" s="22" t="str">
        <f aca="false">IF(H20&gt;=0,"On / above","Below")</f>
        <v>On / above</v>
      </c>
      <c r="L20" s="19" t="n">
        <f aca="false">SUMIFS(Monthly_Data!$G$2:$G$1441,Monthly_Data!$A$2:$A$1441,$A20,Monthly_Data!$E$2:$E$1441,2012)</f>
        <v>27534150.03</v>
      </c>
      <c r="M20" s="28" t="n">
        <f aca="false">IFERROR(L20/C20,0)</f>
        <v>481.391507072049</v>
      </c>
      <c r="N20" s="19" t="n">
        <f aca="false">(L20+E20*(IF(Assumptions!$D$9="Yes",DAY(EOMONTH(DATE(2012,2,1),0))/DAY(EOMONTH(EDATE(DATE(2012,2,1),-12),0)),1)-1))*(1+IF(B20="A",Assumptions!$C$5,IF(B20="B",Assumptions!$C$6,Assumptions!$C$7)))</f>
        <v>28084833.0306</v>
      </c>
      <c r="O20" s="19" t="n">
        <f aca="false">SUMIFS(Forecast_Data!$G$2:$G$237,Forecast_Data!$A$2:$A$237,"Store",Forecast_Data!$C$2:$C$237,$A20)</f>
        <v>10137961.24</v>
      </c>
      <c r="P20" s="19" t="n">
        <f aca="false">G20+O20</f>
        <v>28085597.63</v>
      </c>
      <c r="Q20" s="19" t="n">
        <f aca="false">P20-N20</f>
        <v>764.599400002509</v>
      </c>
      <c r="R20" s="27" t="n">
        <f aca="false">IFERROR(Q20/N20,0)</f>
        <v>2.72246375532814E-005</v>
      </c>
    </row>
    <row r="21" customFormat="false" ht="15" hidden="false" customHeight="false" outlineLevel="0" collapsed="false">
      <c r="A21" s="25" t="n">
        <v>17</v>
      </c>
      <c r="B21" s="22" t="s">
        <v>62</v>
      </c>
      <c r="C21" s="26" t="n">
        <v>93188</v>
      </c>
      <c r="D21" s="19" t="n">
        <f aca="false">SUMIFS(Monthly_Data!$G$2:$G$1441,Monthly_Data!$A$2:$A$1441,$A21,Monthly_Data!$E$2:$E$1441,2012,Monthly_Data!$F$2:$F$1441,"&lt;=8")</f>
        <v>30090457.09</v>
      </c>
      <c r="E21" s="19" t="n">
        <f aca="false">SUMIFS(Monthly_Data!$G$2:$G$1441,Monthly_Data!$A$2:$A$1441,$A21,Monthly_Data!$E$2:$E$1441,2012,Monthly_Data!$F$2:$F$1441,1)</f>
        <v>3257834.81</v>
      </c>
      <c r="F21" s="19" t="n">
        <f aca="false">(D21+E21*(IF(Assumptions!$D$9="Yes",DAY(EOMONTH(DATE(2012,2,1),0))/DAY(EOMONTH(EDATE(DATE(2012,2,1),-12),0)),1)-1))*(1+IF(B21="A",Assumptions!$C$5,IF(B21="B",Assumptions!$C$6,Assumptions!$C$7)))</f>
        <v>30692266.2318</v>
      </c>
      <c r="G21" s="19" t="n">
        <f aca="false">SUMIFS(Monthly_Data!$G$2:$G$1441,Monthly_Data!$A$2:$A$1441,$A21,Monthly_Data!$E$2:$E$1441,2013)</f>
        <v>32639565.28</v>
      </c>
      <c r="H21" s="19" t="n">
        <f aca="false">G21-F21</f>
        <v>1947299.0482</v>
      </c>
      <c r="I21" s="27" t="n">
        <f aca="false">IFERROR(H21/F21,0)</f>
        <v>0.0634459193561411</v>
      </c>
      <c r="J21" s="18" t="n">
        <f aca="false">RANK(I21,$I$5:$I$49)</f>
        <v>6</v>
      </c>
      <c r="K21" s="22" t="str">
        <f aca="false">IF(H21&gt;=0,"On / above","Below")</f>
        <v>On / above</v>
      </c>
      <c r="L21" s="19" t="n">
        <f aca="false">SUMIFS(Monthly_Data!$G$2:$G$1441,Monthly_Data!$A$2:$A$1441,$A21,Monthly_Data!$E$2:$E$1441,2012)</f>
        <v>46852823.4</v>
      </c>
      <c r="M21" s="28" t="n">
        <f aca="false">IFERROR(L21/C21,0)</f>
        <v>502.777432716659</v>
      </c>
      <c r="N21" s="19" t="n">
        <f aca="false">(L21+E21*(IF(Assumptions!$D$9="Yes",DAY(EOMONTH(DATE(2012,2,1),0))/DAY(EOMONTH(EDATE(DATE(2012,2,1),-12),0)),1)-1))*(1+IF(B21="A",Assumptions!$C$5,IF(B21="B",Assumptions!$C$6,Assumptions!$C$7)))</f>
        <v>47789879.868</v>
      </c>
      <c r="O21" s="19" t="n">
        <f aca="false">SUMIFS(Forecast_Data!$G$2:$G$237,Forecast_Data!$A$2:$A$237,"Store",Forecast_Data!$C$2:$C$237,$A21)</f>
        <v>18182387.45</v>
      </c>
      <c r="P21" s="19" t="n">
        <f aca="false">G21+O21</f>
        <v>50821952.73</v>
      </c>
      <c r="Q21" s="19" t="n">
        <f aca="false">P21-N21</f>
        <v>3032072.862</v>
      </c>
      <c r="R21" s="27" t="n">
        <f aca="false">IFERROR(Q21/N21,0)</f>
        <v>0.0634459193112612</v>
      </c>
    </row>
    <row r="22" customFormat="false" ht="15" hidden="false" customHeight="false" outlineLevel="0" collapsed="false">
      <c r="A22" s="25" t="n">
        <v>18</v>
      </c>
      <c r="B22" s="22" t="s">
        <v>62</v>
      </c>
      <c r="C22" s="26" t="n">
        <v>120653</v>
      </c>
      <c r="D22" s="19" t="n">
        <f aca="false">SUMIFS(Monthly_Data!$G$2:$G$1441,Monthly_Data!$A$2:$A$1441,$A22,Monthly_Data!$E$2:$E$1441,2012,Monthly_Data!$F$2:$F$1441,"&lt;=8")</f>
        <v>34357162.69</v>
      </c>
      <c r="E22" s="19" t="n">
        <f aca="false">SUMIFS(Monthly_Data!$G$2:$G$1441,Monthly_Data!$A$2:$A$1441,$A22,Monthly_Data!$E$2:$E$1441,2012,Monthly_Data!$F$2:$F$1441,1)</f>
        <v>4282137.86</v>
      </c>
      <c r="F22" s="19" t="n">
        <f aca="false">(D22+E22*(IF(Assumptions!$D$9="Yes",DAY(EOMONTH(DATE(2012,2,1),0))/DAY(EOMONTH(EDATE(DATE(2012,2,1),-12),0)),1)-1))*(1+IF(B22="A",Assumptions!$C$5,IF(B22="B",Assumptions!$C$6,Assumptions!$C$7)))</f>
        <v>35044305.9438</v>
      </c>
      <c r="G22" s="19" t="n">
        <f aca="false">SUMIFS(Monthly_Data!$G$2:$G$1441,Monthly_Data!$A$2:$A$1441,$A22,Monthly_Data!$E$2:$E$1441,2013)</f>
        <v>36657735.48</v>
      </c>
      <c r="H22" s="19" t="n">
        <f aca="false">G22-F22</f>
        <v>1613429.5362</v>
      </c>
      <c r="I22" s="27" t="n">
        <f aca="false">IFERROR(H22/F22,0)</f>
        <v>0.0460397058166149</v>
      </c>
      <c r="J22" s="18" t="n">
        <f aca="false">RANK(I22,$I$5:$I$49)</f>
        <v>8</v>
      </c>
      <c r="K22" s="22" t="str">
        <f aca="false">IF(H22&gt;=0,"On / above","Below")</f>
        <v>On / above</v>
      </c>
      <c r="L22" s="19" t="n">
        <f aca="false">SUMIFS(Monthly_Data!$G$2:$G$1441,Monthly_Data!$A$2:$A$1441,$A22,Monthly_Data!$E$2:$E$1441,2012)</f>
        <v>54543804.87</v>
      </c>
      <c r="M22" s="28" t="n">
        <f aca="false">IFERROR(L22/C22,0)</f>
        <v>452.07168383712</v>
      </c>
      <c r="N22" s="19" t="n">
        <f aca="false">(L22+E22*(IF(Assumptions!$D$9="Yes",DAY(EOMONTH(DATE(2012,2,1),0))/DAY(EOMONTH(EDATE(DATE(2012,2,1),-12),0)),1)-1))*(1+IF(B22="A",Assumptions!$C$5,IF(B22="B",Assumptions!$C$6,Assumptions!$C$7)))</f>
        <v>55634680.9674</v>
      </c>
      <c r="O22" s="19" t="n">
        <f aca="false">SUMIFS(Forecast_Data!$G$2:$G$237,Forecast_Data!$A$2:$A$237,"Store",Forecast_Data!$C$2:$C$237,$A22)</f>
        <v>21538349.84</v>
      </c>
      <c r="P22" s="19" t="n">
        <f aca="false">G22+O22</f>
        <v>58196085.32</v>
      </c>
      <c r="Q22" s="19" t="n">
        <f aca="false">P22-N22</f>
        <v>2561404.35259999</v>
      </c>
      <c r="R22" s="27" t="n">
        <f aca="false">IFERROR(Q22/N22,0)</f>
        <v>0.0460397059542929</v>
      </c>
    </row>
    <row r="23" customFormat="false" ht="15" hidden="false" customHeight="false" outlineLevel="0" collapsed="false">
      <c r="A23" s="25" t="n">
        <v>19</v>
      </c>
      <c r="B23" s="22" t="s">
        <v>60</v>
      </c>
      <c r="C23" s="26" t="n">
        <v>203819</v>
      </c>
      <c r="D23" s="19" t="n">
        <f aca="false">SUMIFS(Monthly_Data!$G$2:$G$1441,Monthly_Data!$A$2:$A$1441,$A23,Monthly_Data!$E$2:$E$1441,2012,Monthly_Data!$F$2:$F$1441,"&lt;=8")</f>
        <v>48495047.67</v>
      </c>
      <c r="E23" s="19" t="n">
        <f aca="false">SUMIFS(Monthly_Data!$G$2:$G$1441,Monthly_Data!$A$2:$A$1441,$A23,Monthly_Data!$E$2:$E$1441,2012,Monthly_Data!$F$2:$F$1441,1)</f>
        <v>5582345.01</v>
      </c>
      <c r="F23" s="19" t="n">
        <f aca="false">(D23+E23*(IF(Assumptions!$D$9="Yes",DAY(EOMONTH(DATE(2012,2,1),0))/DAY(EOMONTH(EDATE(DATE(2012,2,1),-12),0)),1)-1))*(1+IF(B23="A",Assumptions!$C$5,IF(B23="B",Assumptions!$C$6,Assumptions!$C$7)))</f>
        <v>49949899.1001</v>
      </c>
      <c r="G23" s="19" t="n">
        <f aca="false">SUMIFS(Monthly_Data!$G$2:$G$1441,Monthly_Data!$A$2:$A$1441,$A23,Monthly_Data!$E$2:$E$1441,2013)</f>
        <v>48476431.03</v>
      </c>
      <c r="H23" s="19" t="n">
        <f aca="false">G23-F23</f>
        <v>-1473468.0701</v>
      </c>
      <c r="I23" s="27" t="n">
        <f aca="false">IFERROR(H23/F23,0)</f>
        <v>-0.0294989198506119</v>
      </c>
      <c r="J23" s="18" t="n">
        <f aca="false">RANK(I23,$I$5:$I$49)</f>
        <v>39</v>
      </c>
      <c r="K23" s="22" t="str">
        <f aca="false">IF(H23&gt;=0,"On / above","Below")</f>
        <v>Below</v>
      </c>
      <c r="L23" s="19" t="n">
        <f aca="false">SUMIFS(Monthly_Data!$G$2:$G$1441,Monthly_Data!$A$2:$A$1441,$A23,Monthly_Data!$E$2:$E$1441,2012)</f>
        <v>75086229.14</v>
      </c>
      <c r="M23" s="28" t="n">
        <f aca="false">IFERROR(L23/C23,0)</f>
        <v>368.39661238648</v>
      </c>
      <c r="N23" s="19" t="n">
        <f aca="false">(L23+E23*(IF(Assumptions!$D$9="Yes",DAY(EOMONTH(DATE(2012,2,1),0))/DAY(EOMONTH(EDATE(DATE(2012,2,1),-12),0)),1)-1))*(1+IF(B23="A",Assumptions!$C$5,IF(B23="B",Assumptions!$C$6,Assumptions!$C$7)))</f>
        <v>77338816.0142</v>
      </c>
      <c r="O23" s="19" t="n">
        <f aca="false">SUMIFS(Forecast_Data!$G$2:$G$237,Forecast_Data!$A$2:$A$237,"Store",Forecast_Data!$C$2:$C$237,$A23)</f>
        <v>26580973.45</v>
      </c>
      <c r="P23" s="19" t="n">
        <f aca="false">G23+O23</f>
        <v>75057404.48</v>
      </c>
      <c r="Q23" s="19" t="n">
        <f aca="false">P23-N23</f>
        <v>-2281411.5342</v>
      </c>
      <c r="R23" s="27" t="n">
        <f aca="false">IFERROR(Q23/N23,0)</f>
        <v>-0.0294989198409905</v>
      </c>
    </row>
    <row r="24" customFormat="false" ht="15" hidden="false" customHeight="false" outlineLevel="0" collapsed="false">
      <c r="A24" s="25" t="n">
        <v>20</v>
      </c>
      <c r="B24" s="22" t="s">
        <v>60</v>
      </c>
      <c r="C24" s="26" t="n">
        <v>203742</v>
      </c>
      <c r="D24" s="19" t="n">
        <f aca="false">SUMIFS(Monthly_Data!$G$2:$G$1441,Monthly_Data!$A$2:$A$1441,$A24,Monthly_Data!$E$2:$E$1441,2012,Monthly_Data!$F$2:$F$1441,"&lt;=8")</f>
        <v>70406344.55</v>
      </c>
      <c r="E24" s="19" t="n">
        <f aca="false">SUMIFS(Monthly_Data!$G$2:$G$1441,Monthly_Data!$A$2:$A$1441,$A24,Monthly_Data!$E$2:$E$1441,2012,Monthly_Data!$F$2:$F$1441,1)</f>
        <v>8670733.77</v>
      </c>
      <c r="F24" s="19" t="n">
        <f aca="false">(D24+E24*(IF(Assumptions!$D$9="Yes",DAY(EOMONTH(DATE(2012,2,1),0))/DAY(EOMONTH(EDATE(DATE(2012,2,1),-12),0)),1)-1))*(1+IF(B24="A",Assumptions!$C$5,IF(B24="B",Assumptions!$C$6,Assumptions!$C$7)))</f>
        <v>72518534.8865</v>
      </c>
      <c r="G24" s="19" t="n">
        <f aca="false">SUMIFS(Monthly_Data!$G$2:$G$1441,Monthly_Data!$A$2:$A$1441,$A24,Monthly_Data!$E$2:$E$1441,2013)</f>
        <v>73240002.99</v>
      </c>
      <c r="H24" s="19" t="n">
        <f aca="false">G24-F24</f>
        <v>721468.103499994</v>
      </c>
      <c r="I24" s="27" t="n">
        <f aca="false">IFERROR(H24/F24,0)</f>
        <v>0.00994874075474878</v>
      </c>
      <c r="J24" s="18" t="n">
        <f aca="false">RANK(I24,$I$5:$I$49)</f>
        <v>24</v>
      </c>
      <c r="K24" s="22" t="str">
        <f aca="false">IF(H24&gt;=0,"On / above","Below")</f>
        <v>On / above</v>
      </c>
      <c r="L24" s="19" t="n">
        <f aca="false">SUMIFS(Monthly_Data!$G$2:$G$1441,Monthly_Data!$A$2:$A$1441,$A24,Monthly_Data!$E$2:$E$1441,2012)</f>
        <v>110347842.44</v>
      </c>
      <c r="M24" s="28" t="n">
        <f aca="false">IFERROR(L24/C24,0)</f>
        <v>541.605768275564</v>
      </c>
      <c r="N24" s="19" t="n">
        <f aca="false">(L24+E24*(IF(Assumptions!$D$9="Yes",DAY(EOMONTH(DATE(2012,2,1),0))/DAY(EOMONTH(EDATE(DATE(2012,2,1),-12),0)),1)-1))*(1+IF(B24="A",Assumptions!$C$5,IF(B24="B",Assumptions!$C$6,Assumptions!$C$7)))</f>
        <v>113658277.7132</v>
      </c>
      <c r="O24" s="19" t="n">
        <f aca="false">SUMIFS(Forecast_Data!$G$2:$G$237,Forecast_Data!$A$2:$A$237,"Store",Forecast_Data!$C$2:$C$237,$A24)</f>
        <v>41549031.46</v>
      </c>
      <c r="P24" s="19" t="n">
        <f aca="false">G24+O24</f>
        <v>114789034.45</v>
      </c>
      <c r="Q24" s="19" t="n">
        <f aca="false">P24-N24</f>
        <v>1130756.73679999</v>
      </c>
      <c r="R24" s="27" t="n">
        <f aca="false">IFERROR(Q24/N24,0)</f>
        <v>0.00994874073011456</v>
      </c>
    </row>
    <row r="25" customFormat="false" ht="15" hidden="false" customHeight="false" outlineLevel="0" collapsed="false">
      <c r="A25" s="25" t="n">
        <v>21</v>
      </c>
      <c r="B25" s="22" t="s">
        <v>62</v>
      </c>
      <c r="C25" s="26" t="n">
        <v>140167</v>
      </c>
      <c r="D25" s="19" t="n">
        <f aca="false">SUMIFS(Monthly_Data!$G$2:$G$1441,Monthly_Data!$A$2:$A$1441,$A25,Monthly_Data!$E$2:$E$1441,2012,Monthly_Data!$F$2:$F$1441,"&lt;=8")</f>
        <v>26194484.6</v>
      </c>
      <c r="E25" s="19" t="n">
        <f aca="false">SUMIFS(Monthly_Data!$G$2:$G$1441,Monthly_Data!$A$2:$A$1441,$A25,Monthly_Data!$E$2:$E$1441,2012,Monthly_Data!$F$2:$F$1441,1)</f>
        <v>3106882.32</v>
      </c>
      <c r="F25" s="19" t="n">
        <f aca="false">(D25+E25*(IF(Assumptions!$D$9="Yes",DAY(EOMONTH(DATE(2012,2,1),0))/DAY(EOMONTH(EDATE(DATE(2012,2,1),-12),0)),1)-1))*(1+IF(B25="A",Assumptions!$C$5,IF(B25="B",Assumptions!$C$6,Assumptions!$C$7)))</f>
        <v>26718374.292</v>
      </c>
      <c r="G25" s="19" t="n">
        <f aca="false">SUMIFS(Monthly_Data!$G$2:$G$1441,Monthly_Data!$A$2:$A$1441,$A25,Monthly_Data!$E$2:$E$1441,2013)</f>
        <v>24893937.15</v>
      </c>
      <c r="H25" s="19" t="n">
        <f aca="false">G25-F25</f>
        <v>-1824437.142</v>
      </c>
      <c r="I25" s="27" t="n">
        <f aca="false">IFERROR(H25/F25,0)</f>
        <v>-0.0682839877180056</v>
      </c>
      <c r="J25" s="18" t="n">
        <f aca="false">RANK(I25,$I$5:$I$49)</f>
        <v>43</v>
      </c>
      <c r="K25" s="22" t="str">
        <f aca="false">IF(H25&gt;=0,"On / above","Below")</f>
        <v>Below</v>
      </c>
      <c r="L25" s="19" t="n">
        <f aca="false">SUMIFS(Monthly_Data!$G$2:$G$1441,Monthly_Data!$A$2:$A$1441,$A25,Monthly_Data!$E$2:$E$1441,2012)</f>
        <v>40308386.68</v>
      </c>
      <c r="M25" s="28" t="n">
        <f aca="false">IFERROR(L25/C25,0)</f>
        <v>287.57401299878</v>
      </c>
      <c r="N25" s="19" t="n">
        <f aca="false">(L25+E25*(IF(Assumptions!$D$9="Yes",DAY(EOMONTH(DATE(2012,2,1),0))/DAY(EOMONTH(EDATE(DATE(2012,2,1),-12),0)),1)-1))*(1+IF(B25="A",Assumptions!$C$5,IF(B25="B",Assumptions!$C$6,Assumptions!$C$7)))</f>
        <v>41114554.4136</v>
      </c>
      <c r="O25" s="19" t="n">
        <f aca="false">SUMIFS(Forecast_Data!$G$2:$G$237,Forecast_Data!$A$2:$A$237,"Store",Forecast_Data!$C$2:$C$237,$A25)</f>
        <v>13413151.53</v>
      </c>
      <c r="P25" s="19" t="n">
        <f aca="false">G25+O25</f>
        <v>38307088.68</v>
      </c>
      <c r="Q25" s="19" t="n">
        <f aca="false">P25-N25</f>
        <v>-2807465.7336</v>
      </c>
      <c r="R25" s="27" t="n">
        <f aca="false">IFERROR(Q25/N25,0)</f>
        <v>-0.0682839878393851</v>
      </c>
    </row>
    <row r="26" customFormat="false" ht="15" hidden="false" customHeight="false" outlineLevel="0" collapsed="false">
      <c r="A26" s="25" t="n">
        <v>22</v>
      </c>
      <c r="B26" s="22" t="s">
        <v>62</v>
      </c>
      <c r="C26" s="26" t="n">
        <v>119557</v>
      </c>
      <c r="D26" s="19" t="n">
        <f aca="false">SUMIFS(Monthly_Data!$G$2:$G$1441,Monthly_Data!$A$2:$A$1441,$A26,Monthly_Data!$E$2:$E$1441,2012,Monthly_Data!$F$2:$F$1441,"&lt;=8")</f>
        <v>34317352.41</v>
      </c>
      <c r="E26" s="19" t="n">
        <f aca="false">SUMIFS(Monthly_Data!$G$2:$G$1441,Monthly_Data!$A$2:$A$1441,$A26,Monthly_Data!$E$2:$E$1441,2012,Monthly_Data!$F$2:$F$1441,1)</f>
        <v>3864459.96</v>
      </c>
      <c r="F26" s="19" t="n">
        <f aca="false">(D26+E26*(IF(Assumptions!$D$9="Yes",DAY(EOMONTH(DATE(2012,2,1),0))/DAY(EOMONTH(EDATE(DATE(2012,2,1),-12),0)),1)-1))*(1+IF(B26="A",Assumptions!$C$5,IF(B26="B",Assumptions!$C$6,Assumptions!$C$7)))</f>
        <v>35003699.4582</v>
      </c>
      <c r="G26" s="19" t="n">
        <f aca="false">SUMIFS(Monthly_Data!$G$2:$G$1441,Monthly_Data!$A$2:$A$1441,$A26,Monthly_Data!$E$2:$E$1441,2013)</f>
        <v>34875827.88</v>
      </c>
      <c r="H26" s="19" t="n">
        <f aca="false">G26-F26</f>
        <v>-127871.578199998</v>
      </c>
      <c r="I26" s="27" t="n">
        <f aca="false">IFERROR(H26/F26,0)</f>
        <v>-0.00365308753586736</v>
      </c>
      <c r="J26" s="18" t="n">
        <f aca="false">RANK(I26,$I$5:$I$49)</f>
        <v>37</v>
      </c>
      <c r="K26" s="22" t="str">
        <f aca="false">IF(H26&gt;=0,"On / above","Below")</f>
        <v>Below</v>
      </c>
      <c r="L26" s="19" t="n">
        <f aca="false">SUMIFS(Monthly_Data!$G$2:$G$1441,Monthly_Data!$A$2:$A$1441,$A26,Monthly_Data!$E$2:$E$1441,2012)</f>
        <v>53795386.64</v>
      </c>
      <c r="M26" s="28" t="n">
        <f aca="false">IFERROR(L26/C26,0)</f>
        <v>449.95597614527</v>
      </c>
      <c r="N26" s="19" t="n">
        <f aca="false">(L26+E26*(IF(Assumptions!$D$9="Yes",DAY(EOMONTH(DATE(2012,2,1),0))/DAY(EOMONTH(EDATE(DATE(2012,2,1),-12),0)),1)-1))*(1+IF(B26="A",Assumptions!$C$5,IF(B26="B",Assumptions!$C$6,Assumptions!$C$7)))</f>
        <v>54871294.3728</v>
      </c>
      <c r="O26" s="19" t="n">
        <f aca="false">SUMIFS(Forecast_Data!$G$2:$G$237,Forecast_Data!$A$2:$A$237,"Store",Forecast_Data!$C$2:$C$237,$A26)</f>
        <v>19795016.86</v>
      </c>
      <c r="P26" s="19" t="n">
        <f aca="false">G26+O26</f>
        <v>54670844.74</v>
      </c>
      <c r="Q26" s="19" t="n">
        <f aca="false">P26-N26</f>
        <v>-200449.632799998</v>
      </c>
      <c r="R26" s="27" t="n">
        <f aca="false">IFERROR(Q26/N26,0)</f>
        <v>-0.00365308737639989</v>
      </c>
    </row>
    <row r="27" customFormat="false" ht="15" hidden="false" customHeight="false" outlineLevel="0" collapsed="false">
      <c r="A27" s="25" t="n">
        <v>23</v>
      </c>
      <c r="B27" s="22" t="s">
        <v>62</v>
      </c>
      <c r="C27" s="26" t="n">
        <v>114533</v>
      </c>
      <c r="D27" s="19" t="n">
        <f aca="false">SUMIFS(Monthly_Data!$G$2:$G$1441,Monthly_Data!$A$2:$A$1441,$A27,Monthly_Data!$E$2:$E$1441,2012,Monthly_Data!$F$2:$F$1441,"&lt;=8")</f>
        <v>46236782.21</v>
      </c>
      <c r="E27" s="19" t="n">
        <f aca="false">SUMIFS(Monthly_Data!$G$2:$G$1441,Monthly_Data!$A$2:$A$1441,$A27,Monthly_Data!$E$2:$E$1441,2012,Monthly_Data!$F$2:$F$1441,1)</f>
        <v>5046862.32</v>
      </c>
      <c r="F27" s="19" t="n">
        <f aca="false">(D27+E27*(IF(Assumptions!$D$9="Yes",DAY(EOMONTH(DATE(2012,2,1),0))/DAY(EOMONTH(EDATE(DATE(2012,2,1),-12),0)),1)-1))*(1+IF(B27="A",Assumptions!$C$5,IF(B27="B",Assumptions!$C$6,Assumptions!$C$7)))</f>
        <v>47161517.8542</v>
      </c>
      <c r="G27" s="19" t="n">
        <f aca="false">SUMIFS(Monthly_Data!$G$2:$G$1441,Monthly_Data!$A$2:$A$1441,$A27,Monthly_Data!$E$2:$E$1441,2013)</f>
        <v>48510635.93</v>
      </c>
      <c r="H27" s="19" t="n">
        <f aca="false">G27-F27</f>
        <v>1349118.0758</v>
      </c>
      <c r="I27" s="27" t="n">
        <f aca="false">IFERROR(H27/F27,0)</f>
        <v>0.0286063328150465</v>
      </c>
      <c r="J27" s="18" t="n">
        <f aca="false">RANK(I27,$I$5:$I$49)</f>
        <v>15</v>
      </c>
      <c r="K27" s="22" t="str">
        <f aca="false">IF(H27&gt;=0,"On / above","Below")</f>
        <v>On / above</v>
      </c>
      <c r="L27" s="19" t="n">
        <f aca="false">SUMIFS(Monthly_Data!$G$2:$G$1441,Monthly_Data!$A$2:$A$1441,$A27,Monthly_Data!$E$2:$E$1441,2012)</f>
        <v>72531129.83</v>
      </c>
      <c r="M27" s="28" t="n">
        <f aca="false">IFERROR(L27/C27,0)</f>
        <v>633.2771326168</v>
      </c>
      <c r="N27" s="19" t="n">
        <f aca="false">(L27+E27*(IF(Assumptions!$D$9="Yes",DAY(EOMONTH(DATE(2012,2,1),0))/DAY(EOMONTH(EDATE(DATE(2012,2,1),-12),0)),1)-1))*(1+IF(B27="A",Assumptions!$C$5,IF(B27="B",Assumptions!$C$6,Assumptions!$C$7)))</f>
        <v>73981752.4266</v>
      </c>
      <c r="O27" s="19" t="n">
        <f aca="false">SUMIFS(Forecast_Data!$G$2:$G$237,Forecast_Data!$A$2:$A$237,"Store",Forecast_Data!$C$2:$C$237,$A27)</f>
        <v>27587463.12</v>
      </c>
      <c r="P27" s="19" t="n">
        <f aca="false">G27+O27</f>
        <v>76098099.05</v>
      </c>
      <c r="Q27" s="19" t="n">
        <f aca="false">P27-N27</f>
        <v>2116346.6234</v>
      </c>
      <c r="R27" s="27" t="n">
        <f aca="false">IFERROR(Q27/N27,0)</f>
        <v>0.0286063326966972</v>
      </c>
    </row>
    <row r="28" customFormat="false" ht="15" hidden="false" customHeight="false" outlineLevel="0" collapsed="false">
      <c r="A28" s="25" t="n">
        <v>24</v>
      </c>
      <c r="B28" s="22" t="s">
        <v>60</v>
      </c>
      <c r="C28" s="26" t="n">
        <v>203819</v>
      </c>
      <c r="D28" s="19" t="n">
        <f aca="false">SUMIFS(Monthly_Data!$G$2:$G$1441,Monthly_Data!$A$2:$A$1441,$A28,Monthly_Data!$E$2:$E$1441,2012,Monthly_Data!$F$2:$F$1441,"&lt;=8")</f>
        <v>45611204.75</v>
      </c>
      <c r="E28" s="19" t="n">
        <f aca="false">SUMIFS(Monthly_Data!$G$2:$G$1441,Monthly_Data!$A$2:$A$1441,$A28,Monthly_Data!$E$2:$E$1441,2012,Monthly_Data!$F$2:$F$1441,1)</f>
        <v>5213899.49</v>
      </c>
      <c r="F28" s="19" t="n">
        <f aca="false">(D28+E28*(IF(Assumptions!$D$9="Yes",DAY(EOMONTH(DATE(2012,2,1),0))/DAY(EOMONTH(EDATE(DATE(2012,2,1),-12),0)),1)-1))*(1+IF(B28="A",Assumptions!$C$5,IF(B28="B",Assumptions!$C$6,Assumptions!$C$7)))</f>
        <v>46979540.8925</v>
      </c>
      <c r="G28" s="19" t="n">
        <f aca="false">SUMIFS(Monthly_Data!$G$2:$G$1441,Monthly_Data!$A$2:$A$1441,$A28,Monthly_Data!$E$2:$E$1441,2013)</f>
        <v>46864981.63</v>
      </c>
      <c r="H28" s="19" t="n">
        <f aca="false">G28-F28</f>
        <v>-114559.262499996</v>
      </c>
      <c r="I28" s="27" t="n">
        <f aca="false">IFERROR(H28/F28,0)</f>
        <v>-0.00243849259323614</v>
      </c>
      <c r="J28" s="18" t="n">
        <f aca="false">RANK(I28,$I$5:$I$49)</f>
        <v>35</v>
      </c>
      <c r="K28" s="22" t="str">
        <f aca="false">IF(H28&gt;=0,"On / above","Below")</f>
        <v>Below</v>
      </c>
      <c r="L28" s="19" t="n">
        <f aca="false">SUMIFS(Monthly_Data!$G$2:$G$1441,Monthly_Data!$A$2:$A$1441,$A28,Monthly_Data!$E$2:$E$1441,2012)</f>
        <v>70163998.07</v>
      </c>
      <c r="M28" s="28" t="n">
        <f aca="false">IFERROR(L28/C28,0)</f>
        <v>344.246601494463</v>
      </c>
      <c r="N28" s="19" t="n">
        <f aca="false">(L28+E28*(IF(Assumptions!$D$9="Yes",DAY(EOMONTH(DATE(2012,2,1),0))/DAY(EOMONTH(EDATE(DATE(2012,2,1),-12),0)),1)-1))*(1+IF(B28="A",Assumptions!$C$5,IF(B28="B",Assumptions!$C$6,Assumptions!$C$7)))</f>
        <v>72268918.0121</v>
      </c>
      <c r="O28" s="19" t="n">
        <f aca="false">SUMIFS(Forecast_Data!$G$2:$G$237,Forecast_Data!$A$2:$A$237,"Store",Forecast_Data!$C$2:$C$237,$A28)</f>
        <v>25227709.16</v>
      </c>
      <c r="P28" s="19" t="n">
        <f aca="false">G28+O28</f>
        <v>72092690.79</v>
      </c>
      <c r="Q28" s="19" t="n">
        <f aca="false">P28-N28</f>
        <v>-176227.22209999</v>
      </c>
      <c r="R28" s="27" t="n">
        <f aca="false">IFERROR(Q28/N28,0)</f>
        <v>-0.002438492604393</v>
      </c>
    </row>
    <row r="29" customFormat="false" ht="15" hidden="false" customHeight="false" outlineLevel="0" collapsed="false">
      <c r="A29" s="25" t="n">
        <v>25</v>
      </c>
      <c r="B29" s="22" t="s">
        <v>62</v>
      </c>
      <c r="C29" s="26" t="n">
        <v>128107</v>
      </c>
      <c r="D29" s="19" t="n">
        <f aca="false">SUMIFS(Monthly_Data!$G$2:$G$1441,Monthly_Data!$A$2:$A$1441,$A29,Monthly_Data!$E$2:$E$1441,2012,Monthly_Data!$F$2:$F$1441,"&lt;=8")</f>
        <v>23078110.09</v>
      </c>
      <c r="E29" s="19" t="n">
        <f aca="false">SUMIFS(Monthly_Data!$G$2:$G$1441,Monthly_Data!$A$2:$A$1441,$A29,Monthly_Data!$E$2:$E$1441,2012,Monthly_Data!$F$2:$F$1441,1)</f>
        <v>2461414.23</v>
      </c>
      <c r="F29" s="19" t="n">
        <f aca="false">(D29+E29*(IF(Assumptions!$D$9="Yes",DAY(EOMONTH(DATE(2012,2,1),0))/DAY(EOMONTH(EDATE(DATE(2012,2,1),-12),0)),1)-1))*(1+IF(B29="A",Assumptions!$C$5,IF(B29="B",Assumptions!$C$6,Assumptions!$C$7)))</f>
        <v>23539672.2918</v>
      </c>
      <c r="G29" s="19" t="n">
        <f aca="false">SUMIFS(Monthly_Data!$G$2:$G$1441,Monthly_Data!$A$2:$A$1441,$A29,Monthly_Data!$E$2:$E$1441,2013)</f>
        <v>24116262.95</v>
      </c>
      <c r="H29" s="19" t="n">
        <f aca="false">G29-F29</f>
        <v>576590.6582</v>
      </c>
      <c r="I29" s="27" t="n">
        <f aca="false">IFERROR(H29/F29,0)</f>
        <v>0.0244944216322355</v>
      </c>
      <c r="J29" s="18" t="n">
        <f aca="false">RANK(I29,$I$5:$I$49)</f>
        <v>18</v>
      </c>
      <c r="K29" s="22" t="str">
        <f aca="false">IF(H29&gt;=0,"On / above","Below")</f>
        <v>On / above</v>
      </c>
      <c r="L29" s="19" t="n">
        <f aca="false">SUMIFS(Monthly_Data!$G$2:$G$1441,Monthly_Data!$A$2:$A$1441,$A29,Monthly_Data!$E$2:$E$1441,2012)</f>
        <v>36663278.44</v>
      </c>
      <c r="M29" s="28" t="n">
        <f aca="false">IFERROR(L29/C29,0)</f>
        <v>286.192623666154</v>
      </c>
      <c r="N29" s="19" t="n">
        <f aca="false">(L29+E29*(IF(Assumptions!$D$9="Yes",DAY(EOMONTH(DATE(2012,2,1),0))/DAY(EOMONTH(EDATE(DATE(2012,2,1),-12),0)),1)-1))*(1+IF(B29="A",Assumptions!$C$5,IF(B29="B",Assumptions!$C$6,Assumptions!$C$7)))</f>
        <v>37396544.0088</v>
      </c>
      <c r="O29" s="19" t="n">
        <f aca="false">SUMIFS(Forecast_Data!$G$2:$G$237,Forecast_Data!$A$2:$A$237,"Store",Forecast_Data!$C$2:$C$237,$A29)</f>
        <v>14196287.78</v>
      </c>
      <c r="P29" s="19" t="n">
        <f aca="false">G29+O29</f>
        <v>38312550.73</v>
      </c>
      <c r="Q29" s="19" t="n">
        <f aca="false">P29-N29</f>
        <v>916006.721199997</v>
      </c>
      <c r="R29" s="27" t="n">
        <f aca="false">IFERROR(Q29/N29,0)</f>
        <v>0.0244944217568459</v>
      </c>
    </row>
    <row r="30" customFormat="false" ht="15" hidden="false" customHeight="false" outlineLevel="0" collapsed="false">
      <c r="A30" s="25" t="n">
        <v>26</v>
      </c>
      <c r="B30" s="22" t="s">
        <v>60</v>
      </c>
      <c r="C30" s="26" t="n">
        <v>152513</v>
      </c>
      <c r="D30" s="19" t="n">
        <f aca="false">SUMIFS(Monthly_Data!$G$2:$G$1441,Monthly_Data!$A$2:$A$1441,$A30,Monthly_Data!$E$2:$E$1441,2012,Monthly_Data!$F$2:$F$1441,"&lt;=8")</f>
        <v>34066307.2</v>
      </c>
      <c r="E30" s="19" t="n">
        <f aca="false">SUMIFS(Monthly_Data!$G$2:$G$1441,Monthly_Data!$A$2:$A$1441,$A30,Monthly_Data!$E$2:$E$1441,2012,Monthly_Data!$F$2:$F$1441,1)</f>
        <v>3829295.73</v>
      </c>
      <c r="F30" s="19" t="n">
        <f aca="false">(D30+E30*(IF(Assumptions!$D$9="Yes",DAY(EOMONTH(DATE(2012,2,1),0))/DAY(EOMONTH(EDATE(DATE(2012,2,1),-12),0)),1)-1))*(1+IF(B30="A",Assumptions!$C$5,IF(B30="B",Assumptions!$C$6,Assumptions!$C$7)))</f>
        <v>35088296.416</v>
      </c>
      <c r="G30" s="19" t="n">
        <f aca="false">SUMIFS(Monthly_Data!$G$2:$G$1441,Monthly_Data!$A$2:$A$1441,$A30,Monthly_Data!$E$2:$E$1441,2013)</f>
        <v>35211767.12</v>
      </c>
      <c r="H30" s="19" t="n">
        <f aca="false">G30-F30</f>
        <v>123470.703999996</v>
      </c>
      <c r="I30" s="27" t="n">
        <f aca="false">IFERROR(H30/F30,0)</f>
        <v>0.00351885718634361</v>
      </c>
      <c r="J30" s="18" t="n">
        <f aca="false">RANK(I30,$I$5:$I$49)</f>
        <v>27</v>
      </c>
      <c r="K30" s="22" t="str">
        <f aca="false">IF(H30&gt;=0,"On / above","Below")</f>
        <v>On / above</v>
      </c>
      <c r="L30" s="19" t="n">
        <f aca="false">SUMIFS(Monthly_Data!$G$2:$G$1441,Monthly_Data!$A$2:$A$1441,$A30,Monthly_Data!$E$2:$E$1441,2012)</f>
        <v>52284022.99</v>
      </c>
      <c r="M30" s="28" t="n">
        <f aca="false">IFERROR(L30/C30,0)</f>
        <v>342.816828663786</v>
      </c>
      <c r="N30" s="19" t="n">
        <f aca="false">(L30+E30*(IF(Assumptions!$D$9="Yes",DAY(EOMONTH(DATE(2012,2,1),0))/DAY(EOMONTH(EDATE(DATE(2012,2,1),-12),0)),1)-1))*(1+IF(B30="A",Assumptions!$C$5,IF(B30="B",Assumptions!$C$6,Assumptions!$C$7)))</f>
        <v>53852543.6797</v>
      </c>
      <c r="O30" s="19" t="n">
        <f aca="false">SUMIFS(Forecast_Data!$G$2:$G$237,Forecast_Data!$A$2:$A$237,"Store",Forecast_Data!$C$2:$C$237,$A30)</f>
        <v>18830275.97</v>
      </c>
      <c r="P30" s="19" t="n">
        <f aca="false">G30+O30</f>
        <v>54042043.09</v>
      </c>
      <c r="Q30" s="19" t="n">
        <f aca="false">P30-N30</f>
        <v>189499.410299994</v>
      </c>
      <c r="R30" s="27" t="n">
        <f aca="false">IFERROR(Q30/N30,0)</f>
        <v>0.00351885718578279</v>
      </c>
    </row>
    <row r="31" customFormat="false" ht="15" hidden="false" customHeight="false" outlineLevel="0" collapsed="false">
      <c r="A31" s="25" t="n">
        <v>27</v>
      </c>
      <c r="B31" s="22" t="s">
        <v>60</v>
      </c>
      <c r="C31" s="26" t="n">
        <v>204184</v>
      </c>
      <c r="D31" s="19" t="n">
        <f aca="false">SUMIFS(Monthly_Data!$G$2:$G$1441,Monthly_Data!$A$2:$A$1441,$A31,Monthly_Data!$E$2:$E$1441,2012,Monthly_Data!$F$2:$F$1441,"&lt;=8")</f>
        <v>60364248.93</v>
      </c>
      <c r="E31" s="19" t="n">
        <f aca="false">SUMIFS(Monthly_Data!$G$2:$G$1441,Monthly_Data!$A$2:$A$1441,$A31,Monthly_Data!$E$2:$E$1441,2012,Monthly_Data!$F$2:$F$1441,1)</f>
        <v>6674639.19</v>
      </c>
      <c r="F31" s="19" t="n">
        <f aca="false">(D31+E31*(IF(Assumptions!$D$9="Yes",DAY(EOMONTH(DATE(2012,2,1),0))/DAY(EOMONTH(EDATE(DATE(2012,2,1),-12),0)),1)-1))*(1+IF(B31="A",Assumptions!$C$5,IF(B31="B",Assumptions!$C$6,Assumptions!$C$7)))</f>
        <v>62175176.3979</v>
      </c>
      <c r="G31" s="19" t="n">
        <f aca="false">SUMIFS(Monthly_Data!$G$2:$G$1441,Monthly_Data!$A$2:$A$1441,$A31,Monthly_Data!$E$2:$E$1441,2013)</f>
        <v>59072333.48</v>
      </c>
      <c r="H31" s="19" t="n">
        <f aca="false">G31-F31</f>
        <v>-3102842.9179</v>
      </c>
      <c r="I31" s="27" t="n">
        <f aca="false">IFERROR(H31/F31,0)</f>
        <v>-0.0499048510621483</v>
      </c>
      <c r="J31" s="18" t="n">
        <f aca="false">RANK(I31,$I$5:$I$49)</f>
        <v>42</v>
      </c>
      <c r="K31" s="22" t="str">
        <f aca="false">IF(H31&gt;=0,"On / above","Below")</f>
        <v>Below</v>
      </c>
      <c r="L31" s="19" t="n">
        <f aca="false">SUMIFS(Monthly_Data!$G$2:$G$1441,Monthly_Data!$A$2:$A$1441,$A31,Monthly_Data!$E$2:$E$1441,2012)</f>
        <v>91913524.34</v>
      </c>
      <c r="M31" s="28" t="n">
        <f aca="false">IFERROR(L31/C31,0)</f>
        <v>450.150473788348</v>
      </c>
      <c r="N31" s="19" t="n">
        <f aca="false">(L31+E31*(IF(Assumptions!$D$9="Yes",DAY(EOMONTH(DATE(2012,2,1),0))/DAY(EOMONTH(EDATE(DATE(2012,2,1),-12),0)),1)-1))*(1+IF(B31="A",Assumptions!$C$5,IF(B31="B",Assumptions!$C$6,Assumptions!$C$7)))</f>
        <v>94670930.0702</v>
      </c>
      <c r="O31" s="19" t="n">
        <f aca="false">SUMIFS(Forecast_Data!$G$2:$G$237,Forecast_Data!$A$2:$A$237,"Store",Forecast_Data!$C$2:$C$237,$A31)</f>
        <v>30874057.93</v>
      </c>
      <c r="P31" s="19" t="n">
        <f aca="false">G31+O31</f>
        <v>89946391.41</v>
      </c>
      <c r="Q31" s="19" t="n">
        <f aca="false">P31-N31</f>
        <v>-4724538.66020002</v>
      </c>
      <c r="R31" s="27" t="n">
        <f aca="false">IFERROR(Q31/N31,0)</f>
        <v>-0.0499048510107241</v>
      </c>
    </row>
    <row r="32" customFormat="false" ht="15" hidden="false" customHeight="false" outlineLevel="0" collapsed="false">
      <c r="A32" s="25" t="n">
        <v>28</v>
      </c>
      <c r="B32" s="22" t="s">
        <v>60</v>
      </c>
      <c r="C32" s="26" t="n">
        <v>206302</v>
      </c>
      <c r="D32" s="19" t="n">
        <f aca="false">SUMIFS(Monthly_Data!$G$2:$G$1441,Monthly_Data!$A$2:$A$1441,$A32,Monthly_Data!$E$2:$E$1441,2012,Monthly_Data!$F$2:$F$1441,"&lt;=8")</f>
        <v>45056924.3</v>
      </c>
      <c r="E32" s="19" t="n">
        <f aca="false">SUMIFS(Monthly_Data!$G$2:$G$1441,Monthly_Data!$A$2:$A$1441,$A32,Monthly_Data!$E$2:$E$1441,2012,Monthly_Data!$F$2:$F$1441,1)</f>
        <v>5856898.54</v>
      </c>
      <c r="F32" s="19" t="n">
        <f aca="false">(D32+E32*(IF(Assumptions!$D$9="Yes",DAY(EOMONTH(DATE(2012,2,1),0))/DAY(EOMONTH(EDATE(DATE(2012,2,1),-12),0)),1)-1))*(1+IF(B32="A",Assumptions!$C$5,IF(B32="B",Assumptions!$C$6,Assumptions!$C$7)))</f>
        <v>46408632.029</v>
      </c>
      <c r="G32" s="19" t="n">
        <f aca="false">SUMIFS(Monthly_Data!$G$2:$G$1441,Monthly_Data!$A$2:$A$1441,$A32,Monthly_Data!$E$2:$E$1441,2013)</f>
        <v>44955902.37</v>
      </c>
      <c r="H32" s="19" t="n">
        <f aca="false">G32-F32</f>
        <v>-1452729.659</v>
      </c>
      <c r="I32" s="27" t="n">
        <f aca="false">IFERROR(H32/F32,0)</f>
        <v>-0.0313030053997759</v>
      </c>
      <c r="J32" s="18" t="n">
        <f aca="false">RANK(I32,$I$5:$I$49)</f>
        <v>41</v>
      </c>
      <c r="K32" s="22" t="str">
        <f aca="false">IF(H32&gt;=0,"On / above","Below")</f>
        <v>Below</v>
      </c>
      <c r="L32" s="19" t="n">
        <f aca="false">SUMIFS(Monthly_Data!$G$2:$G$1441,Monthly_Data!$A$2:$A$1441,$A32,Monthly_Data!$E$2:$E$1441,2012)</f>
        <v>69541545.35</v>
      </c>
      <c r="M32" s="28" t="n">
        <f aca="false">IFERROR(L32/C32,0)</f>
        <v>337.086142402885</v>
      </c>
      <c r="N32" s="19" t="n">
        <f aca="false">(L32+E32*(IF(Assumptions!$D$9="Yes",DAY(EOMONTH(DATE(2012,2,1),0))/DAY(EOMONTH(EDATE(DATE(2012,2,1),-12),0)),1)-1))*(1+IF(B32="A",Assumptions!$C$5,IF(B32="B",Assumptions!$C$6,Assumptions!$C$7)))</f>
        <v>71627791.7105</v>
      </c>
      <c r="O32" s="19" t="n">
        <f aca="false">SUMIFS(Forecast_Data!$G$2:$G$237,Forecast_Data!$A$2:$A$237,"Store",Forecast_Data!$C$2:$C$237,$A32)</f>
        <v>24429724.19</v>
      </c>
      <c r="P32" s="19" t="n">
        <f aca="false">G32+O32</f>
        <v>69385626.56</v>
      </c>
      <c r="Q32" s="19" t="n">
        <f aca="false">P32-N32</f>
        <v>-2242165.1505</v>
      </c>
      <c r="R32" s="27" t="n">
        <f aca="false">IFERROR(Q32/N32,0)</f>
        <v>-0.0313030053971539</v>
      </c>
    </row>
    <row r="33" customFormat="false" ht="15" hidden="false" customHeight="false" outlineLevel="0" collapsed="false">
      <c r="A33" s="25" t="n">
        <v>29</v>
      </c>
      <c r="B33" s="22" t="s">
        <v>62</v>
      </c>
      <c r="C33" s="26" t="n">
        <v>93638</v>
      </c>
      <c r="D33" s="19" t="n">
        <f aca="false">SUMIFS(Monthly_Data!$G$2:$G$1441,Monthly_Data!$A$2:$A$1441,$A33,Monthly_Data!$E$2:$E$1441,2012,Monthly_Data!$F$2:$F$1441,"&lt;=8")</f>
        <v>17896511.2</v>
      </c>
      <c r="E33" s="19" t="n">
        <f aca="false">SUMIFS(Monthly_Data!$G$2:$G$1441,Monthly_Data!$A$2:$A$1441,$A33,Monthly_Data!$E$2:$E$1441,2012,Monthly_Data!$F$2:$F$1441,1)</f>
        <v>2094377.53</v>
      </c>
      <c r="F33" s="19" t="n">
        <f aca="false">(D33+E33*(IF(Assumptions!$D$9="Yes",DAY(EOMONTH(DATE(2012,2,1),0))/DAY(EOMONTH(EDATE(DATE(2012,2,1),-12),0)),1)-1))*(1+IF(B33="A",Assumptions!$C$5,IF(B33="B",Assumptions!$C$6,Assumptions!$C$7)))</f>
        <v>18254441.424</v>
      </c>
      <c r="G33" s="19" t="n">
        <f aca="false">SUMIFS(Monthly_Data!$G$2:$G$1441,Monthly_Data!$A$2:$A$1441,$A33,Monthly_Data!$E$2:$E$1441,2013)</f>
        <v>18267697.96</v>
      </c>
      <c r="H33" s="19" t="n">
        <f aca="false">G33-F33</f>
        <v>13256.5360000022</v>
      </c>
      <c r="I33" s="27" t="n">
        <f aca="false">IFERROR(H33/F33,0)</f>
        <v>0.000726208799934747</v>
      </c>
      <c r="J33" s="18" t="n">
        <f aca="false">RANK(I33,$I$5:$I$49)</f>
        <v>30</v>
      </c>
      <c r="K33" s="22" t="str">
        <f aca="false">IF(H33&gt;=0,"On / above","Below")</f>
        <v>On / above</v>
      </c>
      <c r="L33" s="19" t="n">
        <f aca="false">SUMIFS(Monthly_Data!$G$2:$G$1441,Monthly_Data!$A$2:$A$1441,$A33,Monthly_Data!$E$2:$E$1441,2012)</f>
        <v>28035058.35</v>
      </c>
      <c r="M33" s="28" t="n">
        <f aca="false">IFERROR(L33/C33,0)</f>
        <v>299.398303573336</v>
      </c>
      <c r="N33" s="19" t="n">
        <f aca="false">(L33+E33*(IF(Assumptions!$D$9="Yes",DAY(EOMONTH(DATE(2012,2,1),0))/DAY(EOMONTH(EDATE(DATE(2012,2,1),-12),0)),1)-1))*(1+IF(B33="A",Assumptions!$C$5,IF(B33="B",Assumptions!$C$6,Assumptions!$C$7)))</f>
        <v>28595759.517</v>
      </c>
      <c r="O33" s="19" t="n">
        <f aca="false">SUMIFS(Forecast_Data!$G$2:$G$237,Forecast_Data!$A$2:$A$237,"Store",Forecast_Data!$C$2:$C$237,$A33)</f>
        <v>10348828.04</v>
      </c>
      <c r="P33" s="19" t="n">
        <f aca="false">G33+O33</f>
        <v>28616526</v>
      </c>
      <c r="Q33" s="19" t="n">
        <f aca="false">P33-N33</f>
        <v>20766.4829999991</v>
      </c>
      <c r="R33" s="27" t="n">
        <f aca="false">IFERROR(Q33/N33,0)</f>
        <v>0.000726208478136541</v>
      </c>
    </row>
    <row r="34" customFormat="false" ht="15" hidden="false" customHeight="false" outlineLevel="0" collapsed="false">
      <c r="A34" s="25" t="n">
        <v>30</v>
      </c>
      <c r="B34" s="22" t="s">
        <v>64</v>
      </c>
      <c r="C34" s="26" t="n">
        <v>42988</v>
      </c>
      <c r="D34" s="19" t="n">
        <f aca="false">SUMIFS(Monthly_Data!$G$2:$G$1441,Monthly_Data!$A$2:$A$1441,$A34,Monthly_Data!$E$2:$E$1441,2012,Monthly_Data!$F$2:$F$1441,"&lt;=8")</f>
        <v>14616909.75</v>
      </c>
      <c r="E34" s="19" t="n">
        <f aca="false">SUMIFS(Monthly_Data!$G$2:$G$1441,Monthly_Data!$A$2:$A$1441,$A34,Monthly_Data!$E$2:$E$1441,2012,Monthly_Data!$F$2:$F$1441,1)</f>
        <v>1791235.13</v>
      </c>
      <c r="F34" s="19" t="n">
        <f aca="false">(D34+E34*(IF(Assumptions!$D$9="Yes",DAY(EOMONTH(DATE(2012,2,1),0))/DAY(EOMONTH(EDATE(DATE(2012,2,1),-12),0)),1)-1))*(1+IF(B34="A",Assumptions!$C$5,IF(B34="B",Assumptions!$C$6,Assumptions!$C$7)))</f>
        <v>14836163.39625</v>
      </c>
      <c r="G34" s="19" t="n">
        <f aca="false">SUMIFS(Monthly_Data!$G$2:$G$1441,Monthly_Data!$A$2:$A$1441,$A34,Monthly_Data!$E$2:$E$1441,2013)</f>
        <v>15141087.66</v>
      </c>
      <c r="H34" s="19" t="n">
        <f aca="false">G34-F34</f>
        <v>304924.263750002</v>
      </c>
      <c r="I34" s="27" t="n">
        <f aca="false">IFERROR(H34/F34,0)</f>
        <v>0.0205527706595005</v>
      </c>
      <c r="J34" s="18" t="n">
        <f aca="false">RANK(I34,$I$5:$I$49)</f>
        <v>19</v>
      </c>
      <c r="K34" s="22" t="str">
        <f aca="false">IF(H34&gt;=0,"On / above","Below")</f>
        <v>On / above</v>
      </c>
      <c r="L34" s="19" t="n">
        <f aca="false">SUMIFS(Monthly_Data!$G$2:$G$1441,Monthly_Data!$A$2:$A$1441,$A34,Monthly_Data!$E$2:$E$1441,2012)</f>
        <v>22214023.86</v>
      </c>
      <c r="M34" s="28" t="n">
        <f aca="false">IFERROR(L34/C34,0)</f>
        <v>516.749415185633</v>
      </c>
      <c r="N34" s="19" t="n">
        <f aca="false">(L34+E34*(IF(Assumptions!$D$9="Yes",DAY(EOMONTH(DATE(2012,2,1),0))/DAY(EOMONTH(EDATE(DATE(2012,2,1),-12),0)),1)-1))*(1+IF(B34="A",Assumptions!$C$5,IF(B34="B",Assumptions!$C$6,Assumptions!$C$7)))</f>
        <v>22547234.2179</v>
      </c>
      <c r="O34" s="19" t="n">
        <f aca="false">SUMIFS(Forecast_Data!$G$2:$G$237,Forecast_Data!$A$2:$A$237,"Store",Forecast_Data!$C$2:$C$237,$A34)</f>
        <v>7869554.69</v>
      </c>
      <c r="P34" s="19" t="n">
        <f aca="false">G34+O34</f>
        <v>23010642.35</v>
      </c>
      <c r="Q34" s="19" t="n">
        <f aca="false">P34-N34</f>
        <v>463408.132100005</v>
      </c>
      <c r="R34" s="27" t="n">
        <f aca="false">IFERROR(Q34/N34,0)</f>
        <v>0.0205527705802652</v>
      </c>
    </row>
    <row r="35" customFormat="false" ht="15" hidden="false" customHeight="false" outlineLevel="0" collapsed="false">
      <c r="A35" s="25" t="n">
        <v>31</v>
      </c>
      <c r="B35" s="22" t="s">
        <v>60</v>
      </c>
      <c r="C35" s="26" t="n">
        <v>203750</v>
      </c>
      <c r="D35" s="19" t="n">
        <f aca="false">SUMIFS(Monthly_Data!$G$2:$G$1441,Monthly_Data!$A$2:$A$1441,$A35,Monthly_Data!$E$2:$E$1441,2012,Monthly_Data!$F$2:$F$1441,"&lt;=8")</f>
        <v>48538121.29</v>
      </c>
      <c r="E35" s="19" t="n">
        <f aca="false">SUMIFS(Monthly_Data!$G$2:$G$1441,Monthly_Data!$A$2:$A$1441,$A35,Monthly_Data!$E$2:$E$1441,2012,Monthly_Data!$F$2:$F$1441,1)</f>
        <v>5874113.85</v>
      </c>
      <c r="F35" s="19" t="n">
        <f aca="false">(D35+E35*(IF(Assumptions!$D$9="Yes",DAY(EOMONTH(DATE(2012,2,1),0))/DAY(EOMONTH(EDATE(DATE(2012,2,1),-12),0)),1)-1))*(1+IF(B35="A",Assumptions!$C$5,IF(B35="B",Assumptions!$C$6,Assumptions!$C$7)))</f>
        <v>49994264.9287</v>
      </c>
      <c r="G35" s="19" t="n">
        <f aca="false">SUMIFS(Monthly_Data!$G$2:$G$1441,Monthly_Data!$A$2:$A$1441,$A35,Monthly_Data!$E$2:$E$1441,2013)</f>
        <v>48584203.11</v>
      </c>
      <c r="H35" s="19" t="n">
        <f aca="false">G35-F35</f>
        <v>-1410061.8187</v>
      </c>
      <c r="I35" s="27" t="n">
        <f aca="false">IFERROR(H35/F35,0)</f>
        <v>-0.0282044714670969</v>
      </c>
      <c r="J35" s="18" t="n">
        <f aca="false">RANK(I35,$I$5:$I$49)</f>
        <v>38</v>
      </c>
      <c r="K35" s="22" t="str">
        <f aca="false">IF(H35&gt;=0,"On / above","Below")</f>
        <v>Below</v>
      </c>
      <c r="L35" s="19" t="n">
        <f aca="false">SUMIFS(Monthly_Data!$G$2:$G$1441,Monthly_Data!$A$2:$A$1441,$A35,Monthly_Data!$E$2:$E$1441,2012)</f>
        <v>74495163.77</v>
      </c>
      <c r="M35" s="28" t="n">
        <f aca="false">IFERROR(L35/C35,0)</f>
        <v>365.620435680982</v>
      </c>
      <c r="N35" s="19" t="n">
        <f aca="false">(L35+E35*(IF(Assumptions!$D$9="Yes",DAY(EOMONTH(DATE(2012,2,1),0))/DAY(EOMONTH(EDATE(DATE(2012,2,1),-12),0)),1)-1))*(1+IF(B35="A",Assumptions!$C$5,IF(B35="B",Assumptions!$C$6,Assumptions!$C$7)))</f>
        <v>76730018.6831</v>
      </c>
      <c r="O35" s="19" t="n">
        <f aca="false">SUMIFS(Forecast_Data!$G$2:$G$237,Forecast_Data!$A$2:$A$237,"Store",Forecast_Data!$C$2:$C$237,$A35)</f>
        <v>25981685.95</v>
      </c>
      <c r="P35" s="19" t="n">
        <f aca="false">G35+O35</f>
        <v>74565889.06</v>
      </c>
      <c r="Q35" s="19" t="n">
        <f aca="false">P35-N35</f>
        <v>-2164129.6231</v>
      </c>
      <c r="R35" s="27" t="n">
        <f aca="false">IFERROR(Q35/N35,0)</f>
        <v>-0.0282044714733877</v>
      </c>
    </row>
    <row r="36" customFormat="false" ht="15" hidden="false" customHeight="false" outlineLevel="0" collapsed="false">
      <c r="A36" s="25" t="n">
        <v>32</v>
      </c>
      <c r="B36" s="22" t="s">
        <v>60</v>
      </c>
      <c r="C36" s="26" t="n">
        <v>203007</v>
      </c>
      <c r="D36" s="19" t="n">
        <f aca="false">SUMIFS(Monthly_Data!$G$2:$G$1441,Monthly_Data!$A$2:$A$1441,$A36,Monthly_Data!$E$2:$E$1441,2012,Monthly_Data!$F$2:$F$1441,"&lt;=8")</f>
        <v>39600205.53</v>
      </c>
      <c r="E36" s="19" t="n">
        <f aca="false">SUMIFS(Monthly_Data!$G$2:$G$1441,Monthly_Data!$A$2:$A$1441,$A36,Monthly_Data!$E$2:$E$1441,2012,Monthly_Data!$F$2:$F$1441,1)</f>
        <v>4448693.86</v>
      </c>
      <c r="F36" s="19" t="n">
        <f aca="false">(D36+E36*(IF(Assumptions!$D$9="Yes",DAY(EOMONTH(DATE(2012,2,1),0))/DAY(EOMONTH(EDATE(DATE(2012,2,1),-12),0)),1)-1))*(1+IF(B36="A",Assumptions!$C$5,IF(B36="B",Assumptions!$C$6,Assumptions!$C$7)))</f>
        <v>40788211.6959</v>
      </c>
      <c r="G36" s="19" t="n">
        <f aca="false">SUMIFS(Monthly_Data!$G$2:$G$1441,Monthly_Data!$A$2:$A$1441,$A36,Monthly_Data!$E$2:$E$1441,2013)</f>
        <v>40861582.37</v>
      </c>
      <c r="H36" s="19" t="n">
        <f aca="false">G36-F36</f>
        <v>73370.6740999967</v>
      </c>
      <c r="I36" s="27" t="n">
        <f aca="false">IFERROR(H36/F36,0)</f>
        <v>0.00179882056725159</v>
      </c>
      <c r="J36" s="18" t="n">
        <f aca="false">RANK(I36,$I$5:$I$49)</f>
        <v>29</v>
      </c>
      <c r="K36" s="22" t="str">
        <f aca="false">IF(H36&gt;=0,"On / above","Below")</f>
        <v>On / above</v>
      </c>
      <c r="L36" s="19" t="n">
        <f aca="false">SUMIFS(Monthly_Data!$G$2:$G$1441,Monthly_Data!$A$2:$A$1441,$A36,Monthly_Data!$E$2:$E$1441,2012)</f>
        <v>61693095.23</v>
      </c>
      <c r="M36" s="28" t="n">
        <f aca="false">IFERROR(L36/C36,0)</f>
        <v>303.896393868192</v>
      </c>
      <c r="N36" s="19" t="n">
        <f aca="false">(L36+E36*(IF(Assumptions!$D$9="Yes",DAY(EOMONTH(DATE(2012,2,1),0))/DAY(EOMONTH(EDATE(DATE(2012,2,1),-12),0)),1)-1))*(1+IF(B36="A",Assumptions!$C$5,IF(B36="B",Assumptions!$C$6,Assumptions!$C$7)))</f>
        <v>63543888.0869</v>
      </c>
      <c r="O36" s="19" t="n">
        <f aca="false">SUMIFS(Forecast_Data!$G$2:$G$237,Forecast_Data!$A$2:$A$237,"Store",Forecast_Data!$C$2:$C$237,$A36)</f>
        <v>22796609.77</v>
      </c>
      <c r="P36" s="19" t="n">
        <f aca="false">G36+O36</f>
        <v>63658192.14</v>
      </c>
      <c r="Q36" s="19" t="n">
        <f aca="false">P36-N36</f>
        <v>114304.053100005</v>
      </c>
      <c r="R36" s="27" t="n">
        <f aca="false">IFERROR(Q36/N36,0)</f>
        <v>0.00179882057175487</v>
      </c>
    </row>
    <row r="37" customFormat="false" ht="15" hidden="false" customHeight="false" outlineLevel="0" collapsed="false">
      <c r="A37" s="25" t="n">
        <v>33</v>
      </c>
      <c r="B37" s="22" t="s">
        <v>60</v>
      </c>
      <c r="C37" s="26" t="n">
        <v>39690</v>
      </c>
      <c r="D37" s="19" t="n">
        <f aca="false">SUMIFS(Monthly_Data!$G$2:$G$1441,Monthly_Data!$A$2:$A$1441,$A37,Monthly_Data!$E$2:$E$1441,2012,Monthly_Data!$F$2:$F$1441,"&lt;=8")</f>
        <v>8641383.85</v>
      </c>
      <c r="E37" s="19" t="n">
        <f aca="false">SUMIFS(Monthly_Data!$G$2:$G$1441,Monthly_Data!$A$2:$A$1441,$A37,Monthly_Data!$E$2:$E$1441,2012,Monthly_Data!$F$2:$F$1441,1)</f>
        <v>1010475.18</v>
      </c>
      <c r="F37" s="19" t="n">
        <f aca="false">(D37+E37*(IF(Assumptions!$D$9="Yes",DAY(EOMONTH(DATE(2012,2,1),0))/DAY(EOMONTH(EDATE(DATE(2012,2,1),-12),0)),1)-1))*(1+IF(B37="A",Assumptions!$C$5,IF(B37="B",Assumptions!$C$6,Assumptions!$C$7)))</f>
        <v>8900625.3655</v>
      </c>
      <c r="G37" s="19" t="n">
        <f aca="false">SUMIFS(Monthly_Data!$G$2:$G$1441,Monthly_Data!$A$2:$A$1441,$A37,Monthly_Data!$E$2:$E$1441,2013)</f>
        <v>9271360.02</v>
      </c>
      <c r="H37" s="19" t="n">
        <f aca="false">G37-F37</f>
        <v>370734.6545</v>
      </c>
      <c r="I37" s="27" t="n">
        <f aca="false">IFERROR(H37/F37,0)</f>
        <v>0.0416526524009219</v>
      </c>
      <c r="J37" s="18" t="n">
        <f aca="false">RANK(I37,$I$5:$I$49)</f>
        <v>10</v>
      </c>
      <c r="K37" s="22" t="str">
        <f aca="false">IF(H37&gt;=0,"On / above","Below")</f>
        <v>On / above</v>
      </c>
      <c r="L37" s="19" t="n">
        <f aca="false">SUMIFS(Monthly_Data!$G$2:$G$1441,Monthly_Data!$A$2:$A$1441,$A37,Monthly_Data!$E$2:$E$1441,2012)</f>
        <v>13052631.52</v>
      </c>
      <c r="M37" s="28" t="n">
        <f aca="false">IFERROR(L37/C37,0)</f>
        <v>328.864487780297</v>
      </c>
      <c r="N37" s="19" t="n">
        <f aca="false">(L37+E37*(IF(Assumptions!$D$9="Yes",DAY(EOMONTH(DATE(2012,2,1),0))/DAY(EOMONTH(EDATE(DATE(2012,2,1),-12),0)),1)-1))*(1+IF(B37="A",Assumptions!$C$5,IF(B37="B",Assumptions!$C$6,Assumptions!$C$7)))</f>
        <v>13444210.4656</v>
      </c>
      <c r="O37" s="19" t="n">
        <f aca="false">SUMIFS(Forecast_Data!$G$2:$G$237,Forecast_Data!$A$2:$A$237,"Store",Forecast_Data!$C$2:$C$237,$A37)</f>
        <v>4732837.46</v>
      </c>
      <c r="P37" s="19" t="n">
        <f aca="false">G37+O37</f>
        <v>14004197.48</v>
      </c>
      <c r="Q37" s="19" t="n">
        <f aca="false">P37-N37</f>
        <v>559987.0144</v>
      </c>
      <c r="R37" s="27" t="n">
        <f aca="false">IFERROR(Q37/N37,0)</f>
        <v>0.0416526515880461</v>
      </c>
    </row>
    <row r="38" customFormat="false" ht="15" hidden="false" customHeight="false" outlineLevel="0" collapsed="false">
      <c r="A38" s="25" t="n">
        <v>34</v>
      </c>
      <c r="B38" s="22" t="s">
        <v>60</v>
      </c>
      <c r="C38" s="26" t="n">
        <v>158114</v>
      </c>
      <c r="D38" s="19" t="n">
        <f aca="false">SUMIFS(Monthly_Data!$G$2:$G$1441,Monthly_Data!$A$2:$A$1441,$A38,Monthly_Data!$E$2:$E$1441,2012,Monthly_Data!$F$2:$F$1441,"&lt;=8")</f>
        <v>32578476.26</v>
      </c>
      <c r="E38" s="19" t="n">
        <f aca="false">SUMIFS(Monthly_Data!$G$2:$G$1441,Monthly_Data!$A$2:$A$1441,$A38,Monthly_Data!$E$2:$E$1441,2012,Monthly_Data!$F$2:$F$1441,1)</f>
        <v>4000110.19</v>
      </c>
      <c r="F38" s="19" t="n">
        <f aca="false">(D38+E38*(IF(Assumptions!$D$9="Yes",DAY(EOMONTH(DATE(2012,2,1),0))/DAY(EOMONTH(EDATE(DATE(2012,2,1),-12),0)),1)-1))*(1+IF(B38="A",Assumptions!$C$5,IF(B38="B",Assumptions!$C$6,Assumptions!$C$7)))</f>
        <v>33555830.5478</v>
      </c>
      <c r="G38" s="19" t="n">
        <f aca="false">SUMIFS(Monthly_Data!$G$2:$G$1441,Monthly_Data!$A$2:$A$1441,$A38,Monthly_Data!$E$2:$E$1441,2013)</f>
        <v>33990246.99</v>
      </c>
      <c r="H38" s="19" t="n">
        <f aca="false">G38-F38</f>
        <v>434416.442199998</v>
      </c>
      <c r="I38" s="27" t="n">
        <f aca="false">IFERROR(H38/F38,0)</f>
        <v>0.0129460792687332</v>
      </c>
      <c r="J38" s="18" t="n">
        <f aca="false">RANK(I38,$I$5:$I$49)</f>
        <v>23</v>
      </c>
      <c r="K38" s="22" t="str">
        <f aca="false">IF(H38&gt;=0,"On / above","Below")</f>
        <v>On / above</v>
      </c>
      <c r="L38" s="19" t="n">
        <f aca="false">SUMIFS(Monthly_Data!$G$2:$G$1441,Monthly_Data!$A$2:$A$1441,$A38,Monthly_Data!$E$2:$E$1441,2012)</f>
        <v>50604369.52</v>
      </c>
      <c r="M38" s="28" t="n">
        <f aca="false">IFERROR(L38/C38,0)</f>
        <v>320.049897668771</v>
      </c>
      <c r="N38" s="19" t="n">
        <f aca="false">(L38+E38*(IF(Assumptions!$D$9="Yes",DAY(EOMONTH(DATE(2012,2,1),0))/DAY(EOMONTH(EDATE(DATE(2012,2,1),-12),0)),1)-1))*(1+IF(B38="A",Assumptions!$C$5,IF(B38="B",Assumptions!$C$6,Assumptions!$C$7)))</f>
        <v>52122500.6056</v>
      </c>
      <c r="O38" s="19" t="n">
        <f aca="false">SUMIFS(Forecast_Data!$G$2:$G$237,Forecast_Data!$A$2:$A$237,"Store",Forecast_Data!$C$2:$C$237,$A38)</f>
        <v>18807035.64</v>
      </c>
      <c r="P38" s="19" t="n">
        <f aca="false">G38+O38</f>
        <v>52797282.63</v>
      </c>
      <c r="Q38" s="19" t="n">
        <f aca="false">P38-N38</f>
        <v>674782.024399996</v>
      </c>
      <c r="R38" s="27" t="n">
        <f aca="false">IFERROR(Q38/N38,0)</f>
        <v>0.0129460792663408</v>
      </c>
    </row>
    <row r="39" customFormat="false" ht="15" hidden="false" customHeight="false" outlineLevel="0" collapsed="false">
      <c r="A39" s="25" t="n">
        <v>35</v>
      </c>
      <c r="B39" s="22" t="s">
        <v>62</v>
      </c>
      <c r="C39" s="26" t="n">
        <v>103681</v>
      </c>
      <c r="D39" s="19" t="n">
        <f aca="false">SUMIFS(Monthly_Data!$G$2:$G$1441,Monthly_Data!$A$2:$A$1441,$A39,Monthly_Data!$E$2:$E$1441,2012,Monthly_Data!$F$2:$F$1441,"&lt;=8")</f>
        <v>28440266.67</v>
      </c>
      <c r="E39" s="19" t="n">
        <f aca="false">SUMIFS(Monthly_Data!$G$2:$G$1441,Monthly_Data!$A$2:$A$1441,$A39,Monthly_Data!$E$2:$E$1441,2012,Monthly_Data!$F$2:$F$1441,1)</f>
        <v>3357358.14</v>
      </c>
      <c r="F39" s="19" t="n">
        <f aca="false">(D39+E39*(IF(Assumptions!$D$9="Yes",DAY(EOMONTH(DATE(2012,2,1),0))/DAY(EOMONTH(EDATE(DATE(2012,2,1),-12),0)),1)-1))*(1+IF(B39="A",Assumptions!$C$5,IF(B39="B",Assumptions!$C$6,Assumptions!$C$7)))</f>
        <v>29009072.0034</v>
      </c>
      <c r="G39" s="19" t="n">
        <f aca="false">SUMIFS(Monthly_Data!$G$2:$G$1441,Monthly_Data!$A$2:$A$1441,$A39,Monthly_Data!$E$2:$E$1441,2013)</f>
        <v>29068822.86</v>
      </c>
      <c r="H39" s="19" t="n">
        <f aca="false">G39-F39</f>
        <v>59750.8565999977</v>
      </c>
      <c r="I39" s="27" t="n">
        <f aca="false">IFERROR(H39/F39,0)</f>
        <v>0.00205973002490375</v>
      </c>
      <c r="J39" s="18" t="n">
        <f aca="false">RANK(I39,$I$5:$I$49)</f>
        <v>28</v>
      </c>
      <c r="K39" s="22" t="str">
        <f aca="false">IF(H39&gt;=0,"On / above","Below")</f>
        <v>On / above</v>
      </c>
      <c r="L39" s="19" t="n">
        <f aca="false">SUMIFS(Monthly_Data!$G$2:$G$1441,Monthly_Data!$A$2:$A$1441,$A39,Monthly_Data!$E$2:$E$1441,2012)</f>
        <v>44118652.95</v>
      </c>
      <c r="M39" s="28" t="n">
        <f aca="false">IFERROR(L39/C39,0)</f>
        <v>425.523026880528</v>
      </c>
      <c r="N39" s="19" t="n">
        <f aca="false">(L39+E39*(IF(Assumptions!$D$9="Yes",DAY(EOMONTH(DATE(2012,2,1),0))/DAY(EOMONTH(EDATE(DATE(2012,2,1),-12),0)),1)-1))*(1+IF(B39="A",Assumptions!$C$5,IF(B39="B",Assumptions!$C$6,Assumptions!$C$7)))</f>
        <v>45001026.009</v>
      </c>
      <c r="O39" s="19" t="n">
        <f aca="false">SUMIFS(Forecast_Data!$G$2:$G$237,Forecast_Data!$A$2:$A$237,"Store",Forecast_Data!$C$2:$C$237,$A39)</f>
        <v>16024893.11</v>
      </c>
      <c r="P39" s="19" t="n">
        <f aca="false">G39+O39</f>
        <v>45093715.97</v>
      </c>
      <c r="Q39" s="19" t="n">
        <f aca="false">P39-N39</f>
        <v>92689.9609999955</v>
      </c>
      <c r="R39" s="27" t="n">
        <f aca="false">IFERROR(Q39/N39,0)</f>
        <v>0.00205972994885623</v>
      </c>
    </row>
    <row r="40" customFormat="false" ht="15" hidden="false" customHeight="false" outlineLevel="0" collapsed="false">
      <c r="A40" s="25" t="n">
        <v>36</v>
      </c>
      <c r="B40" s="22" t="s">
        <v>60</v>
      </c>
      <c r="C40" s="26" t="n">
        <v>39910</v>
      </c>
      <c r="D40" s="19" t="n">
        <f aca="false">SUMIFS(Monthly_Data!$G$2:$G$1441,Monthly_Data!$A$2:$A$1441,$A40,Monthly_Data!$E$2:$E$1441,2012,Monthly_Data!$F$2:$F$1441,"&lt;=8")</f>
        <v>13036676.03</v>
      </c>
      <c r="E40" s="19" t="n">
        <f aca="false">SUMIFS(Monthly_Data!$G$2:$G$1441,Monthly_Data!$A$2:$A$1441,$A40,Monthly_Data!$E$2:$E$1441,2012,Monthly_Data!$F$2:$F$1441,1)</f>
        <v>1620073.72</v>
      </c>
      <c r="F40" s="19" t="n">
        <f aca="false">(D40+E40*(IF(Assumptions!$D$9="Yes",DAY(EOMONTH(DATE(2012,2,1),0))/DAY(EOMONTH(EDATE(DATE(2012,2,1),-12),0)),1)-1))*(1+IF(B40="A",Assumptions!$C$5,IF(B40="B",Assumptions!$C$6,Assumptions!$C$7)))</f>
        <v>13427776.3109</v>
      </c>
      <c r="G40" s="19" t="n">
        <f aca="false">SUMIFS(Monthly_Data!$G$2:$G$1441,Monthly_Data!$A$2:$A$1441,$A40,Monthly_Data!$E$2:$E$1441,2013)</f>
        <v>10762907.82</v>
      </c>
      <c r="H40" s="19" t="n">
        <f aca="false">G40-F40</f>
        <v>-2664868.4909</v>
      </c>
      <c r="I40" s="27" t="n">
        <f aca="false">IFERROR(H40/F40,0)</f>
        <v>-0.198459404535715</v>
      </c>
      <c r="J40" s="18" t="n">
        <f aca="false">RANK(I40,$I$5:$I$49)</f>
        <v>45</v>
      </c>
      <c r="K40" s="22" t="str">
        <f aca="false">IF(H40&gt;=0,"On / above","Below")</f>
        <v>Below</v>
      </c>
      <c r="L40" s="19" t="n">
        <f aca="false">SUMIFS(Monthly_Data!$G$2:$G$1441,Monthly_Data!$A$2:$A$1441,$A40,Monthly_Data!$E$2:$E$1441,2012)</f>
        <v>18692678.87</v>
      </c>
      <c r="M40" s="28" t="n">
        <f aca="false">IFERROR(L40/C40,0)</f>
        <v>468.370806063643</v>
      </c>
      <c r="N40" s="19" t="n">
        <f aca="false">(L40+E40*(IF(Assumptions!$D$9="Yes",DAY(EOMONTH(DATE(2012,2,1),0))/DAY(EOMONTH(EDATE(DATE(2012,2,1),-12),0)),1)-1))*(1+IF(B40="A",Assumptions!$C$5,IF(B40="B",Assumptions!$C$6,Assumptions!$C$7)))</f>
        <v>19253459.2361</v>
      </c>
      <c r="O40" s="19" t="n">
        <f aca="false">SUMIFS(Forecast_Data!$G$2:$G$237,Forecast_Data!$A$2:$A$237,"Store",Forecast_Data!$C$2:$C$237,$A40)</f>
        <v>4669521.37</v>
      </c>
      <c r="P40" s="19" t="n">
        <f aca="false">G40+O40</f>
        <v>15432429.19</v>
      </c>
      <c r="Q40" s="19" t="n">
        <f aca="false">P40-N40</f>
        <v>-3821030.0461</v>
      </c>
      <c r="R40" s="27" t="n">
        <f aca="false">IFERROR(Q40/N40,0)</f>
        <v>-0.198459404060524</v>
      </c>
    </row>
    <row r="41" customFormat="false" ht="15" hidden="false" customHeight="false" outlineLevel="0" collapsed="false">
      <c r="A41" s="25" t="n">
        <v>37</v>
      </c>
      <c r="B41" s="22" t="s">
        <v>64</v>
      </c>
      <c r="C41" s="26" t="n">
        <v>39910</v>
      </c>
      <c r="D41" s="19" t="n">
        <f aca="false">SUMIFS(Monthly_Data!$G$2:$G$1441,Monthly_Data!$A$2:$A$1441,$A41,Monthly_Data!$E$2:$E$1441,2012,Monthly_Data!$F$2:$F$1441,"&lt;=8")</f>
        <v>17883837.4</v>
      </c>
      <c r="E41" s="19" t="n">
        <f aca="false">SUMIFS(Monthly_Data!$G$2:$G$1441,Monthly_Data!$A$2:$A$1441,$A41,Monthly_Data!$E$2:$E$1441,2012,Monthly_Data!$F$2:$F$1441,1)</f>
        <v>2133835.7</v>
      </c>
      <c r="F41" s="19" t="n">
        <f aca="false">(D41+E41*(IF(Assumptions!$D$9="Yes",DAY(EOMONTH(DATE(2012,2,1),0))/DAY(EOMONTH(EDATE(DATE(2012,2,1),-12),0)),1)-1))*(1+IF(B41="A",Assumptions!$C$5,IF(B41="B",Assumptions!$C$6,Assumptions!$C$7)))</f>
        <v>18152094.961</v>
      </c>
      <c r="G41" s="19" t="n">
        <f aca="false">SUMIFS(Monthly_Data!$G$2:$G$1441,Monthly_Data!$A$2:$A$1441,$A41,Monthly_Data!$E$2:$E$1441,2013)</f>
        <v>18134208.1</v>
      </c>
      <c r="H41" s="19" t="n">
        <f aca="false">G41-F41</f>
        <v>-17886.860999994</v>
      </c>
      <c r="I41" s="27" t="n">
        <f aca="false">IFERROR(H41/F41,0)</f>
        <v>-0.000985388245181844</v>
      </c>
      <c r="J41" s="18" t="n">
        <f aca="false">RANK(I41,$I$5:$I$49)</f>
        <v>34</v>
      </c>
      <c r="K41" s="22" t="str">
        <f aca="false">IF(H41&gt;=0,"On / above","Below")</f>
        <v>Below</v>
      </c>
      <c r="L41" s="19" t="n">
        <f aca="false">SUMIFS(Monthly_Data!$G$2:$G$1441,Monthly_Data!$A$2:$A$1441,$A41,Monthly_Data!$E$2:$E$1441,2012)</f>
        <v>27203001.47</v>
      </c>
      <c r="M41" s="28" t="n">
        <f aca="false">IFERROR(L41/C41,0)</f>
        <v>681.60865622651</v>
      </c>
      <c r="N41" s="19" t="n">
        <f aca="false">(L41+E41*(IF(Assumptions!$D$9="Yes",DAY(EOMONTH(DATE(2012,2,1),0))/DAY(EOMONTH(EDATE(DATE(2012,2,1),-12),0)),1)-1))*(1+IF(B41="A",Assumptions!$C$5,IF(B41="B",Assumptions!$C$6,Assumptions!$C$7)))</f>
        <v>27611046.49205</v>
      </c>
      <c r="O41" s="19" t="n">
        <f aca="false">SUMIFS(Forecast_Data!$G$2:$G$237,Forecast_Data!$A$2:$A$237,"Store",Forecast_Data!$C$2:$C$237,$A41)</f>
        <v>9449630.79</v>
      </c>
      <c r="P41" s="19" t="n">
        <f aca="false">G41+O41</f>
        <v>27583838.89</v>
      </c>
      <c r="Q41" s="19" t="n">
        <f aca="false">P41-N41</f>
        <v>-27207.6020499952</v>
      </c>
      <c r="R41" s="27" t="n">
        <f aca="false">IFERROR(Q41/N41,0)</f>
        <v>-0.000985388295870244</v>
      </c>
    </row>
    <row r="42" customFormat="false" ht="15" hidden="false" customHeight="false" outlineLevel="0" collapsed="false">
      <c r="A42" s="25" t="n">
        <v>38</v>
      </c>
      <c r="B42" s="22" t="s">
        <v>64</v>
      </c>
      <c r="C42" s="26" t="n">
        <v>39690</v>
      </c>
      <c r="D42" s="19" t="n">
        <f aca="false">SUMIFS(Monthly_Data!$G$2:$G$1441,Monthly_Data!$A$2:$A$1441,$A42,Monthly_Data!$E$2:$E$1441,2012,Monthly_Data!$F$2:$F$1441,"&lt;=8")</f>
        <v>13048864.2</v>
      </c>
      <c r="E42" s="19" t="n">
        <f aca="false">SUMIFS(Monthly_Data!$G$2:$G$1441,Monthly_Data!$A$2:$A$1441,$A42,Monthly_Data!$E$2:$E$1441,2012,Monthly_Data!$F$2:$F$1441,1)</f>
        <v>1500176.53</v>
      </c>
      <c r="F42" s="19" t="n">
        <f aca="false">(D42+E42*(IF(Assumptions!$D$9="Yes",DAY(EOMONTH(DATE(2012,2,1),0))/DAY(EOMONTH(EDATE(DATE(2012,2,1),-12),0)),1)-1))*(1+IF(B42="A",Assumptions!$C$5,IF(B42="B",Assumptions!$C$6,Assumptions!$C$7)))</f>
        <v>13244597.163</v>
      </c>
      <c r="G42" s="19" t="n">
        <f aca="false">SUMIFS(Monthly_Data!$G$2:$G$1441,Monthly_Data!$A$2:$A$1441,$A42,Monthly_Data!$E$2:$E$1441,2013)</f>
        <v>15038779.1</v>
      </c>
      <c r="H42" s="19" t="n">
        <f aca="false">G42-F42</f>
        <v>1794181.937</v>
      </c>
      <c r="I42" s="27" t="n">
        <f aca="false">IFERROR(H42/F42,0)</f>
        <v>0.13546519497114</v>
      </c>
      <c r="J42" s="18" t="n">
        <f aca="false">RANK(I42,$I$5:$I$49)</f>
        <v>1</v>
      </c>
      <c r="K42" s="22" t="str">
        <f aca="false">IF(H42&gt;=0,"On / above","Below")</f>
        <v>On / above</v>
      </c>
      <c r="L42" s="19" t="n">
        <f aca="false">SUMIFS(Monthly_Data!$G$2:$G$1441,Monthly_Data!$A$2:$A$1441,$A42,Monthly_Data!$E$2:$E$1441,2012)</f>
        <v>20308579.5</v>
      </c>
      <c r="M42" s="28" t="n">
        <f aca="false">IFERROR(L42/C42,0)</f>
        <v>511.680007558579</v>
      </c>
      <c r="N42" s="19" t="n">
        <f aca="false">(L42+E42*(IF(Assumptions!$D$9="Yes",DAY(EOMONTH(DATE(2012,2,1),0))/DAY(EOMONTH(EDATE(DATE(2012,2,1),-12),0)),1)-1))*(1+IF(B42="A",Assumptions!$C$5,IF(B42="B",Assumptions!$C$6,Assumptions!$C$7)))</f>
        <v>20613208.1925</v>
      </c>
      <c r="O42" s="19" t="n">
        <f aca="false">SUMIFS(Forecast_Data!$G$2:$G$237,Forecast_Data!$A$2:$A$237,"Store",Forecast_Data!$C$2:$C$237,$A42)</f>
        <v>8366801.36</v>
      </c>
      <c r="P42" s="19" t="n">
        <f aca="false">G42+O42</f>
        <v>23405580.46</v>
      </c>
      <c r="Q42" s="19" t="n">
        <f aca="false">P42-N42</f>
        <v>2792372.2675</v>
      </c>
      <c r="R42" s="27" t="n">
        <f aca="false">IFERROR(Q42/N42,0)</f>
        <v>0.13546519500618</v>
      </c>
    </row>
    <row r="43" customFormat="false" ht="15" hidden="false" customHeight="false" outlineLevel="0" collapsed="false">
      <c r="A43" s="25" t="n">
        <v>39</v>
      </c>
      <c r="B43" s="22" t="s">
        <v>60</v>
      </c>
      <c r="C43" s="26" t="n">
        <v>184109</v>
      </c>
      <c r="D43" s="19" t="n">
        <f aca="false">SUMIFS(Monthly_Data!$G$2:$G$1441,Monthly_Data!$A$2:$A$1441,$A43,Monthly_Data!$E$2:$E$1441,2012,Monthly_Data!$F$2:$F$1441,"&lt;=8")</f>
        <v>48257717.44</v>
      </c>
      <c r="E43" s="19" t="n">
        <f aca="false">SUMIFS(Monthly_Data!$G$2:$G$1441,Monthly_Data!$A$2:$A$1441,$A43,Monthly_Data!$E$2:$E$1441,2012,Monthly_Data!$F$2:$F$1441,1)</f>
        <v>5136084.83</v>
      </c>
      <c r="F43" s="19" t="n">
        <f aca="false">(D43+E43*(IF(Assumptions!$D$9="Yes",DAY(EOMONTH(DATE(2012,2,1),0))/DAY(EOMONTH(EDATE(DATE(2012,2,1),-12),0)),1)-1))*(1+IF(B43="A",Assumptions!$C$5,IF(B43="B",Assumptions!$C$6,Assumptions!$C$7)))</f>
        <v>49705448.9632</v>
      </c>
      <c r="G43" s="19" t="n">
        <f aca="false">SUMIFS(Monthly_Data!$G$2:$G$1441,Monthly_Data!$A$2:$A$1441,$A43,Monthly_Data!$E$2:$E$1441,2013)</f>
        <v>53759073.81</v>
      </c>
      <c r="H43" s="19" t="n">
        <f aca="false">G43-F43</f>
        <v>4053624.84680001</v>
      </c>
      <c r="I43" s="27" t="n">
        <f aca="false">IFERROR(H43/F43,0)</f>
        <v>0.0815529269195648</v>
      </c>
      <c r="J43" s="18" t="n">
        <f aca="false">RANK(I43,$I$5:$I$49)</f>
        <v>4</v>
      </c>
      <c r="K43" s="22" t="str">
        <f aca="false">IF(H43&gt;=0,"On / above","Below")</f>
        <v>On / above</v>
      </c>
      <c r="L43" s="19" t="n">
        <f aca="false">SUMIFS(Monthly_Data!$G$2:$G$1441,Monthly_Data!$A$2:$A$1441,$A43,Monthly_Data!$E$2:$E$1441,2012)</f>
        <v>76742562.51</v>
      </c>
      <c r="M43" s="28" t="n">
        <f aca="false">IFERROR(L43/C43,0)</f>
        <v>416.832216295781</v>
      </c>
      <c r="N43" s="19" t="n">
        <f aca="false">(L43+E43*(IF(Assumptions!$D$9="Yes",DAY(EOMONTH(DATE(2012,2,1),0))/DAY(EOMONTH(EDATE(DATE(2012,2,1),-12),0)),1)-1))*(1+IF(B43="A",Assumptions!$C$5,IF(B43="B",Assumptions!$C$6,Assumptions!$C$7)))</f>
        <v>79044839.3853</v>
      </c>
      <c r="O43" s="19" t="n">
        <f aca="false">SUMIFS(Forecast_Data!$G$2:$G$237,Forecast_Data!$A$2:$A$237,"Store",Forecast_Data!$C$2:$C$237,$A43)</f>
        <v>31732103.58</v>
      </c>
      <c r="P43" s="19" t="n">
        <f aca="false">G43+O43</f>
        <v>85491177.39</v>
      </c>
      <c r="Q43" s="19" t="n">
        <f aca="false">P43-N43</f>
        <v>6446338.00469999</v>
      </c>
      <c r="R43" s="27" t="n">
        <f aca="false">IFERROR(Q43/N43,0)</f>
        <v>0.0815529268555743</v>
      </c>
    </row>
    <row r="44" customFormat="false" ht="15" hidden="false" customHeight="false" outlineLevel="0" collapsed="false">
      <c r="A44" s="25" t="n">
        <v>40</v>
      </c>
      <c r="B44" s="22" t="s">
        <v>60</v>
      </c>
      <c r="C44" s="26" t="n">
        <v>155083</v>
      </c>
      <c r="D44" s="19" t="n">
        <f aca="false">SUMIFS(Monthly_Data!$G$2:$G$1441,Monthly_Data!$A$2:$A$1441,$A44,Monthly_Data!$E$2:$E$1441,2012,Monthly_Data!$F$2:$F$1441,"&lt;=8")</f>
        <v>32744429.03</v>
      </c>
      <c r="E44" s="19" t="n">
        <f aca="false">SUMIFS(Monthly_Data!$G$2:$G$1441,Monthly_Data!$A$2:$A$1441,$A44,Monthly_Data!$E$2:$E$1441,2012,Monthly_Data!$F$2:$F$1441,1)</f>
        <v>3724968.7</v>
      </c>
      <c r="F44" s="19" t="n">
        <f aca="false">(D44+E44*(IF(Assumptions!$D$9="Yes",DAY(EOMONTH(DATE(2012,2,1),0))/DAY(EOMONTH(EDATE(DATE(2012,2,1),-12),0)),1)-1))*(1+IF(B44="A",Assumptions!$C$5,IF(B44="B",Assumptions!$C$6,Assumptions!$C$7)))</f>
        <v>33726761.9009</v>
      </c>
      <c r="G44" s="19" t="n">
        <f aca="false">SUMIFS(Monthly_Data!$G$2:$G$1441,Monthly_Data!$A$2:$A$1441,$A44,Monthly_Data!$E$2:$E$1441,2013)</f>
        <v>33710346.28</v>
      </c>
      <c r="H44" s="19" t="n">
        <f aca="false">G44-F44</f>
        <v>-16415.6208999977</v>
      </c>
      <c r="I44" s="27" t="n">
        <f aca="false">IFERROR(H44/F44,0)</f>
        <v>-0.00048672389446197</v>
      </c>
      <c r="J44" s="18" t="n">
        <f aca="false">RANK(I44,$I$5:$I$49)</f>
        <v>33</v>
      </c>
      <c r="K44" s="22" t="str">
        <f aca="false">IF(H44&gt;=0,"On / above","Below")</f>
        <v>Below</v>
      </c>
      <c r="L44" s="19" t="n">
        <f aca="false">SUMIFS(Monthly_Data!$G$2:$G$1441,Monthly_Data!$A$2:$A$1441,$A44,Monthly_Data!$E$2:$E$1441,2012)</f>
        <v>50623932.44</v>
      </c>
      <c r="M44" s="28" t="n">
        <f aca="false">IFERROR(L44/C44,0)</f>
        <v>326.431217090203</v>
      </c>
      <c r="N44" s="19" t="n">
        <f aca="false">(L44+E44*(IF(Assumptions!$D$9="Yes",DAY(EOMONTH(DATE(2012,2,1),0))/DAY(EOMONTH(EDATE(DATE(2012,2,1),-12),0)),1)-1))*(1+IF(B44="A",Assumptions!$C$5,IF(B44="B",Assumptions!$C$6,Assumptions!$C$7)))</f>
        <v>52142650.4132</v>
      </c>
      <c r="O44" s="19" t="n">
        <f aca="false">SUMIFS(Forecast_Data!$G$2:$G$237,Forecast_Data!$A$2:$A$237,"Store",Forecast_Data!$C$2:$C$237,$A44)</f>
        <v>18406925.07</v>
      </c>
      <c r="P44" s="19" t="n">
        <f aca="false">G44+O44</f>
        <v>52117271.35</v>
      </c>
      <c r="Q44" s="19" t="n">
        <f aca="false">P44-N44</f>
        <v>-25379.063199997</v>
      </c>
      <c r="R44" s="27" t="n">
        <f aca="false">IFERROR(Q44/N44,0)</f>
        <v>-0.00048672368970282</v>
      </c>
    </row>
    <row r="45" customFormat="false" ht="15" hidden="false" customHeight="false" outlineLevel="0" collapsed="false">
      <c r="A45" s="25" t="n">
        <v>41</v>
      </c>
      <c r="B45" s="22" t="s">
        <v>60</v>
      </c>
      <c r="C45" s="26" t="n">
        <v>196321</v>
      </c>
      <c r="D45" s="19" t="n">
        <f aca="false">SUMIFS(Monthly_Data!$G$2:$G$1441,Monthly_Data!$A$2:$A$1441,$A45,Monthly_Data!$E$2:$E$1441,2012,Monthly_Data!$F$2:$F$1441,"&lt;=8")</f>
        <v>43069098.32</v>
      </c>
      <c r="E45" s="19" t="n">
        <f aca="false">SUMIFS(Monthly_Data!$G$2:$G$1441,Monthly_Data!$A$2:$A$1441,$A45,Monthly_Data!$E$2:$E$1441,2012,Monthly_Data!$F$2:$F$1441,1)</f>
        <v>4653897.2</v>
      </c>
      <c r="F45" s="19" t="n">
        <f aca="false">(D45+E45*(IF(Assumptions!$D$9="Yes",DAY(EOMONTH(DATE(2012,2,1),0))/DAY(EOMONTH(EDATE(DATE(2012,2,1),-12),0)),1)-1))*(1+IF(B45="A",Assumptions!$C$5,IF(B45="B",Assumptions!$C$6,Assumptions!$C$7)))</f>
        <v>44361171.2696</v>
      </c>
      <c r="G45" s="19" t="n">
        <f aca="false">SUMIFS(Monthly_Data!$G$2:$G$1441,Monthly_Data!$A$2:$A$1441,$A45,Monthly_Data!$E$2:$E$1441,2013)</f>
        <v>46606029.61</v>
      </c>
      <c r="H45" s="19" t="n">
        <f aca="false">G45-F45</f>
        <v>2244858.3404</v>
      </c>
      <c r="I45" s="27" t="n">
        <f aca="false">IFERROR(H45/F45,0)</f>
        <v>0.0506041269009135</v>
      </c>
      <c r="J45" s="18" t="n">
        <f aca="false">RANK(I45,$I$5:$I$49)</f>
        <v>7</v>
      </c>
      <c r="K45" s="22" t="str">
        <f aca="false">IF(H45&gt;=0,"On / above","Below")</f>
        <v>On / above</v>
      </c>
      <c r="L45" s="19" t="n">
        <f aca="false">SUMIFS(Monthly_Data!$G$2:$G$1441,Monthly_Data!$A$2:$A$1441,$A45,Monthly_Data!$E$2:$E$1441,2012)</f>
        <v>67119147.31</v>
      </c>
      <c r="M45" s="28" t="n">
        <f aca="false">IFERROR(L45/C45,0)</f>
        <v>341.884705711564</v>
      </c>
      <c r="N45" s="19" t="n">
        <f aca="false">(L45+E45*(IF(Assumptions!$D$9="Yes",DAY(EOMONTH(DATE(2012,2,1),0))/DAY(EOMONTH(EDATE(DATE(2012,2,1),-12),0)),1)-1))*(1+IF(B45="A",Assumptions!$C$5,IF(B45="B",Assumptions!$C$6,Assumptions!$C$7)))</f>
        <v>69132721.7293</v>
      </c>
      <c r="O45" s="19" t="n">
        <f aca="false">SUMIFS(Forecast_Data!$G$2:$G$237,Forecast_Data!$A$2:$A$237,"Store",Forecast_Data!$C$2:$C$237,$A45)</f>
        <v>26025093.15</v>
      </c>
      <c r="P45" s="19" t="n">
        <f aca="false">G45+O45</f>
        <v>72631122.76</v>
      </c>
      <c r="Q45" s="19" t="n">
        <f aca="false">P45-N45</f>
        <v>3498401.03069998</v>
      </c>
      <c r="R45" s="27" t="n">
        <f aca="false">IFERROR(Q45/N45,0)</f>
        <v>0.050604127006579</v>
      </c>
    </row>
    <row r="46" customFormat="false" ht="15" hidden="false" customHeight="false" outlineLevel="0" collapsed="false">
      <c r="A46" s="25" t="n">
        <v>42</v>
      </c>
      <c r="B46" s="22" t="s">
        <v>64</v>
      </c>
      <c r="C46" s="26" t="n">
        <v>39690</v>
      </c>
      <c r="D46" s="19" t="n">
        <f aca="false">SUMIFS(Monthly_Data!$G$2:$G$1441,Monthly_Data!$A$2:$A$1441,$A46,Monthly_Data!$E$2:$E$1441,2012,Monthly_Data!$F$2:$F$1441,"&lt;=8")</f>
        <v>19165210.25</v>
      </c>
      <c r="E46" s="19" t="n">
        <f aca="false">SUMIFS(Monthly_Data!$G$2:$G$1441,Monthly_Data!$A$2:$A$1441,$A46,Monthly_Data!$E$2:$E$1441,2012,Monthly_Data!$F$2:$F$1441,1)</f>
        <v>2291479.02</v>
      </c>
      <c r="F46" s="19" t="n">
        <f aca="false">(D46+E46*(IF(Assumptions!$D$9="Yes",DAY(EOMONTH(DATE(2012,2,1),0))/DAY(EOMONTH(EDATE(DATE(2012,2,1),-12),0)),1)-1))*(1+IF(B46="A",Assumptions!$C$5,IF(B46="B",Assumptions!$C$6,Assumptions!$C$7)))</f>
        <v>19452688.40375</v>
      </c>
      <c r="G46" s="19" t="n">
        <f aca="false">SUMIFS(Monthly_Data!$G$2:$G$1441,Monthly_Data!$A$2:$A$1441,$A46,Monthly_Data!$E$2:$E$1441,2013)</f>
        <v>20102674.14</v>
      </c>
      <c r="H46" s="19" t="n">
        <f aca="false">G46-F46</f>
        <v>649985.736250002</v>
      </c>
      <c r="I46" s="27" t="n">
        <f aca="false">IFERROR(H46/F46,0)</f>
        <v>0.0334136713013252</v>
      </c>
      <c r="J46" s="18" t="n">
        <f aca="false">RANK(I46,$I$5:$I$49)</f>
        <v>12</v>
      </c>
      <c r="K46" s="22" t="str">
        <f aca="false">IF(H46&gt;=0,"On / above","Below")</f>
        <v>On / above</v>
      </c>
      <c r="L46" s="19" t="n">
        <f aca="false">SUMIFS(Monthly_Data!$G$2:$G$1441,Monthly_Data!$A$2:$A$1441,$A46,Monthly_Data!$E$2:$E$1441,2012)</f>
        <v>29381891.95</v>
      </c>
      <c r="M46" s="28" t="n">
        <f aca="false">IFERROR(L46/C46,0)</f>
        <v>740.284503653313</v>
      </c>
      <c r="N46" s="19" t="n">
        <f aca="false">(L46+E46*(IF(Assumptions!$D$9="Yes",DAY(EOMONTH(DATE(2012,2,1),0))/DAY(EOMONTH(EDATE(DATE(2012,2,1),-12),0)),1)-1))*(1+IF(B46="A",Assumptions!$C$5,IF(B46="B",Assumptions!$C$6,Assumptions!$C$7)))</f>
        <v>29822620.32925</v>
      </c>
      <c r="O46" s="19" t="n">
        <f aca="false">SUMIFS(Forecast_Data!$G$2:$G$237,Forecast_Data!$A$2:$A$237,"Store",Forecast_Data!$C$2:$C$237,$A46)</f>
        <v>10716429.42</v>
      </c>
      <c r="P46" s="19" t="n">
        <f aca="false">G46+O46</f>
        <v>30819103.56</v>
      </c>
      <c r="Q46" s="19" t="n">
        <f aca="false">P46-N46</f>
        <v>996483.230750006</v>
      </c>
      <c r="R46" s="27" t="n">
        <f aca="false">IFERROR(Q46/N46,0)</f>
        <v>0.0334136712250149</v>
      </c>
    </row>
    <row r="47" customFormat="false" ht="15" hidden="false" customHeight="false" outlineLevel="0" collapsed="false">
      <c r="A47" s="25" t="n">
        <v>43</v>
      </c>
      <c r="B47" s="22" t="s">
        <v>64</v>
      </c>
      <c r="C47" s="26" t="n">
        <v>41062</v>
      </c>
      <c r="D47" s="19" t="n">
        <f aca="false">SUMIFS(Monthly_Data!$G$2:$G$1441,Monthly_Data!$A$2:$A$1441,$A47,Monthly_Data!$E$2:$E$1441,2012,Monthly_Data!$F$2:$F$1441,"&lt;=8")</f>
        <v>21377125.01</v>
      </c>
      <c r="E47" s="19" t="n">
        <f aca="false">SUMIFS(Monthly_Data!$G$2:$G$1441,Monthly_Data!$A$2:$A$1441,$A47,Monthly_Data!$E$2:$E$1441,2012,Monthly_Data!$F$2:$F$1441,1)</f>
        <v>2491064.83</v>
      </c>
      <c r="F47" s="19" t="n">
        <f aca="false">(D47+E47*(IF(Assumptions!$D$9="Yes",DAY(EOMONTH(DATE(2012,2,1),0))/DAY(EOMONTH(EDATE(DATE(2012,2,1),-12),0)),1)-1))*(1+IF(B47="A",Assumptions!$C$5,IF(B47="B",Assumptions!$C$6,Assumptions!$C$7)))</f>
        <v>21697781.88515</v>
      </c>
      <c r="G47" s="19" t="n">
        <f aca="false">SUMIFS(Monthly_Data!$G$2:$G$1441,Monthly_Data!$A$2:$A$1441,$A47,Monthly_Data!$E$2:$E$1441,2013)</f>
        <v>21784367.57</v>
      </c>
      <c r="H47" s="19" t="n">
        <f aca="false">G47-F47</f>
        <v>86585.6848499999</v>
      </c>
      <c r="I47" s="27" t="n">
        <f aca="false">IFERROR(H47/F47,0)</f>
        <v>0.00399053162707195</v>
      </c>
      <c r="J47" s="18" t="n">
        <f aca="false">RANK(I47,$I$5:$I$49)</f>
        <v>26</v>
      </c>
      <c r="K47" s="22" t="str">
        <f aca="false">IF(H47&gt;=0,"On / above","Below")</f>
        <v>On / above</v>
      </c>
      <c r="L47" s="19" t="n">
        <f aca="false">SUMIFS(Monthly_Data!$G$2:$G$1441,Monthly_Data!$A$2:$A$1441,$A47,Monthly_Data!$E$2:$E$1441,2012)</f>
        <v>32284635.35</v>
      </c>
      <c r="M47" s="28" t="n">
        <f aca="false">IFERROR(L47/C47,0)</f>
        <v>786.241180410112</v>
      </c>
      <c r="N47" s="19" t="n">
        <f aca="false">(L47+E47*(IF(Assumptions!$D$9="Yes",DAY(EOMONTH(DATE(2012,2,1),0))/DAY(EOMONTH(EDATE(DATE(2012,2,1),-12),0)),1)-1))*(1+IF(B47="A",Assumptions!$C$5,IF(B47="B",Assumptions!$C$6,Assumptions!$C$7)))</f>
        <v>32768904.88025</v>
      </c>
      <c r="O47" s="19" t="n">
        <f aca="false">SUMIFS(Forecast_Data!$G$2:$G$237,Forecast_Data!$A$2:$A$237,"Store",Forecast_Data!$C$2:$C$237,$A47)</f>
        <v>11115302.66</v>
      </c>
      <c r="P47" s="19" t="n">
        <f aca="false">G47+O47</f>
        <v>32899670.23</v>
      </c>
      <c r="Q47" s="19" t="n">
        <f aca="false">P47-N47</f>
        <v>130765.349750001</v>
      </c>
      <c r="R47" s="27" t="n">
        <f aca="false">IFERROR(Q47/N47,0)</f>
        <v>0.00399053157949181</v>
      </c>
    </row>
    <row r="48" customFormat="false" ht="15" hidden="false" customHeight="false" outlineLevel="0" collapsed="false">
      <c r="A48" s="25" t="n">
        <v>44</v>
      </c>
      <c r="B48" s="22" t="s">
        <v>64</v>
      </c>
      <c r="C48" s="26" t="n">
        <v>39910</v>
      </c>
      <c r="D48" s="19" t="n">
        <f aca="false">SUMIFS(Monthly_Data!$G$2:$G$1441,Monthly_Data!$A$2:$A$1441,$A48,Monthly_Data!$E$2:$E$1441,2012,Monthly_Data!$F$2:$F$1441,"&lt;=8")</f>
        <v>10242024.71</v>
      </c>
      <c r="E48" s="19" t="n">
        <f aca="false">SUMIFS(Monthly_Data!$G$2:$G$1441,Monthly_Data!$A$2:$A$1441,$A48,Monthly_Data!$E$2:$E$1441,2012,Monthly_Data!$F$2:$F$1441,1)</f>
        <v>1161666.96</v>
      </c>
      <c r="F48" s="19" t="n">
        <f aca="false">(D48+E48*(IF(Assumptions!$D$9="Yes",DAY(EOMONTH(DATE(2012,2,1),0))/DAY(EOMONTH(EDATE(DATE(2012,2,1),-12),0)),1)-1))*(1+IF(B48="A",Assumptions!$C$5,IF(B48="B",Assumptions!$C$6,Assumptions!$C$7)))</f>
        <v>10395655.08065</v>
      </c>
      <c r="G48" s="19" t="n">
        <f aca="false">SUMIFS(Monthly_Data!$G$2:$G$1441,Monthly_Data!$A$2:$A$1441,$A48,Monthly_Data!$E$2:$E$1441,2013)</f>
        <v>11474539.32</v>
      </c>
      <c r="H48" s="19" t="n">
        <f aca="false">G48-F48</f>
        <v>1078884.23935</v>
      </c>
      <c r="I48" s="27" t="n">
        <f aca="false">IFERROR(H48/F48,0)</f>
        <v>0.10378222738057</v>
      </c>
      <c r="J48" s="18" t="n">
        <f aca="false">RANK(I48,$I$5:$I$49)</f>
        <v>2</v>
      </c>
      <c r="K48" s="22" t="str">
        <f aca="false">IF(H48&gt;=0,"On / above","Below")</f>
        <v>On / above</v>
      </c>
      <c r="L48" s="19" t="n">
        <f aca="false">SUMIFS(Monthly_Data!$G$2:$G$1441,Monthly_Data!$A$2:$A$1441,$A48,Monthly_Data!$E$2:$E$1441,2012)</f>
        <v>15688077.23</v>
      </c>
      <c r="M48" s="28" t="n">
        <f aca="false">IFERROR(L48/C48,0)</f>
        <v>393.086375093961</v>
      </c>
      <c r="N48" s="19" t="n">
        <f aca="false">(L48+E48*(IF(Assumptions!$D$9="Yes",DAY(EOMONTH(DATE(2012,2,1),0))/DAY(EOMONTH(EDATE(DATE(2012,2,1),-12),0)),1)-1))*(1+IF(B48="A",Assumptions!$C$5,IF(B48="B",Assumptions!$C$6,Assumptions!$C$7)))</f>
        <v>15923398.38845</v>
      </c>
      <c r="O48" s="19" t="n">
        <f aca="false">SUMIFS(Forecast_Data!$G$2:$G$237,Forecast_Data!$A$2:$A$237,"Store",Forecast_Data!$C$2:$C$237,$A48)</f>
        <v>6101424.82</v>
      </c>
      <c r="P48" s="19" t="n">
        <f aca="false">G48+O48</f>
        <v>17575964.14</v>
      </c>
      <c r="Q48" s="19" t="n">
        <f aca="false">P48-N48</f>
        <v>1652565.75155</v>
      </c>
      <c r="R48" s="27" t="n">
        <f aca="false">IFERROR(Q48/N48,0)</f>
        <v>0.103782227338398</v>
      </c>
    </row>
    <row r="49" customFormat="false" ht="15" hidden="false" customHeight="false" outlineLevel="0" collapsed="false">
      <c r="A49" s="25" t="n">
        <v>45</v>
      </c>
      <c r="B49" s="22" t="s">
        <v>62</v>
      </c>
      <c r="C49" s="26" t="n">
        <v>118221</v>
      </c>
      <c r="D49" s="19" t="n">
        <f aca="false">SUMIFS(Monthly_Data!$G$2:$G$1441,Monthly_Data!$A$2:$A$1441,$A49,Monthly_Data!$E$2:$E$1441,2012,Monthly_Data!$F$2:$F$1441,"&lt;=8")</f>
        <v>26296898.22</v>
      </c>
      <c r="E49" s="19" t="n">
        <f aca="false">SUMIFS(Monthly_Data!$G$2:$G$1441,Monthly_Data!$A$2:$A$1441,$A49,Monthly_Data!$E$2:$E$1441,2012,Monthly_Data!$F$2:$F$1441,1)</f>
        <v>3062913.39</v>
      </c>
      <c r="F49" s="19" t="n">
        <f aca="false">(D49+E49*(IF(Assumptions!$D$9="Yes",DAY(EOMONTH(DATE(2012,2,1),0))/DAY(EOMONTH(EDATE(DATE(2012,2,1),-12),0)),1)-1))*(1+IF(B49="A",Assumptions!$C$5,IF(B49="B",Assumptions!$C$6,Assumptions!$C$7)))</f>
        <v>26822836.1844</v>
      </c>
      <c r="G49" s="19" t="n">
        <f aca="false">SUMIFS(Monthly_Data!$G$2:$G$1441,Monthly_Data!$A$2:$A$1441,$A49,Monthly_Data!$E$2:$E$1441,2013)</f>
        <v>26838931.38</v>
      </c>
      <c r="H49" s="19" t="n">
        <f aca="false">G49-F49</f>
        <v>16095.1955999993</v>
      </c>
      <c r="I49" s="27" t="n">
        <f aca="false">IFERROR(H49/F49,0)</f>
        <v>0.000600055694683031</v>
      </c>
      <c r="J49" s="18" t="n">
        <f aca="false">RANK(I49,$I$5:$I$49)</f>
        <v>31</v>
      </c>
      <c r="K49" s="22" t="str">
        <f aca="false">IF(H49&gt;=0,"On / above","Below")</f>
        <v>On / above</v>
      </c>
      <c r="L49" s="19" t="n">
        <f aca="false">SUMIFS(Monthly_Data!$G$2:$G$1441,Monthly_Data!$A$2:$A$1441,$A49,Monthly_Data!$E$2:$E$1441,2012)</f>
        <v>41362057.34</v>
      </c>
      <c r="M49" s="28" t="n">
        <f aca="false">IFERROR(L49/C49,0)</f>
        <v>349.8706434559</v>
      </c>
      <c r="N49" s="19" t="n">
        <f aca="false">(L49+E49*(IF(Assumptions!$D$9="Yes",DAY(EOMONTH(DATE(2012,2,1),0))/DAY(EOMONTH(EDATE(DATE(2012,2,1),-12),0)),1)-1))*(1+IF(B49="A",Assumptions!$C$5,IF(B49="B",Assumptions!$C$6,Assumptions!$C$7)))</f>
        <v>42189298.4868</v>
      </c>
      <c r="O49" s="19" t="n">
        <f aca="false">SUMIFS(Forecast_Data!$G$2:$G$237,Forecast_Data!$A$2:$A$237,"Store",Forecast_Data!$C$2:$C$237,$A49)</f>
        <v>15375683.04</v>
      </c>
      <c r="P49" s="19" t="n">
        <f aca="false">G49+O49</f>
        <v>42214614.42</v>
      </c>
      <c r="Q49" s="19" t="n">
        <f aca="false">P49-N49</f>
        <v>25315.9331999943</v>
      </c>
      <c r="R49" s="27" t="n">
        <f aca="false">IFERROR(Q49/N49,0)</f>
        <v>0.000600055798697743</v>
      </c>
    </row>
    <row r="50" customFormat="false" ht="15" hidden="false" customHeight="false" outlineLevel="0" collapsed="false">
      <c r="A50" s="15" t="s">
        <v>108</v>
      </c>
      <c r="C50" s="29" t="n">
        <f aca="false">SUM(C5:C49)</f>
        <v>5862942</v>
      </c>
      <c r="D50" s="23" t="n">
        <f aca="false">SUM(D5:D49)</f>
        <v>1583214395.07</v>
      </c>
      <c r="E50" s="23" t="n">
        <f aca="false">SUM(E5:E49)</f>
        <v>186685967.4</v>
      </c>
      <c r="F50" s="23" t="n">
        <f aca="false">SUM(F5:F49)</f>
        <v>1624623860.1639</v>
      </c>
      <c r="G50" s="23" t="n">
        <f aca="false">SUM(G5:G49)</f>
        <v>1634132542.25</v>
      </c>
      <c r="H50" s="23" t="n">
        <f aca="false">SUM(H5:H49)</f>
        <v>9508682.0861</v>
      </c>
      <c r="I50" s="24" t="n">
        <f aca="false">IFERROR(H50/F50,0)</f>
        <v>0.00585285143180201</v>
      </c>
      <c r="K50" s="15" t="str">
        <f aca="false">COUNTIF(K5:K49,"On / above")&amp;" of 45 on/above"</f>
        <v>32 of 45 on/above</v>
      </c>
      <c r="L50" s="23" t="n">
        <f aca="false">SUM(L5:L49)</f>
        <v>2459945240.71</v>
      </c>
      <c r="N50" s="23" t="n">
        <f aca="false">SUM(N5:N49)</f>
        <v>2524264792.0364</v>
      </c>
      <c r="O50" s="23" t="n">
        <f aca="false">SUM(O5:O49)</f>
        <v>905767802.66</v>
      </c>
      <c r="P50" s="23" t="n">
        <f aca="false">SUM(P5:P49)</f>
        <v>2539900344.91</v>
      </c>
      <c r="Q50" s="23" t="n">
        <f aca="false">SUM(Q5:Q49)</f>
        <v>15635552.8736</v>
      </c>
      <c r="R50" s="24" t="n">
        <f aca="false">IFERROR(Q50/N50,0)</f>
        <v>0.00619410171346815</v>
      </c>
    </row>
    <row r="52" customFormat="false" ht="15" hidden="false" customHeight="false" outlineLevel="0" collapsed="false">
      <c r="A52" s="2" t="s">
        <v>109</v>
      </c>
    </row>
    <row r="53" customFormat="false" ht="15" hidden="false" customHeight="false" outlineLevel="0" collapsed="false">
      <c r="A53" s="30" t="s">
        <v>110</v>
      </c>
    </row>
    <row r="54" customFormat="false" ht="31.5" hidden="false" customHeight="true" outlineLevel="0" collapsed="false">
      <c r="A54" s="11" t="s">
        <v>96</v>
      </c>
      <c r="B54" s="11" t="s">
        <v>111</v>
      </c>
      <c r="C54" s="11" t="s">
        <v>112</v>
      </c>
      <c r="D54" s="11" t="s">
        <v>100</v>
      </c>
      <c r="E54" s="11" t="s">
        <v>101</v>
      </c>
      <c r="F54" s="11" t="s">
        <v>102</v>
      </c>
      <c r="G54" s="11" t="s">
        <v>84</v>
      </c>
      <c r="H54" s="11" t="s">
        <v>42</v>
      </c>
      <c r="I54" s="11" t="s">
        <v>87</v>
      </c>
      <c r="J54" s="11" t="s">
        <v>107</v>
      </c>
    </row>
    <row r="55" customFormat="false" ht="15" hidden="false" customHeight="false" outlineLevel="0" collapsed="false">
      <c r="A55" s="12" t="s">
        <v>60</v>
      </c>
      <c r="B55" s="18" t="n">
        <f aca="false">COUNTIF($B$5:$B$49,A55)</f>
        <v>22</v>
      </c>
      <c r="C55" s="31" t="n">
        <f aca="false">Assumptions!$C$5</f>
        <v>0.03</v>
      </c>
      <c r="D55" s="19" t="n">
        <f aca="false">SUMIFS($F$5:$F$49,$B$5:$B$49,$A55)</f>
        <v>1053365246.0573</v>
      </c>
      <c r="E55" s="19" t="n">
        <f aca="false">SUMIFS($G$5:$G$49,$B$5:$B$49,$A55)</f>
        <v>1051820256.22</v>
      </c>
      <c r="F55" s="19" t="n">
        <f aca="false">SUMIFS($H$5:$H$49,$B$5:$B$49,$A55)</f>
        <v>-1544989.83730001</v>
      </c>
      <c r="G55" s="21" t="n">
        <f aca="false">IFERROR(F55/D55,0)</f>
        <v>-0.00146671806677013</v>
      </c>
      <c r="H55" s="19" t="n">
        <f aca="false">SUMIFS($N$5:$N$49,$B$5:$B$49,$A55)</f>
        <v>1633172898.577</v>
      </c>
      <c r="I55" s="19" t="n">
        <f aca="false">SUMIFS($P$5:$P$49,$B$5:$B$49,$A55)</f>
        <v>1631509130.02</v>
      </c>
      <c r="J55" s="21" t="n">
        <f aca="false">IFERROR(I55/H55-1,0)</f>
        <v>-0.001018733875911</v>
      </c>
    </row>
    <row r="56" customFormat="false" ht="15" hidden="false" customHeight="false" outlineLevel="0" collapsed="false">
      <c r="A56" s="12" t="s">
        <v>62</v>
      </c>
      <c r="B56" s="18" t="n">
        <f aca="false">COUNTIF($B$5:$B$49,A56)</f>
        <v>17</v>
      </c>
      <c r="C56" s="31" t="n">
        <f aca="false">Assumptions!$C$6</f>
        <v>0.02</v>
      </c>
      <c r="D56" s="19" t="n">
        <f aca="false">SUMIFS($F$5:$F$49,$B$5:$B$49,$A56)</f>
        <v>473479633.2168</v>
      </c>
      <c r="E56" s="19" t="n">
        <f aca="false">SUMIFS($G$5:$G$49,$B$5:$B$49,$A56)</f>
        <v>480636630.14</v>
      </c>
      <c r="F56" s="19" t="n">
        <f aca="false">SUMIFS($H$5:$H$49,$B$5:$B$49,$A56)</f>
        <v>7156996.9232</v>
      </c>
      <c r="G56" s="21" t="n">
        <f aca="false">IFERROR(F56/D56,0)</f>
        <v>0.0151157439963693</v>
      </c>
      <c r="H56" s="19" t="n">
        <f aca="false">SUMIFS($N$5:$N$49,$B$5:$B$49,$A56)</f>
        <v>741805480.959</v>
      </c>
      <c r="I56" s="19" t="n">
        <f aca="false">SUMIFS($P$5:$P$49,$B$5:$B$49,$A56)</f>
        <v>753096415.26</v>
      </c>
      <c r="J56" s="21" t="n">
        <f aca="false">IFERROR(I56/H56-1,0)</f>
        <v>0.0152208828201204</v>
      </c>
    </row>
    <row r="57" customFormat="false" ht="15" hidden="false" customHeight="false" outlineLevel="0" collapsed="false">
      <c r="A57" s="12" t="s">
        <v>64</v>
      </c>
      <c r="B57" s="18" t="n">
        <f aca="false">COUNTIF($B$5:$B$49,A57)</f>
        <v>6</v>
      </c>
      <c r="C57" s="31" t="n">
        <f aca="false">Assumptions!$C$7</f>
        <v>0.015</v>
      </c>
      <c r="D57" s="19" t="n">
        <f aca="false">SUMIFS($F$5:$F$49,$B$5:$B$49,$A57)</f>
        <v>97778980.8898</v>
      </c>
      <c r="E57" s="19" t="n">
        <f aca="false">SUMIFS($G$5:$G$49,$B$5:$B$49,$A57)</f>
        <v>101675655.89</v>
      </c>
      <c r="F57" s="19" t="n">
        <f aca="false">SUMIFS($H$5:$H$49,$B$5:$B$49,$A57)</f>
        <v>3896675.00020001</v>
      </c>
      <c r="G57" s="21" t="n">
        <f aca="false">IFERROR(F57/D57,0)</f>
        <v>0.0398518675971034</v>
      </c>
      <c r="H57" s="19" t="n">
        <f aca="false">SUMIFS($N$5:$N$49,$B$5:$B$49,$A57)</f>
        <v>149286412.5004</v>
      </c>
      <c r="I57" s="19" t="n">
        <f aca="false">SUMIFS($P$5:$P$49,$B$5:$B$49,$A57)</f>
        <v>155294799.63</v>
      </c>
      <c r="J57" s="21" t="n">
        <f aca="false">IFERROR(I57/H57-1,0)</f>
        <v>0.0402473810507298</v>
      </c>
    </row>
  </sheetData>
  <autoFilter ref="A4:R49"/>
  <conditionalFormatting sqref="H5:I4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Q5:R49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M5:M49">
    <cfRule type="dataBar" priority="6">
      <dataBar showValue="1" minLength="10" maxLength="90">
        <cfvo type="min" val="0"/>
        <cfvo type="max" val="0"/>
        <color rgb="FF2A78D6"/>
      </dataBar>
      <extLst>
        <ext xmlns:x14="http://schemas.microsoft.com/office/spreadsheetml/2009/9/main" uri="{B025F937-C7B1-47D3-B67F-A62EFF666E3E}">
          <x14:id>{504B3A3E-48B3-4AD0-AF2C-6BB99013807C}</x14:id>
        </ext>
      </extLst>
    </cfRule>
  </conditionalFormatting>
  <conditionalFormatting sqref="F55:G57">
    <cfRule type="cellIs" priority="7" operator="greaterThan" aboveAverage="0" equalAverage="0" bottom="0" percent="0" rank="0" text="" dxfId="0">
      <formula>0</formula>
    </cfRule>
    <cfRule type="cellIs" priority="8" operator="lessThan" aboveAverage="0" equalAverage="0" bottom="0" percent="0" rank="0" text="" dxfId="1">
      <formula>0</formula>
    </cfRule>
  </conditionalFormatting>
  <conditionalFormatting sqref="J55:J57">
    <cfRule type="cellIs" priority="9" operator="greaterThan" aboveAverage="0" equalAverage="0" bottom="0" percent="0" rank="0" text="" dxfId="0">
      <formula>0</formula>
    </cfRule>
    <cfRule type="cellIs" priority="10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4B3A3E-48B3-4AD0-AF2C-6BB99013807C}">
            <x14:dataBar minLength="10" maxLength="90" axisPosition="none" gradient="true">
              <x14:cfvo type="min"/>
              <x14:cfvo type="max"/>
              <x14:negativeFillColor rgb="FF2A78D6"/>
              <x14:axisColor rgb="FF000000"/>
            </x14:dataBar>
          </x14:cfRule>
          <xm:sqref>M5:M49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4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9" min="8" style="0" width="10"/>
  </cols>
  <sheetData>
    <row r="1" customFormat="false" ht="19.7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31.5" hidden="false" customHeight="true" outlineLevel="0" collapsed="false">
      <c r="A4" s="11" t="s">
        <v>115</v>
      </c>
      <c r="B4" s="11" t="s">
        <v>116</v>
      </c>
      <c r="C4" s="11" t="s">
        <v>117</v>
      </c>
      <c r="D4" s="11" t="s">
        <v>118</v>
      </c>
      <c r="E4" s="11" t="s">
        <v>100</v>
      </c>
      <c r="F4" s="11" t="s">
        <v>101</v>
      </c>
      <c r="G4" s="11" t="s">
        <v>83</v>
      </c>
      <c r="H4" s="11" t="s">
        <v>84</v>
      </c>
      <c r="I4" s="11" t="s">
        <v>119</v>
      </c>
      <c r="K4" s="32" t="s">
        <v>120</v>
      </c>
      <c r="M4" s="2" t="s">
        <v>121</v>
      </c>
    </row>
    <row r="5" customFormat="false" ht="15" hidden="false" customHeight="false" outlineLevel="0" collapsed="false">
      <c r="A5" s="25" t="n">
        <v>1</v>
      </c>
      <c r="B5" s="19" t="n">
        <f aca="false">SUMIFS(Dept_Data!$E$2:$E$6870,Dept_Data!$A$2:$A$6870,$A5,Dept_Data!$C$2:$C$6870,2012,Dept_Data!$D$2:$D$6870,"&lt;=8",Dept_Data!$B$2:$B$6870,"A")</f>
        <v>15915108.89</v>
      </c>
      <c r="C5" s="19" t="n">
        <f aca="false">SUMIFS(Dept_Data!$E$2:$E$6870,Dept_Data!$A$2:$A$6870,$A5,Dept_Data!$C$2:$C$6870,2012,Dept_Data!$D$2:$D$6870,"&lt;=8",Dept_Data!$B$2:$B$6870,"B")</f>
        <v>9690200.67</v>
      </c>
      <c r="D5" s="19" t="n">
        <f aca="false">SUMIFS(Dept_Data!$E$2:$E$6870,Dept_Data!$A$2:$A$6870,$A5,Dept_Data!$C$2:$C$6870,2012,Dept_Data!$D$2:$D$6870,"&lt;=8",Dept_Data!$B$2:$B$6870,"C")</f>
        <v>1729506.04</v>
      </c>
      <c r="E5" s="19" t="n">
        <f aca="false">B5*(1+Assumptions!$C$5)+C5*(1+Assumptions!$C$6)+D5*(1+Assumptions!$C$7)</f>
        <v>28032015.4707</v>
      </c>
      <c r="F5" s="19" t="n">
        <f aca="false">SUMIFS(Dept_Data!$E$2:$E$6870,Dept_Data!$A$2:$A$6870,$A5,Dept_Data!$C$2:$C$6870,2013)</f>
        <v>28550470.83</v>
      </c>
      <c r="G5" s="19" t="n">
        <f aca="false">F5-E5</f>
        <v>518455.359300002</v>
      </c>
      <c r="H5" s="27" t="n">
        <f aca="false">IF(E5&lt;=0,"",G5/E5)</f>
        <v>0.0184951153384568</v>
      </c>
      <c r="I5" s="18" t="n">
        <f aca="false">RANK(ABS(G5),$K$5:$K$85)</f>
        <v>16</v>
      </c>
      <c r="K5" s="33" t="n">
        <f aca="false">ABS(G5)</f>
        <v>518455.359300002</v>
      </c>
      <c r="M5" s="2" t="s">
        <v>122</v>
      </c>
    </row>
    <row r="6" customFormat="false" ht="15" hidden="false" customHeight="false" outlineLevel="0" collapsed="false">
      <c r="A6" s="25" t="n">
        <v>2</v>
      </c>
      <c r="B6" s="19" t="n">
        <f aca="false">SUMIFS(Dept_Data!$E$2:$E$6870,Dept_Data!$A$2:$A$6870,$A6,Dept_Data!$C$2:$C$6870,2012,Dept_Data!$D$2:$D$6870,"&lt;=8",Dept_Data!$B$2:$B$6870,"A")</f>
        <v>39659597.11</v>
      </c>
      <c r="C6" s="19" t="n">
        <f aca="false">SUMIFS(Dept_Data!$E$2:$E$6870,Dept_Data!$A$2:$A$6870,$A6,Dept_Data!$C$2:$C$6870,2012,Dept_Data!$D$2:$D$6870,"&lt;=8",Dept_Data!$B$2:$B$6870,"B")</f>
        <v>24989967.36</v>
      </c>
      <c r="D6" s="19" t="n">
        <f aca="false">SUMIFS(Dept_Data!$E$2:$E$6870,Dept_Data!$A$2:$A$6870,$A6,Dept_Data!$C$2:$C$6870,2012,Dept_Data!$D$2:$D$6870,"&lt;=8",Dept_Data!$B$2:$B$6870,"C")</f>
        <v>3002443.48</v>
      </c>
      <c r="E6" s="19" t="n">
        <f aca="false">B6*(1+Assumptions!$C$5)+C6*(1+Assumptions!$C$6)+D6*(1+Assumptions!$C$7)</f>
        <v>69386631.8627</v>
      </c>
      <c r="F6" s="19" t="n">
        <f aca="false">SUMIFS(Dept_Data!$E$2:$E$6870,Dept_Data!$A$2:$A$6870,$A6,Dept_Data!$C$2:$C$6870,2013)</f>
        <v>69499747.26</v>
      </c>
      <c r="G6" s="19" t="n">
        <f aca="false">F6-E6</f>
        <v>113115.397300005</v>
      </c>
      <c r="H6" s="27" t="n">
        <f aca="false">IF(E6&lt;=0,"",G6/E6)</f>
        <v>0.00163021888025685</v>
      </c>
      <c r="I6" s="18" t="n">
        <f aca="false">RANK(ABS(G6),$K$5:$K$85)</f>
        <v>55</v>
      </c>
      <c r="K6" s="33" t="n">
        <f aca="false">ABS(G6)</f>
        <v>113115.397300005</v>
      </c>
    </row>
    <row r="7" customFormat="false" ht="15" hidden="false" customHeight="false" outlineLevel="0" collapsed="false">
      <c r="A7" s="25" t="n">
        <v>3</v>
      </c>
      <c r="B7" s="19" t="n">
        <f aca="false">SUMIFS(Dept_Data!$E$2:$E$6870,Dept_Data!$A$2:$A$6870,$A7,Dept_Data!$C$2:$C$6870,2012,Dept_Data!$D$2:$D$6870,"&lt;=8",Dept_Data!$B$2:$B$6870,"A")</f>
        <v>11217053.33</v>
      </c>
      <c r="C7" s="19" t="n">
        <f aca="false">SUMIFS(Dept_Data!$E$2:$E$6870,Dept_Data!$A$2:$A$6870,$A7,Dept_Data!$C$2:$C$6870,2012,Dept_Data!$D$2:$D$6870,"&lt;=8",Dept_Data!$B$2:$B$6870,"B")</f>
        <v>8010896.67</v>
      </c>
      <c r="D7" s="19" t="n">
        <f aca="false">SUMIFS(Dept_Data!$E$2:$E$6870,Dept_Data!$A$2:$A$6870,$A7,Dept_Data!$C$2:$C$6870,2012,Dept_Data!$D$2:$D$6870,"&lt;=8",Dept_Data!$B$2:$B$6870,"C")</f>
        <v>185595.84</v>
      </c>
      <c r="E7" s="19" t="n">
        <f aca="false">B7*(1+Assumptions!$C$5)+C7*(1+Assumptions!$C$6)+D7*(1+Assumptions!$C$7)</f>
        <v>19913059.3109</v>
      </c>
      <c r="F7" s="19" t="n">
        <f aca="false">SUMIFS(Dept_Data!$E$2:$E$6870,Dept_Data!$A$2:$A$6870,$A7,Dept_Data!$C$2:$C$6870,2013)</f>
        <v>20178947.86</v>
      </c>
      <c r="G7" s="19" t="n">
        <f aca="false">F7-E7</f>
        <v>265888.549099997</v>
      </c>
      <c r="H7" s="27" t="n">
        <f aca="false">IF(E7&lt;=0,"",G7/E7)</f>
        <v>0.0133524711069612</v>
      </c>
      <c r="I7" s="18" t="n">
        <f aca="false">RANK(ABS(G7),$K$5:$K$85)</f>
        <v>34</v>
      </c>
      <c r="K7" s="33" t="n">
        <f aca="false">ABS(G7)</f>
        <v>265888.549099997</v>
      </c>
    </row>
    <row r="8" customFormat="false" ht="15" hidden="false" customHeight="false" outlineLevel="0" collapsed="false">
      <c r="A8" s="25" t="n">
        <v>4</v>
      </c>
      <c r="B8" s="19" t="n">
        <f aca="false">SUMIFS(Dept_Data!$E$2:$E$6870,Dept_Data!$A$2:$A$6870,$A8,Dept_Data!$C$2:$C$6870,2012,Dept_Data!$D$2:$D$6870,"&lt;=8",Dept_Data!$B$2:$B$6870,"A")</f>
        <v>24784226</v>
      </c>
      <c r="C8" s="19" t="n">
        <f aca="false">SUMIFS(Dept_Data!$E$2:$E$6870,Dept_Data!$A$2:$A$6870,$A8,Dept_Data!$C$2:$C$6870,2012,Dept_Data!$D$2:$D$6870,"&lt;=8",Dept_Data!$B$2:$B$6870,"B")</f>
        <v>12445326.98</v>
      </c>
      <c r="D8" s="19" t="n">
        <f aca="false">SUMIFS(Dept_Data!$E$2:$E$6870,Dept_Data!$A$2:$A$6870,$A8,Dept_Data!$C$2:$C$6870,2012,Dept_Data!$D$2:$D$6870,"&lt;=8",Dept_Data!$B$2:$B$6870,"C")</f>
        <v>2755810.73</v>
      </c>
      <c r="E8" s="19" t="n">
        <f aca="false">B8*(1+Assumptions!$C$5)+C8*(1+Assumptions!$C$6)+D8*(1+Assumptions!$C$7)</f>
        <v>41019134.19055</v>
      </c>
      <c r="F8" s="19" t="n">
        <f aca="false">SUMIFS(Dept_Data!$E$2:$E$6870,Dept_Data!$A$2:$A$6870,$A8,Dept_Data!$C$2:$C$6870,2013)</f>
        <v>41389462.64</v>
      </c>
      <c r="G8" s="19" t="n">
        <f aca="false">F8-E8</f>
        <v>370328.449449994</v>
      </c>
      <c r="H8" s="27" t="n">
        <f aca="false">IF(E8&lt;=0,"",G8/E8)</f>
        <v>0.00902818786300248</v>
      </c>
      <c r="I8" s="18" t="n">
        <f aca="false">RANK(ABS(G8),$K$5:$K$85)</f>
        <v>23</v>
      </c>
      <c r="K8" s="33" t="n">
        <f aca="false">ABS(G8)</f>
        <v>370328.449449994</v>
      </c>
    </row>
    <row r="9" customFormat="false" ht="15" hidden="false" customHeight="false" outlineLevel="0" collapsed="false">
      <c r="A9" s="25" t="n">
        <v>5</v>
      </c>
      <c r="B9" s="19" t="n">
        <f aca="false">SUMIFS(Dept_Data!$E$2:$E$6870,Dept_Data!$A$2:$A$6870,$A9,Dept_Data!$C$2:$C$6870,2012,Dept_Data!$D$2:$D$6870,"&lt;=8",Dept_Data!$B$2:$B$6870,"A")</f>
        <v>17086776.68</v>
      </c>
      <c r="C9" s="19" t="n">
        <f aca="false">SUMIFS(Dept_Data!$E$2:$E$6870,Dept_Data!$A$2:$A$6870,$A9,Dept_Data!$C$2:$C$6870,2012,Dept_Data!$D$2:$D$6870,"&lt;=8",Dept_Data!$B$2:$B$6870,"B")</f>
        <v>10089434.8</v>
      </c>
      <c r="D9" s="19" t="n">
        <f aca="false">SUMIFS(Dept_Data!$E$2:$E$6870,Dept_Data!$A$2:$A$6870,$A9,Dept_Data!$C$2:$C$6870,2012,Dept_Data!$D$2:$D$6870,"&lt;=8",Dept_Data!$B$2:$B$6870,"C")</f>
        <v>125826.48</v>
      </c>
      <c r="E9" s="19" t="n">
        <f aca="false">B9*(1+Assumptions!$C$5)+C9*(1+Assumptions!$C$6)+D9*(1+Assumptions!$C$7)</f>
        <v>28018317.3536</v>
      </c>
      <c r="F9" s="19" t="n">
        <f aca="false">SUMIFS(Dept_Data!$E$2:$E$6870,Dept_Data!$A$2:$A$6870,$A9,Dept_Data!$C$2:$C$6870,2013)</f>
        <v>26904335.82</v>
      </c>
      <c r="G9" s="19" t="n">
        <f aca="false">F9-E9</f>
        <v>-1113981.5336</v>
      </c>
      <c r="H9" s="27" t="n">
        <f aca="false">IF(E9&lt;=0,"",G9/E9)</f>
        <v>-0.03975904475423</v>
      </c>
      <c r="I9" s="18" t="n">
        <f aca="false">RANK(ABS(G9),$K$5:$K$85)</f>
        <v>10</v>
      </c>
      <c r="K9" s="33" t="n">
        <f aca="false">ABS(G9)</f>
        <v>1113981.5336</v>
      </c>
    </row>
    <row r="10" customFormat="false" ht="15" hidden="false" customHeight="false" outlineLevel="0" collapsed="false">
      <c r="A10" s="25" t="n">
        <v>6</v>
      </c>
      <c r="B10" s="19" t="n">
        <f aca="false">SUMIFS(Dept_Data!$E$2:$E$6870,Dept_Data!$A$2:$A$6870,$A10,Dept_Data!$C$2:$C$6870,2012,Dept_Data!$D$2:$D$6870,"&lt;=8",Dept_Data!$B$2:$B$6870,"A")</f>
        <v>3430159.88</v>
      </c>
      <c r="C10" s="19" t="n">
        <f aca="false">SUMIFS(Dept_Data!$E$2:$E$6870,Dept_Data!$A$2:$A$6870,$A10,Dept_Data!$C$2:$C$6870,2012,Dept_Data!$D$2:$D$6870,"&lt;=8",Dept_Data!$B$2:$B$6870,"B")</f>
        <v>2646769.67</v>
      </c>
      <c r="D10" s="19" t="n">
        <f aca="false">SUMIFS(Dept_Data!$E$2:$E$6870,Dept_Data!$A$2:$A$6870,$A10,Dept_Data!$C$2:$C$6870,2012,Dept_Data!$D$2:$D$6870,"&lt;=8",Dept_Data!$B$2:$B$6870,"C")</f>
        <v>5467.58</v>
      </c>
      <c r="E10" s="19" t="n">
        <f aca="false">B10*(1+Assumptions!$C$5)+C10*(1+Assumptions!$C$6)+D10*(1+Assumptions!$C$7)</f>
        <v>6238319.3335</v>
      </c>
      <c r="F10" s="19" t="n">
        <f aca="false">SUMIFS(Dept_Data!$E$2:$E$6870,Dept_Data!$A$2:$A$6870,$A10,Dept_Data!$C$2:$C$6870,2013)</f>
        <v>5019373.5</v>
      </c>
      <c r="G10" s="19" t="n">
        <f aca="false">F10-E10</f>
        <v>-1218945.8335</v>
      </c>
      <c r="H10" s="27" t="n">
        <f aca="false">IF(E10&lt;=0,"",G10/E10)</f>
        <v>-0.195396511197209</v>
      </c>
      <c r="I10" s="18" t="n">
        <f aca="false">RANK(ABS(G10),$K$5:$K$85)</f>
        <v>8</v>
      </c>
      <c r="K10" s="33" t="n">
        <f aca="false">ABS(G10)</f>
        <v>1218945.8335</v>
      </c>
    </row>
    <row r="11" customFormat="false" ht="15" hidden="false" customHeight="false" outlineLevel="0" collapsed="false">
      <c r="A11" s="25" t="n">
        <v>7</v>
      </c>
      <c r="B11" s="19" t="n">
        <f aca="false">SUMIFS(Dept_Data!$E$2:$E$6870,Dept_Data!$A$2:$A$6870,$A11,Dept_Data!$C$2:$C$6870,2012,Dept_Data!$D$2:$D$6870,"&lt;=8",Dept_Data!$B$2:$B$6870,"A")</f>
        <v>19489020.82</v>
      </c>
      <c r="C11" s="19" t="n">
        <f aca="false">SUMIFS(Dept_Data!$E$2:$E$6870,Dept_Data!$A$2:$A$6870,$A11,Dept_Data!$C$2:$C$6870,2012,Dept_Data!$D$2:$D$6870,"&lt;=8",Dept_Data!$B$2:$B$6870,"B")</f>
        <v>11473926.94</v>
      </c>
      <c r="D11" s="19" t="n">
        <f aca="false">SUMIFS(Dept_Data!$E$2:$E$6870,Dept_Data!$A$2:$A$6870,$A11,Dept_Data!$C$2:$C$6870,2012,Dept_Data!$D$2:$D$6870,"&lt;=8",Dept_Data!$B$2:$B$6870,"C")</f>
        <v>114859.54</v>
      </c>
      <c r="E11" s="19" t="n">
        <f aca="false">B11*(1+Assumptions!$C$5)+C11*(1+Assumptions!$C$6)+D11*(1+Assumptions!$C$7)</f>
        <v>31893679.3565</v>
      </c>
      <c r="F11" s="19" t="n">
        <f aca="false">SUMIFS(Dept_Data!$E$2:$E$6870,Dept_Data!$A$2:$A$6870,$A11,Dept_Data!$C$2:$C$6870,2013)</f>
        <v>32090588.53</v>
      </c>
      <c r="G11" s="19" t="n">
        <f aca="false">F11-E11</f>
        <v>196909.173500001</v>
      </c>
      <c r="H11" s="27" t="n">
        <f aca="false">IF(E11&lt;=0,"",G11/E11)</f>
        <v>0.00617392466071403</v>
      </c>
      <c r="I11" s="18" t="n">
        <f aca="false">RANK(ABS(G11),$K$5:$K$85)</f>
        <v>43</v>
      </c>
      <c r="K11" s="33" t="n">
        <f aca="false">ABS(G11)</f>
        <v>196909.173500001</v>
      </c>
    </row>
    <row r="12" customFormat="false" ht="15" hidden="false" customHeight="false" outlineLevel="0" collapsed="false">
      <c r="A12" s="25" t="n">
        <v>8</v>
      </c>
      <c r="B12" s="19" t="n">
        <f aca="false">SUMIFS(Dept_Data!$E$2:$E$6870,Dept_Data!$A$2:$A$6870,$A12,Dept_Data!$C$2:$C$6870,2012,Dept_Data!$D$2:$D$6870,"&lt;=8",Dept_Data!$B$2:$B$6870,"A")</f>
        <v>27722398.86</v>
      </c>
      <c r="C12" s="19" t="n">
        <f aca="false">SUMIFS(Dept_Data!$E$2:$E$6870,Dept_Data!$A$2:$A$6870,$A12,Dept_Data!$C$2:$C$6870,2012,Dept_Data!$D$2:$D$6870,"&lt;=8",Dept_Data!$B$2:$B$6870,"B")</f>
        <v>15819558.08</v>
      </c>
      <c r="D12" s="19" t="n">
        <f aca="false">SUMIFS(Dept_Data!$E$2:$E$6870,Dept_Data!$A$2:$A$6870,$A12,Dept_Data!$C$2:$C$6870,2012,Dept_Data!$D$2:$D$6870,"&lt;=8",Dept_Data!$B$2:$B$6870,"C")</f>
        <v>2462259.87</v>
      </c>
      <c r="E12" s="19" t="n">
        <f aca="false">B12*(1+Assumptions!$C$5)+C12*(1+Assumptions!$C$6)+D12*(1+Assumptions!$C$7)</f>
        <v>47189213.83545</v>
      </c>
      <c r="F12" s="19" t="n">
        <f aca="false">SUMIFS(Dept_Data!$E$2:$E$6870,Dept_Data!$A$2:$A$6870,$A12,Dept_Data!$C$2:$C$6870,2013)</f>
        <v>47606665.12</v>
      </c>
      <c r="G12" s="19" t="n">
        <f aca="false">F12-E12</f>
        <v>417451.284549996</v>
      </c>
      <c r="H12" s="27" t="n">
        <f aca="false">IF(E12&lt;=0,"",G12/E12)</f>
        <v>0.00884632844288654</v>
      </c>
      <c r="I12" s="18" t="n">
        <f aca="false">RANK(ABS(G12),$K$5:$K$85)</f>
        <v>17</v>
      </c>
      <c r="K12" s="33" t="n">
        <f aca="false">ABS(G12)</f>
        <v>417451.284549996</v>
      </c>
    </row>
    <row r="13" customFormat="false" ht="15" hidden="false" customHeight="false" outlineLevel="0" collapsed="false">
      <c r="A13" s="25" t="n">
        <v>9</v>
      </c>
      <c r="B13" s="19" t="n">
        <f aca="false">SUMIFS(Dept_Data!$E$2:$E$6870,Dept_Data!$A$2:$A$6870,$A13,Dept_Data!$C$2:$C$6870,2012,Dept_Data!$D$2:$D$6870,"&lt;=8",Dept_Data!$B$2:$B$6870,"A")</f>
        <v>18317342.78</v>
      </c>
      <c r="C13" s="19" t="n">
        <f aca="false">SUMIFS(Dept_Data!$E$2:$E$6870,Dept_Data!$A$2:$A$6870,$A13,Dept_Data!$C$2:$C$6870,2012,Dept_Data!$D$2:$D$6870,"&lt;=8",Dept_Data!$B$2:$B$6870,"B")</f>
        <v>13713237.38</v>
      </c>
      <c r="D13" s="19" t="n">
        <f aca="false">SUMIFS(Dept_Data!$E$2:$E$6870,Dept_Data!$A$2:$A$6870,$A13,Dept_Data!$C$2:$C$6870,2012,Dept_Data!$D$2:$D$6870,"&lt;=8",Dept_Data!$B$2:$B$6870,"C")</f>
        <v>28148.32</v>
      </c>
      <c r="E13" s="19" t="n">
        <f aca="false">B13*(1+Assumptions!$C$5)+C13*(1+Assumptions!$C$6)+D13*(1+Assumptions!$C$7)</f>
        <v>32882935.7358</v>
      </c>
      <c r="F13" s="19" t="n">
        <f aca="false">SUMIFS(Dept_Data!$E$2:$E$6870,Dept_Data!$A$2:$A$6870,$A13,Dept_Data!$C$2:$C$6870,2013)</f>
        <v>34508607.92</v>
      </c>
      <c r="G13" s="19" t="n">
        <f aca="false">F13-E13</f>
        <v>1625672.1842</v>
      </c>
      <c r="H13" s="27" t="n">
        <f aca="false">IF(E13&lt;=0,"",G13/E13)</f>
        <v>0.0494381705228988</v>
      </c>
      <c r="I13" s="18" t="n">
        <f aca="false">RANK(ABS(G13),$K$5:$K$85)</f>
        <v>6</v>
      </c>
      <c r="K13" s="33" t="n">
        <f aca="false">ABS(G13)</f>
        <v>1625672.1842</v>
      </c>
    </row>
    <row r="14" customFormat="false" ht="15" hidden="false" customHeight="false" outlineLevel="0" collapsed="false">
      <c r="A14" s="25" t="n">
        <v>10</v>
      </c>
      <c r="B14" s="19" t="n">
        <f aca="false">SUMIFS(Dept_Data!$E$2:$E$6870,Dept_Data!$A$2:$A$6870,$A14,Dept_Data!$C$2:$C$6870,2012,Dept_Data!$D$2:$D$6870,"&lt;=8",Dept_Data!$B$2:$B$6870,"A")</f>
        <v>18022847.73</v>
      </c>
      <c r="C14" s="19" t="n">
        <f aca="false">SUMIFS(Dept_Data!$E$2:$E$6870,Dept_Data!$A$2:$A$6870,$A14,Dept_Data!$C$2:$C$6870,2012,Dept_Data!$D$2:$D$6870,"&lt;=8",Dept_Data!$B$2:$B$6870,"B")</f>
        <v>10376972.43</v>
      </c>
      <c r="D14" s="19" t="n">
        <f aca="false">SUMIFS(Dept_Data!$E$2:$E$6870,Dept_Data!$A$2:$A$6870,$A14,Dept_Data!$C$2:$C$6870,2012,Dept_Data!$D$2:$D$6870,"&lt;=8",Dept_Data!$B$2:$B$6870,"C")</f>
        <v>70331.35</v>
      </c>
      <c r="E14" s="19" t="n">
        <f aca="false">B14*(1+Assumptions!$C$5)+C14*(1+Assumptions!$C$6)+D14*(1+Assumptions!$C$7)</f>
        <v>29219431.36075</v>
      </c>
      <c r="F14" s="19" t="n">
        <f aca="false">SUMIFS(Dept_Data!$E$2:$E$6870,Dept_Data!$A$2:$A$6870,$A14,Dept_Data!$C$2:$C$6870,2013)</f>
        <v>29476353.98</v>
      </c>
      <c r="G14" s="19" t="n">
        <f aca="false">F14-E14</f>
        <v>256922.61925</v>
      </c>
      <c r="H14" s="27" t="n">
        <f aca="false">IF(E14&lt;=0,"",G14/E14)</f>
        <v>0.00879286855647436</v>
      </c>
      <c r="I14" s="18" t="n">
        <f aca="false">RANK(ABS(G14),$K$5:$K$85)</f>
        <v>35</v>
      </c>
      <c r="K14" s="33" t="n">
        <f aca="false">ABS(G14)</f>
        <v>256922.61925</v>
      </c>
    </row>
    <row r="15" customFormat="false" ht="15" hidden="false" customHeight="false" outlineLevel="0" collapsed="false">
      <c r="A15" s="25" t="n">
        <v>11</v>
      </c>
      <c r="B15" s="19" t="n">
        <f aca="false">SUMIFS(Dept_Data!$E$2:$E$6870,Dept_Data!$A$2:$A$6870,$A15,Dept_Data!$C$2:$C$6870,2012,Dept_Data!$D$2:$D$6870,"&lt;=8",Dept_Data!$B$2:$B$6870,"A")</f>
        <v>12761516.16</v>
      </c>
      <c r="C15" s="19" t="n">
        <f aca="false">SUMIFS(Dept_Data!$E$2:$E$6870,Dept_Data!$A$2:$A$6870,$A15,Dept_Data!$C$2:$C$6870,2012,Dept_Data!$D$2:$D$6870,"&lt;=8",Dept_Data!$B$2:$B$6870,"B")</f>
        <v>9155082.98</v>
      </c>
      <c r="D15" s="19" t="n">
        <f aca="false">SUMIFS(Dept_Data!$E$2:$E$6870,Dept_Data!$A$2:$A$6870,$A15,Dept_Data!$C$2:$C$6870,2012,Dept_Data!$D$2:$D$6870,"&lt;=8",Dept_Data!$B$2:$B$6870,"C")</f>
        <v>174980.15</v>
      </c>
      <c r="E15" s="19" t="n">
        <f aca="false">B15*(1+Assumptions!$C$5)+C15*(1+Assumptions!$C$6)+D15*(1+Assumptions!$C$7)</f>
        <v>22660151.13665</v>
      </c>
      <c r="F15" s="19" t="n">
        <f aca="false">SUMIFS(Dept_Data!$E$2:$E$6870,Dept_Data!$A$2:$A$6870,$A15,Dept_Data!$C$2:$C$6870,2013)</f>
        <v>22555856.28</v>
      </c>
      <c r="G15" s="19" t="n">
        <f aca="false">F15-E15</f>
        <v>-104294.856649999</v>
      </c>
      <c r="H15" s="27" t="n">
        <f aca="false">IF(E15&lt;=0,"",G15/E15)</f>
        <v>-0.00460256668285475</v>
      </c>
      <c r="I15" s="18" t="n">
        <f aca="false">RANK(ABS(G15),$K$5:$K$85)</f>
        <v>57</v>
      </c>
      <c r="K15" s="33" t="n">
        <f aca="false">ABS(G15)</f>
        <v>104294.856649999</v>
      </c>
    </row>
    <row r="16" customFormat="false" ht="15" hidden="false" customHeight="false" outlineLevel="0" collapsed="false">
      <c r="A16" s="25" t="n">
        <v>12</v>
      </c>
      <c r="B16" s="19" t="n">
        <f aca="false">SUMIFS(Dept_Data!$E$2:$E$6870,Dept_Data!$A$2:$A$6870,$A16,Dept_Data!$C$2:$C$6870,2012,Dept_Data!$D$2:$D$6870,"&lt;=8",Dept_Data!$B$2:$B$6870,"A")</f>
        <v>4056750.14</v>
      </c>
      <c r="C16" s="19" t="n">
        <f aca="false">SUMIFS(Dept_Data!$E$2:$E$6870,Dept_Data!$A$2:$A$6870,$A16,Dept_Data!$C$2:$C$6870,2012,Dept_Data!$D$2:$D$6870,"&lt;=8",Dept_Data!$B$2:$B$6870,"B")</f>
        <v>2606542.68</v>
      </c>
      <c r="D16" s="19" t="n">
        <f aca="false">SUMIFS(Dept_Data!$E$2:$E$6870,Dept_Data!$A$2:$A$6870,$A16,Dept_Data!$C$2:$C$6870,2012,Dept_Data!$D$2:$D$6870,"&lt;=8",Dept_Data!$B$2:$B$6870,"C")</f>
        <v>17272.26</v>
      </c>
      <c r="E16" s="19" t="n">
        <f aca="false">B16*(1+Assumptions!$C$5)+C16*(1+Assumptions!$C$6)+D16*(1+Assumptions!$C$7)</f>
        <v>6854657.5217</v>
      </c>
      <c r="F16" s="19" t="n">
        <f aca="false">SUMIFS(Dept_Data!$E$2:$E$6870,Dept_Data!$A$2:$A$6870,$A16,Dept_Data!$C$2:$C$6870,2013)</f>
        <v>6872884.34</v>
      </c>
      <c r="G16" s="19" t="n">
        <f aca="false">F16-E16</f>
        <v>18226.8183000004</v>
      </c>
      <c r="H16" s="27" t="n">
        <f aca="false">IF(E16&lt;=0,"",G16/E16)</f>
        <v>0.00265904142435989</v>
      </c>
      <c r="I16" s="18" t="n">
        <f aca="false">RANK(ABS(G16),$K$5:$K$85)</f>
        <v>69</v>
      </c>
      <c r="K16" s="33" t="n">
        <f aca="false">ABS(G16)</f>
        <v>18226.8183000004</v>
      </c>
    </row>
    <row r="17" customFormat="false" ht="15" hidden="false" customHeight="false" outlineLevel="0" collapsed="false">
      <c r="A17" s="25" t="n">
        <v>13</v>
      </c>
      <c r="B17" s="19" t="n">
        <f aca="false">SUMIFS(Dept_Data!$E$2:$E$6870,Dept_Data!$A$2:$A$6870,$A17,Dept_Data!$C$2:$C$6870,2012,Dept_Data!$D$2:$D$6870,"&lt;=8",Dept_Data!$B$2:$B$6870,"A")</f>
        <v>28295451.84</v>
      </c>
      <c r="C17" s="19" t="n">
        <f aca="false">SUMIFS(Dept_Data!$E$2:$E$6870,Dept_Data!$A$2:$A$6870,$A17,Dept_Data!$C$2:$C$6870,2012,Dept_Data!$D$2:$D$6870,"&lt;=8",Dept_Data!$B$2:$B$6870,"B")</f>
        <v>16370859.61</v>
      </c>
      <c r="D17" s="19" t="n">
        <f aca="false">SUMIFS(Dept_Data!$E$2:$E$6870,Dept_Data!$A$2:$A$6870,$A17,Dept_Data!$C$2:$C$6870,2012,Dept_Data!$D$2:$D$6870,"&lt;=8",Dept_Data!$B$2:$B$6870,"C")</f>
        <v>2629213.66</v>
      </c>
      <c r="E17" s="19" t="n">
        <f aca="false">B17*(1+Assumptions!$C$5)+C17*(1+Assumptions!$C$6)+D17*(1+Assumptions!$C$7)</f>
        <v>48511244.0623</v>
      </c>
      <c r="F17" s="19" t="n">
        <f aca="false">SUMIFS(Dept_Data!$E$2:$E$6870,Dept_Data!$A$2:$A$6870,$A17,Dept_Data!$C$2:$C$6870,2013)</f>
        <v>48277224</v>
      </c>
      <c r="G17" s="19" t="n">
        <f aca="false">F17-E17</f>
        <v>-234020.062299997</v>
      </c>
      <c r="H17" s="27" t="n">
        <f aca="false">IF(E17&lt;=0,"",G17/E17)</f>
        <v>-0.00482403753652368</v>
      </c>
      <c r="I17" s="18" t="n">
        <f aca="false">RANK(ABS(G17),$K$5:$K$85)</f>
        <v>37</v>
      </c>
      <c r="K17" s="33" t="n">
        <f aca="false">ABS(G17)</f>
        <v>234020.062299997</v>
      </c>
    </row>
    <row r="18" customFormat="false" ht="15" hidden="false" customHeight="false" outlineLevel="0" collapsed="false">
      <c r="A18" s="25" t="n">
        <v>14</v>
      </c>
      <c r="B18" s="19" t="n">
        <f aca="false">SUMIFS(Dept_Data!$E$2:$E$6870,Dept_Data!$A$2:$A$6870,$A18,Dept_Data!$C$2:$C$6870,2012,Dept_Data!$D$2:$D$6870,"&lt;=8",Dept_Data!$B$2:$B$6870,"A")</f>
        <v>11894161.99</v>
      </c>
      <c r="C18" s="19" t="n">
        <f aca="false">SUMIFS(Dept_Data!$E$2:$E$6870,Dept_Data!$A$2:$A$6870,$A18,Dept_Data!$C$2:$C$6870,2012,Dept_Data!$D$2:$D$6870,"&lt;=8",Dept_Data!$B$2:$B$6870,"B")</f>
        <v>8455634.06</v>
      </c>
      <c r="D18" s="19" t="n">
        <f aca="false">SUMIFS(Dept_Data!$E$2:$E$6870,Dept_Data!$A$2:$A$6870,$A18,Dept_Data!$C$2:$C$6870,2012,Dept_Data!$D$2:$D$6870,"&lt;=8",Dept_Data!$B$2:$B$6870,"C")</f>
        <v>213750.26</v>
      </c>
      <c r="E18" s="19" t="n">
        <f aca="false">B18*(1+Assumptions!$C$5)+C18*(1+Assumptions!$C$6)+D18*(1+Assumptions!$C$7)</f>
        <v>21092690.1048</v>
      </c>
      <c r="F18" s="19" t="n">
        <f aca="false">SUMIFS(Dept_Data!$E$2:$E$6870,Dept_Data!$A$2:$A$6870,$A18,Dept_Data!$C$2:$C$6870,2013)</f>
        <v>21648365.18</v>
      </c>
      <c r="G18" s="19" t="n">
        <f aca="false">F18-E18</f>
        <v>555675.075199999</v>
      </c>
      <c r="H18" s="27" t="n">
        <f aca="false">IF(E18&lt;=0,"",G18/E18)</f>
        <v>0.0263444384020768</v>
      </c>
      <c r="I18" s="18" t="n">
        <f aca="false">RANK(ABS(G18),$K$5:$K$85)</f>
        <v>15</v>
      </c>
      <c r="K18" s="33" t="n">
        <f aca="false">ABS(G18)</f>
        <v>555675.075199999</v>
      </c>
    </row>
    <row r="19" customFormat="false" ht="15" hidden="false" customHeight="false" outlineLevel="0" collapsed="false">
      <c r="A19" s="25" t="n">
        <v>16</v>
      </c>
      <c r="B19" s="19" t="n">
        <f aca="false">SUMIFS(Dept_Data!$E$2:$E$6870,Dept_Data!$A$2:$A$6870,$A19,Dept_Data!$C$2:$C$6870,2012,Dept_Data!$D$2:$D$6870,"&lt;=8",Dept_Data!$B$2:$B$6870,"A")</f>
        <v>17238418.35</v>
      </c>
      <c r="C19" s="19" t="n">
        <f aca="false">SUMIFS(Dept_Data!$E$2:$E$6870,Dept_Data!$A$2:$A$6870,$A19,Dept_Data!$C$2:$C$6870,2012,Dept_Data!$D$2:$D$6870,"&lt;=8",Dept_Data!$B$2:$B$6870,"B")</f>
        <v>9675308.77</v>
      </c>
      <c r="D19" s="19" t="n">
        <f aca="false">SUMIFS(Dept_Data!$E$2:$E$6870,Dept_Data!$A$2:$A$6870,$A19,Dept_Data!$C$2:$C$6870,2012,Dept_Data!$D$2:$D$6870,"&lt;=8",Dept_Data!$B$2:$B$6870,"C")</f>
        <v>358413.68</v>
      </c>
      <c r="E19" s="19" t="n">
        <f aca="false">B19*(1+Assumptions!$C$5)+C19*(1+Assumptions!$C$6)+D19*(1+Assumptions!$C$7)</f>
        <v>27988175.7311</v>
      </c>
      <c r="F19" s="19" t="n">
        <f aca="false">SUMIFS(Dept_Data!$E$2:$E$6870,Dept_Data!$A$2:$A$6870,$A19,Dept_Data!$C$2:$C$6870,2013)</f>
        <v>27897600.39</v>
      </c>
      <c r="G19" s="19" t="n">
        <f aca="false">F19-E19</f>
        <v>-90575.3411000036</v>
      </c>
      <c r="H19" s="27" t="n">
        <f aca="false">IF(E19&lt;=0,"",G19/E19)</f>
        <v>-0.00323620024292465</v>
      </c>
      <c r="I19" s="18" t="n">
        <f aca="false">RANK(ABS(G19),$K$5:$K$85)</f>
        <v>59</v>
      </c>
      <c r="K19" s="33" t="n">
        <f aca="false">ABS(G19)</f>
        <v>90575.3411000036</v>
      </c>
    </row>
    <row r="20" customFormat="false" ht="15" hidden="false" customHeight="false" outlineLevel="0" collapsed="false">
      <c r="A20" s="25" t="n">
        <v>17</v>
      </c>
      <c r="B20" s="19" t="n">
        <f aca="false">SUMIFS(Dept_Data!$E$2:$E$6870,Dept_Data!$A$2:$A$6870,$A20,Dept_Data!$C$2:$C$6870,2012,Dept_Data!$D$2:$D$6870,"&lt;=8",Dept_Data!$B$2:$B$6870,"A")</f>
        <v>8474176.65</v>
      </c>
      <c r="C20" s="19" t="n">
        <f aca="false">SUMIFS(Dept_Data!$E$2:$E$6870,Dept_Data!$A$2:$A$6870,$A20,Dept_Data!$C$2:$C$6870,2012,Dept_Data!$D$2:$D$6870,"&lt;=8",Dept_Data!$B$2:$B$6870,"B")</f>
        <v>6177917.82</v>
      </c>
      <c r="D20" s="19" t="n">
        <f aca="false">SUMIFS(Dept_Data!$E$2:$E$6870,Dept_Data!$A$2:$A$6870,$A20,Dept_Data!$C$2:$C$6870,2012,Dept_Data!$D$2:$D$6870,"&lt;=8",Dept_Data!$B$2:$B$6870,"C")</f>
        <v>76264</v>
      </c>
      <c r="E20" s="19" t="n">
        <f aca="false">B20*(1+Assumptions!$C$5)+C20*(1+Assumptions!$C$6)+D20*(1+Assumptions!$C$7)</f>
        <v>15107286.0859</v>
      </c>
      <c r="F20" s="19" t="n">
        <f aca="false">SUMIFS(Dept_Data!$E$2:$E$6870,Dept_Data!$A$2:$A$6870,$A20,Dept_Data!$C$2:$C$6870,2013)</f>
        <v>14803062</v>
      </c>
      <c r="G20" s="19" t="n">
        <f aca="false">F20-E20</f>
        <v>-304224.085900001</v>
      </c>
      <c r="H20" s="27" t="n">
        <f aca="false">IF(E20&lt;=0,"",G20/E20)</f>
        <v>-0.0201375736297164</v>
      </c>
      <c r="I20" s="18" t="n">
        <f aca="false">RANK(ABS(G20),$K$5:$K$85)</f>
        <v>29</v>
      </c>
      <c r="K20" s="33" t="n">
        <f aca="false">ABS(G20)</f>
        <v>304224.085900001</v>
      </c>
    </row>
    <row r="21" customFormat="false" ht="15" hidden="false" customHeight="false" outlineLevel="0" collapsed="false">
      <c r="A21" s="25" t="n">
        <v>18</v>
      </c>
      <c r="B21" s="19" t="n">
        <f aca="false">SUMIFS(Dept_Data!$E$2:$E$6870,Dept_Data!$A$2:$A$6870,$A21,Dept_Data!$C$2:$C$6870,2012,Dept_Data!$D$2:$D$6870,"&lt;=8",Dept_Data!$B$2:$B$6870,"A")</f>
        <v>1840835.06</v>
      </c>
      <c r="C21" s="19" t="n">
        <f aca="false">SUMIFS(Dept_Data!$E$2:$E$6870,Dept_Data!$A$2:$A$6870,$A21,Dept_Data!$C$2:$C$6870,2012,Dept_Data!$D$2:$D$6870,"&lt;=8",Dept_Data!$B$2:$B$6870,"B")</f>
        <v>927235.91</v>
      </c>
      <c r="D21" s="19" t="n">
        <f aca="false">SUMIFS(Dept_Data!$E$2:$E$6870,Dept_Data!$A$2:$A$6870,$A21,Dept_Data!$C$2:$C$6870,2012,Dept_Data!$D$2:$D$6870,"&lt;=8",Dept_Data!$B$2:$B$6870,"C")</f>
        <v>30310.43</v>
      </c>
      <c r="E21" s="19" t="n">
        <f aca="false">B21*(1+Assumptions!$C$5)+C21*(1+Assumptions!$C$6)+D21*(1+Assumptions!$C$7)</f>
        <v>2872605.82645</v>
      </c>
      <c r="F21" s="19" t="n">
        <f aca="false">SUMIFS(Dept_Data!$E$2:$E$6870,Dept_Data!$A$2:$A$6870,$A21,Dept_Data!$C$2:$C$6870,2013)</f>
        <v>2967606.23</v>
      </c>
      <c r="G21" s="19" t="n">
        <f aca="false">F21-E21</f>
        <v>95000.4035499999</v>
      </c>
      <c r="H21" s="27" t="n">
        <f aca="false">IF(E21&lt;=0,"",G21/E21)</f>
        <v>0.0330711588326069</v>
      </c>
      <c r="I21" s="18" t="n">
        <f aca="false">RANK(ABS(G21),$K$5:$K$85)</f>
        <v>58</v>
      </c>
      <c r="K21" s="33" t="n">
        <f aca="false">ABS(G21)</f>
        <v>95000.4035499999</v>
      </c>
    </row>
    <row r="22" customFormat="false" ht="15" hidden="false" customHeight="false" outlineLevel="0" collapsed="false">
      <c r="A22" s="25" t="n">
        <v>19</v>
      </c>
      <c r="B22" s="19" t="n">
        <f aca="false">SUMIFS(Dept_Data!$E$2:$E$6870,Dept_Data!$A$2:$A$6870,$A22,Dept_Data!$C$2:$C$6870,2012,Dept_Data!$D$2:$D$6870,"&lt;=8",Dept_Data!$B$2:$B$6870,"A")</f>
        <v>744879.32</v>
      </c>
      <c r="C22" s="19" t="n">
        <f aca="false">SUMIFS(Dept_Data!$E$2:$E$6870,Dept_Data!$A$2:$A$6870,$A22,Dept_Data!$C$2:$C$6870,2012,Dept_Data!$D$2:$D$6870,"&lt;=8",Dept_Data!$B$2:$B$6870,"B")</f>
        <v>720381.07</v>
      </c>
      <c r="D22" s="19" t="n">
        <f aca="false">SUMIFS(Dept_Data!$E$2:$E$6870,Dept_Data!$A$2:$A$6870,$A22,Dept_Data!$C$2:$C$6870,2012,Dept_Data!$D$2:$D$6870,"&lt;=8",Dept_Data!$B$2:$B$6870,"C")</f>
        <v>0</v>
      </c>
      <c r="E22" s="19" t="n">
        <f aca="false">B22*(1+Assumptions!$C$5)+C22*(1+Assumptions!$C$6)+D22*(1+Assumptions!$C$7)</f>
        <v>1502014.391</v>
      </c>
      <c r="F22" s="19" t="n">
        <f aca="false">SUMIFS(Dept_Data!$E$2:$E$6870,Dept_Data!$A$2:$A$6870,$A22,Dept_Data!$C$2:$C$6870,2013)</f>
        <v>1620619.75</v>
      </c>
      <c r="G22" s="19" t="n">
        <f aca="false">F22-E22</f>
        <v>118605.359</v>
      </c>
      <c r="H22" s="27" t="n">
        <f aca="false">IF(E22&lt;=0,"",G22/E22)</f>
        <v>0.0789641961559606</v>
      </c>
      <c r="I22" s="18" t="n">
        <f aca="false">RANK(ABS(G22),$K$5:$K$85)</f>
        <v>54</v>
      </c>
      <c r="K22" s="33" t="n">
        <f aca="false">ABS(G22)</f>
        <v>118605.359</v>
      </c>
    </row>
    <row r="23" customFormat="false" ht="15" hidden="false" customHeight="false" outlineLevel="0" collapsed="false">
      <c r="A23" s="25" t="n">
        <v>20</v>
      </c>
      <c r="B23" s="19" t="n">
        <f aca="false">SUMIFS(Dept_Data!$E$2:$E$6870,Dept_Data!$A$2:$A$6870,$A23,Dept_Data!$C$2:$C$6870,2012,Dept_Data!$D$2:$D$6870,"&lt;=8",Dept_Data!$B$2:$B$6870,"A")</f>
        <v>4697742.28</v>
      </c>
      <c r="C23" s="19" t="n">
        <f aca="false">SUMIFS(Dept_Data!$E$2:$E$6870,Dept_Data!$A$2:$A$6870,$A23,Dept_Data!$C$2:$C$6870,2012,Dept_Data!$D$2:$D$6870,"&lt;=8",Dept_Data!$B$2:$B$6870,"B")</f>
        <v>3476357.63</v>
      </c>
      <c r="D23" s="19" t="n">
        <f aca="false">SUMIFS(Dept_Data!$E$2:$E$6870,Dept_Data!$A$2:$A$6870,$A23,Dept_Data!$C$2:$C$6870,2012,Dept_Data!$D$2:$D$6870,"&lt;=8",Dept_Data!$B$2:$B$6870,"C")</f>
        <v>7826.89</v>
      </c>
      <c r="E23" s="19" t="n">
        <f aca="false">B23*(1+Assumptions!$C$5)+C23*(1+Assumptions!$C$6)+D23*(1+Assumptions!$C$7)</f>
        <v>8392503.62435</v>
      </c>
      <c r="F23" s="19" t="n">
        <f aca="false">SUMIFS(Dept_Data!$E$2:$E$6870,Dept_Data!$A$2:$A$6870,$A23,Dept_Data!$C$2:$C$6870,2013)</f>
        <v>8409918.51</v>
      </c>
      <c r="G23" s="19" t="n">
        <f aca="false">F23-E23</f>
        <v>17414.8856499996</v>
      </c>
      <c r="H23" s="27" t="n">
        <f aca="false">IF(E23&lt;=0,"",G23/E23)</f>
        <v>0.00207505250274448</v>
      </c>
      <c r="I23" s="18" t="n">
        <f aca="false">RANK(ABS(G23),$K$5:$K$85)</f>
        <v>70</v>
      </c>
      <c r="K23" s="33" t="n">
        <f aca="false">ABS(G23)</f>
        <v>17414.8856499996</v>
      </c>
    </row>
    <row r="24" customFormat="false" ht="15" hidden="false" customHeight="false" outlineLevel="0" collapsed="false">
      <c r="A24" s="25" t="n">
        <v>21</v>
      </c>
      <c r="B24" s="19" t="n">
        <f aca="false">SUMIFS(Dept_Data!$E$2:$E$6870,Dept_Data!$A$2:$A$6870,$A24,Dept_Data!$C$2:$C$6870,2012,Dept_Data!$D$2:$D$6870,"&lt;=8",Dept_Data!$B$2:$B$6870,"A")</f>
        <v>4659780.07</v>
      </c>
      <c r="C24" s="19" t="n">
        <f aca="false">SUMIFS(Dept_Data!$E$2:$E$6870,Dept_Data!$A$2:$A$6870,$A24,Dept_Data!$C$2:$C$6870,2012,Dept_Data!$D$2:$D$6870,"&lt;=8",Dept_Data!$B$2:$B$6870,"B")</f>
        <v>2341605.95</v>
      </c>
      <c r="D24" s="19" t="n">
        <f aca="false">SUMIFS(Dept_Data!$E$2:$E$6870,Dept_Data!$A$2:$A$6870,$A24,Dept_Data!$C$2:$C$6870,2012,Dept_Data!$D$2:$D$6870,"&lt;=8",Dept_Data!$B$2:$B$6870,"C")</f>
        <v>279801.32</v>
      </c>
      <c r="E24" s="19" t="n">
        <f aca="false">B24*(1+Assumptions!$C$5)+C24*(1+Assumptions!$C$6)+D24*(1+Assumptions!$C$7)</f>
        <v>7472009.8809</v>
      </c>
      <c r="F24" s="19" t="n">
        <f aca="false">SUMIFS(Dept_Data!$E$2:$E$6870,Dept_Data!$A$2:$A$6870,$A24,Dept_Data!$C$2:$C$6870,2013)</f>
        <v>7265963.67</v>
      </c>
      <c r="G24" s="19" t="n">
        <f aca="false">F24-E24</f>
        <v>-206046.210900001</v>
      </c>
      <c r="H24" s="27" t="n">
        <f aca="false">IF(E24&lt;=0,"",G24/E24)</f>
        <v>-0.0275757412241515</v>
      </c>
      <c r="I24" s="18" t="n">
        <f aca="false">RANK(ABS(G24),$K$5:$K$85)</f>
        <v>41</v>
      </c>
      <c r="K24" s="33" t="n">
        <f aca="false">ABS(G24)</f>
        <v>206046.210900001</v>
      </c>
    </row>
    <row r="25" customFormat="false" ht="15" hidden="false" customHeight="false" outlineLevel="0" collapsed="false">
      <c r="A25" s="25" t="n">
        <v>22</v>
      </c>
      <c r="B25" s="19" t="n">
        <f aca="false">SUMIFS(Dept_Data!$E$2:$E$6870,Dept_Data!$A$2:$A$6870,$A25,Dept_Data!$C$2:$C$6870,2012,Dept_Data!$D$2:$D$6870,"&lt;=8",Dept_Data!$B$2:$B$6870,"A")</f>
        <v>7752784.31</v>
      </c>
      <c r="C25" s="19" t="n">
        <f aca="false">SUMIFS(Dept_Data!$E$2:$E$6870,Dept_Data!$A$2:$A$6870,$A25,Dept_Data!$C$2:$C$6870,2012,Dept_Data!$D$2:$D$6870,"&lt;=8",Dept_Data!$B$2:$B$6870,"B")</f>
        <v>5712881.63</v>
      </c>
      <c r="D25" s="19" t="n">
        <f aca="false">SUMIFS(Dept_Data!$E$2:$E$6870,Dept_Data!$A$2:$A$6870,$A25,Dept_Data!$C$2:$C$6870,2012,Dept_Data!$D$2:$D$6870,"&lt;=8",Dept_Data!$B$2:$B$6870,"C")</f>
        <v>2161.98</v>
      </c>
      <c r="E25" s="19" t="n">
        <f aca="false">B25*(1+Assumptions!$C$5)+C25*(1+Assumptions!$C$6)+D25*(1+Assumptions!$C$7)</f>
        <v>13814701.5116</v>
      </c>
      <c r="F25" s="19" t="n">
        <f aca="false">SUMIFS(Dept_Data!$E$2:$E$6870,Dept_Data!$A$2:$A$6870,$A25,Dept_Data!$C$2:$C$6870,2013)</f>
        <v>14141961.19</v>
      </c>
      <c r="G25" s="19" t="n">
        <f aca="false">F25-E25</f>
        <v>327259.678399999</v>
      </c>
      <c r="H25" s="27" t="n">
        <f aca="false">IF(E25&lt;=0,"",G25/E25)</f>
        <v>0.0236892326718173</v>
      </c>
      <c r="I25" s="18" t="n">
        <f aca="false">RANK(ABS(G25),$K$5:$K$85)</f>
        <v>27</v>
      </c>
      <c r="K25" s="33" t="n">
        <f aca="false">ABS(G25)</f>
        <v>327259.678399999</v>
      </c>
    </row>
    <row r="26" customFormat="false" ht="15" hidden="false" customHeight="false" outlineLevel="0" collapsed="false">
      <c r="A26" s="25" t="n">
        <v>23</v>
      </c>
      <c r="B26" s="19" t="n">
        <f aca="false">SUMIFS(Dept_Data!$E$2:$E$6870,Dept_Data!$A$2:$A$6870,$A26,Dept_Data!$C$2:$C$6870,2012,Dept_Data!$D$2:$D$6870,"&lt;=8",Dept_Data!$B$2:$B$6870,"A")</f>
        <v>16971463.18</v>
      </c>
      <c r="C26" s="19" t="n">
        <f aca="false">SUMIFS(Dept_Data!$E$2:$E$6870,Dept_Data!$A$2:$A$6870,$A26,Dept_Data!$C$2:$C$6870,2012,Dept_Data!$D$2:$D$6870,"&lt;=8",Dept_Data!$B$2:$B$6870,"B")</f>
        <v>14244533.9</v>
      </c>
      <c r="D26" s="19" t="n">
        <f aca="false">SUMIFS(Dept_Data!$E$2:$E$6870,Dept_Data!$A$2:$A$6870,$A26,Dept_Data!$C$2:$C$6870,2012,Dept_Data!$D$2:$D$6870,"&lt;=8",Dept_Data!$B$2:$B$6870,"C")</f>
        <v>4290.17</v>
      </c>
      <c r="E26" s="19" t="n">
        <f aca="false">B26*(1+Assumptions!$C$5)+C26*(1+Assumptions!$C$6)+D26*(1+Assumptions!$C$7)</f>
        <v>32014386.17595</v>
      </c>
      <c r="F26" s="19" t="n">
        <f aca="false">SUMIFS(Dept_Data!$E$2:$E$6870,Dept_Data!$A$2:$A$6870,$A26,Dept_Data!$C$2:$C$6870,2013)</f>
        <v>33150911.58</v>
      </c>
      <c r="G26" s="19" t="n">
        <f aca="false">F26-E26</f>
        <v>1136525.40405</v>
      </c>
      <c r="H26" s="27" t="n">
        <f aca="false">IF(E26&lt;=0,"",G26/E26)</f>
        <v>0.0355004590062634</v>
      </c>
      <c r="I26" s="18" t="n">
        <f aca="false">RANK(ABS(G26),$K$5:$K$85)</f>
        <v>9</v>
      </c>
      <c r="K26" s="33" t="n">
        <f aca="false">ABS(G26)</f>
        <v>1136525.40405</v>
      </c>
    </row>
    <row r="27" customFormat="false" ht="15" hidden="false" customHeight="false" outlineLevel="0" collapsed="false">
      <c r="A27" s="25" t="n">
        <v>24</v>
      </c>
      <c r="B27" s="19" t="n">
        <f aca="false">SUMIFS(Dept_Data!$E$2:$E$6870,Dept_Data!$A$2:$A$6870,$A27,Dept_Data!$C$2:$C$6870,2012,Dept_Data!$D$2:$D$6870,"&lt;=8",Dept_Data!$B$2:$B$6870,"A")</f>
        <v>4173266.39</v>
      </c>
      <c r="C27" s="19" t="n">
        <f aca="false">SUMIFS(Dept_Data!$E$2:$E$6870,Dept_Data!$A$2:$A$6870,$A27,Dept_Data!$C$2:$C$6870,2012,Dept_Data!$D$2:$D$6870,"&lt;=8",Dept_Data!$B$2:$B$6870,"B")</f>
        <v>3460881.49</v>
      </c>
      <c r="D27" s="19" t="n">
        <f aca="false">SUMIFS(Dept_Data!$E$2:$E$6870,Dept_Data!$A$2:$A$6870,$A27,Dept_Data!$C$2:$C$6870,2012,Dept_Data!$D$2:$D$6870,"&lt;=8",Dept_Data!$B$2:$B$6870,"C")</f>
        <v>254.29</v>
      </c>
      <c r="E27" s="19" t="n">
        <f aca="false">B27*(1+Assumptions!$C$5)+C27*(1+Assumptions!$C$6)+D27*(1+Assumptions!$C$7)</f>
        <v>7828821.60585</v>
      </c>
      <c r="F27" s="19" t="n">
        <f aca="false">SUMIFS(Dept_Data!$E$2:$E$6870,Dept_Data!$A$2:$A$6870,$A27,Dept_Data!$C$2:$C$6870,2013)</f>
        <v>7998866.41</v>
      </c>
      <c r="G27" s="19" t="n">
        <f aca="false">F27-E27</f>
        <v>170044.804150001</v>
      </c>
      <c r="H27" s="27" t="n">
        <f aca="false">IF(E27&lt;=0,"",G27/E27)</f>
        <v>0.0217203575085856</v>
      </c>
      <c r="I27" s="18" t="n">
        <f aca="false">RANK(ABS(G27),$K$5:$K$85)</f>
        <v>45</v>
      </c>
      <c r="K27" s="33" t="n">
        <f aca="false">ABS(G27)</f>
        <v>170044.804150001</v>
      </c>
    </row>
    <row r="28" customFormat="false" ht="15" hidden="false" customHeight="false" outlineLevel="0" collapsed="false">
      <c r="A28" s="25" t="n">
        <v>25</v>
      </c>
      <c r="B28" s="19" t="n">
        <f aca="false">SUMIFS(Dept_Data!$E$2:$E$6870,Dept_Data!$A$2:$A$6870,$A28,Dept_Data!$C$2:$C$6870,2012,Dept_Data!$D$2:$D$6870,"&lt;=8",Dept_Data!$B$2:$B$6870,"A")</f>
        <v>7608368.9</v>
      </c>
      <c r="C28" s="19" t="n">
        <f aca="false">SUMIFS(Dept_Data!$E$2:$E$6870,Dept_Data!$A$2:$A$6870,$A28,Dept_Data!$C$2:$C$6870,2012,Dept_Data!$D$2:$D$6870,"&lt;=8",Dept_Data!$B$2:$B$6870,"B")</f>
        <v>5949442.2</v>
      </c>
      <c r="D28" s="19" t="n">
        <f aca="false">SUMIFS(Dept_Data!$E$2:$E$6870,Dept_Data!$A$2:$A$6870,$A28,Dept_Data!$C$2:$C$6870,2012,Dept_Data!$D$2:$D$6870,"&lt;=8",Dept_Data!$B$2:$B$6870,"C")</f>
        <v>11899.01</v>
      </c>
      <c r="E28" s="19" t="n">
        <f aca="false">B28*(1+Assumptions!$C$5)+C28*(1+Assumptions!$C$6)+D28*(1+Assumptions!$C$7)</f>
        <v>13917128.50615</v>
      </c>
      <c r="F28" s="19" t="n">
        <f aca="false">SUMIFS(Dept_Data!$E$2:$E$6870,Dept_Data!$A$2:$A$6870,$A28,Dept_Data!$C$2:$C$6870,2013)</f>
        <v>13793093.89</v>
      </c>
      <c r="G28" s="19" t="n">
        <f aca="false">F28-E28</f>
        <v>-124034.616149999</v>
      </c>
      <c r="H28" s="27" t="n">
        <f aca="false">IF(E28&lt;=0,"",G28/E28)</f>
        <v>-0.00891237126216002</v>
      </c>
      <c r="I28" s="18" t="n">
        <f aca="false">RANK(ABS(G28),$K$5:$K$85)</f>
        <v>53</v>
      </c>
      <c r="K28" s="33" t="n">
        <f aca="false">ABS(G28)</f>
        <v>124034.616149999</v>
      </c>
    </row>
    <row r="29" customFormat="false" ht="15" hidden="false" customHeight="false" outlineLevel="0" collapsed="false">
      <c r="A29" s="25" t="n">
        <v>26</v>
      </c>
      <c r="B29" s="19" t="n">
        <f aca="false">SUMIFS(Dept_Data!$E$2:$E$6870,Dept_Data!$A$2:$A$6870,$A29,Dept_Data!$C$2:$C$6870,2012,Dept_Data!$D$2:$D$6870,"&lt;=8",Dept_Data!$B$2:$B$6870,"A")</f>
        <v>5739867.59</v>
      </c>
      <c r="C29" s="19" t="n">
        <f aca="false">SUMIFS(Dept_Data!$E$2:$E$6870,Dept_Data!$A$2:$A$6870,$A29,Dept_Data!$C$2:$C$6870,2012,Dept_Data!$D$2:$D$6870,"&lt;=8",Dept_Data!$B$2:$B$6870,"B")</f>
        <v>4035292.06</v>
      </c>
      <c r="D29" s="19" t="n">
        <f aca="false">SUMIFS(Dept_Data!$E$2:$E$6870,Dept_Data!$A$2:$A$6870,$A29,Dept_Data!$C$2:$C$6870,2012,Dept_Data!$D$2:$D$6870,"&lt;=8",Dept_Data!$B$2:$B$6870,"C")</f>
        <v>183.12</v>
      </c>
      <c r="E29" s="19" t="n">
        <f aca="false">B29*(1+Assumptions!$C$5)+C29*(1+Assumptions!$C$6)+D29*(1+Assumptions!$C$7)</f>
        <v>10028247.3857</v>
      </c>
      <c r="F29" s="19" t="n">
        <f aca="false">SUMIFS(Dept_Data!$E$2:$E$6870,Dept_Data!$A$2:$A$6870,$A29,Dept_Data!$C$2:$C$6870,2013)</f>
        <v>9919218.53</v>
      </c>
      <c r="G29" s="19" t="n">
        <f aca="false">F29-E29</f>
        <v>-109028.855700001</v>
      </c>
      <c r="H29" s="27" t="n">
        <f aca="false">IF(E29&lt;=0,"",G29/E29)</f>
        <v>-0.0108721745192957</v>
      </c>
      <c r="I29" s="18" t="n">
        <f aca="false">RANK(ABS(G29),$K$5:$K$85)</f>
        <v>56</v>
      </c>
      <c r="K29" s="33" t="n">
        <f aca="false">ABS(G29)</f>
        <v>109028.855700001</v>
      </c>
    </row>
    <row r="30" customFormat="false" ht="15" hidden="false" customHeight="false" outlineLevel="0" collapsed="false">
      <c r="A30" s="25" t="n">
        <v>27</v>
      </c>
      <c r="B30" s="19" t="n">
        <f aca="false">SUMIFS(Dept_Data!$E$2:$E$6870,Dept_Data!$A$2:$A$6870,$A30,Dept_Data!$C$2:$C$6870,2012,Dept_Data!$D$2:$D$6870,"&lt;=8",Dept_Data!$B$2:$B$6870,"A")</f>
        <v>976479.78</v>
      </c>
      <c r="C30" s="19" t="n">
        <f aca="false">SUMIFS(Dept_Data!$E$2:$E$6870,Dept_Data!$A$2:$A$6870,$A30,Dept_Data!$C$2:$C$6870,2012,Dept_Data!$D$2:$D$6870,"&lt;=8",Dept_Data!$B$2:$B$6870,"B")</f>
        <v>818738.44</v>
      </c>
      <c r="D30" s="19" t="n">
        <f aca="false">SUMIFS(Dept_Data!$E$2:$E$6870,Dept_Data!$A$2:$A$6870,$A30,Dept_Data!$C$2:$C$6870,2012,Dept_Data!$D$2:$D$6870,"&lt;=8",Dept_Data!$B$2:$B$6870,"C")</f>
        <v>1764.97</v>
      </c>
      <c r="E30" s="19" t="n">
        <f aca="false">B30*(1+Assumptions!$C$5)+C30*(1+Assumptions!$C$6)+D30*(1+Assumptions!$C$7)</f>
        <v>1842678.82675</v>
      </c>
      <c r="F30" s="19" t="n">
        <f aca="false">SUMIFS(Dept_Data!$E$2:$E$6870,Dept_Data!$A$2:$A$6870,$A30,Dept_Data!$C$2:$C$6870,2013)</f>
        <v>1921795.47</v>
      </c>
      <c r="G30" s="19" t="n">
        <f aca="false">F30-E30</f>
        <v>79116.6432500002</v>
      </c>
      <c r="H30" s="27" t="n">
        <f aca="false">IF(E30&lt;=0,"",G30/E30)</f>
        <v>0.0429356663252821</v>
      </c>
      <c r="I30" s="18" t="n">
        <f aca="false">RANK(ABS(G30),$K$5:$K$85)</f>
        <v>61</v>
      </c>
      <c r="K30" s="33" t="n">
        <f aca="false">ABS(G30)</f>
        <v>79116.6432500002</v>
      </c>
    </row>
    <row r="31" customFormat="false" ht="15" hidden="false" customHeight="false" outlineLevel="0" collapsed="false">
      <c r="A31" s="25" t="n">
        <v>28</v>
      </c>
      <c r="B31" s="19" t="n">
        <f aca="false">SUMIFS(Dept_Data!$E$2:$E$6870,Dept_Data!$A$2:$A$6870,$A31,Dept_Data!$C$2:$C$6870,2012,Dept_Data!$D$2:$D$6870,"&lt;=8",Dept_Data!$B$2:$B$6870,"A")</f>
        <v>408923.21</v>
      </c>
      <c r="C31" s="19" t="n">
        <f aca="false">SUMIFS(Dept_Data!$E$2:$E$6870,Dept_Data!$A$2:$A$6870,$A31,Dept_Data!$C$2:$C$6870,2012,Dept_Data!$D$2:$D$6870,"&lt;=8",Dept_Data!$B$2:$B$6870,"B")</f>
        <v>348112.64</v>
      </c>
      <c r="D31" s="19" t="n">
        <f aca="false">SUMIFS(Dept_Data!$E$2:$E$6870,Dept_Data!$A$2:$A$6870,$A31,Dept_Data!$C$2:$C$6870,2012,Dept_Data!$D$2:$D$6870,"&lt;=8",Dept_Data!$B$2:$B$6870,"C")</f>
        <v>17113.59</v>
      </c>
      <c r="E31" s="19" t="n">
        <f aca="false">B31*(1+Assumptions!$C$5)+C31*(1+Assumptions!$C$6)+D31*(1+Assumptions!$C$7)</f>
        <v>793636.09295</v>
      </c>
      <c r="F31" s="19" t="n">
        <f aca="false">SUMIFS(Dept_Data!$E$2:$E$6870,Dept_Data!$A$2:$A$6870,$A31,Dept_Data!$C$2:$C$6870,2013)</f>
        <v>734940.88</v>
      </c>
      <c r="G31" s="19" t="n">
        <f aca="false">F31-E31</f>
        <v>-58695.21295</v>
      </c>
      <c r="H31" s="27" t="n">
        <f aca="false">IF(E31&lt;=0,"",G31/E31)</f>
        <v>-0.0739573382201228</v>
      </c>
      <c r="I31" s="18" t="n">
        <f aca="false">RANK(ABS(G31),$K$5:$K$85)</f>
        <v>62</v>
      </c>
      <c r="K31" s="33" t="n">
        <f aca="false">ABS(G31)</f>
        <v>58695.21295</v>
      </c>
    </row>
    <row r="32" customFormat="false" ht="15" hidden="false" customHeight="false" outlineLevel="0" collapsed="false">
      <c r="A32" s="25" t="n">
        <v>29</v>
      </c>
      <c r="B32" s="19" t="n">
        <f aca="false">SUMIFS(Dept_Data!$E$2:$E$6870,Dept_Data!$A$2:$A$6870,$A32,Dept_Data!$C$2:$C$6870,2012,Dept_Data!$D$2:$D$6870,"&lt;=8",Dept_Data!$B$2:$B$6870,"A")</f>
        <v>3671707.71</v>
      </c>
      <c r="C32" s="19" t="n">
        <f aca="false">SUMIFS(Dept_Data!$E$2:$E$6870,Dept_Data!$A$2:$A$6870,$A32,Dept_Data!$C$2:$C$6870,2012,Dept_Data!$D$2:$D$6870,"&lt;=8",Dept_Data!$B$2:$B$6870,"B")</f>
        <v>2982624.28</v>
      </c>
      <c r="D32" s="19" t="n">
        <f aca="false">SUMIFS(Dept_Data!$E$2:$E$6870,Dept_Data!$A$2:$A$6870,$A32,Dept_Data!$C$2:$C$6870,2012,Dept_Data!$D$2:$D$6870,"&lt;=8",Dept_Data!$B$2:$B$6870,"C")</f>
        <v>40.43</v>
      </c>
      <c r="E32" s="19" t="n">
        <f aca="false">B32*(1+Assumptions!$C$5)+C32*(1+Assumptions!$C$6)+D32*(1+Assumptions!$C$7)</f>
        <v>6824176.74335</v>
      </c>
      <c r="F32" s="19" t="n">
        <f aca="false">SUMIFS(Dept_Data!$E$2:$E$6870,Dept_Data!$A$2:$A$6870,$A32,Dept_Data!$C$2:$C$6870,2013)</f>
        <v>6975047.91</v>
      </c>
      <c r="G32" s="19" t="n">
        <f aca="false">F32-E32</f>
        <v>150871.16665</v>
      </c>
      <c r="H32" s="27" t="n">
        <f aca="false">IF(E32&lt;=0,"",G32/E32)</f>
        <v>0.022108332231726</v>
      </c>
      <c r="I32" s="18" t="n">
        <f aca="false">RANK(ABS(G32),$K$5:$K$85)</f>
        <v>47</v>
      </c>
      <c r="K32" s="33" t="n">
        <f aca="false">ABS(G32)</f>
        <v>150871.16665</v>
      </c>
    </row>
    <row r="33" customFormat="false" ht="15" hidden="false" customHeight="false" outlineLevel="0" collapsed="false">
      <c r="A33" s="25" t="n">
        <v>30</v>
      </c>
      <c r="B33" s="19" t="n">
        <f aca="false">SUMIFS(Dept_Data!$E$2:$E$6870,Dept_Data!$A$2:$A$6870,$A33,Dept_Data!$C$2:$C$6870,2012,Dept_Data!$D$2:$D$6870,"&lt;=8",Dept_Data!$B$2:$B$6870,"A")</f>
        <v>3124435.58</v>
      </c>
      <c r="C33" s="19" t="n">
        <f aca="false">SUMIFS(Dept_Data!$E$2:$E$6870,Dept_Data!$A$2:$A$6870,$A33,Dept_Data!$C$2:$C$6870,2012,Dept_Data!$D$2:$D$6870,"&lt;=8",Dept_Data!$B$2:$B$6870,"B")</f>
        <v>2452923.99</v>
      </c>
      <c r="D33" s="19" t="n">
        <f aca="false">SUMIFS(Dept_Data!$E$2:$E$6870,Dept_Data!$A$2:$A$6870,$A33,Dept_Data!$C$2:$C$6870,2012,Dept_Data!$D$2:$D$6870,"&lt;=8",Dept_Data!$B$2:$B$6870,"C")</f>
        <v>0</v>
      </c>
      <c r="E33" s="19" t="n">
        <f aca="false">B33*(1+Assumptions!$C$5)+C33*(1+Assumptions!$C$6)+D33*(1+Assumptions!$C$7)</f>
        <v>5720151.1172</v>
      </c>
      <c r="F33" s="19" t="n">
        <f aca="false">SUMIFS(Dept_Data!$E$2:$E$6870,Dept_Data!$A$2:$A$6870,$A33,Dept_Data!$C$2:$C$6870,2013)</f>
        <v>5319460.98</v>
      </c>
      <c r="G33" s="19" t="n">
        <f aca="false">F33-E33</f>
        <v>-400690.1372</v>
      </c>
      <c r="H33" s="27" t="n">
        <f aca="false">IF(E33&lt;=0,"",G33/E33)</f>
        <v>-0.0700488726591784</v>
      </c>
      <c r="I33" s="18" t="n">
        <f aca="false">RANK(ABS(G33),$K$5:$K$85)</f>
        <v>19</v>
      </c>
      <c r="K33" s="33" t="n">
        <f aca="false">ABS(G33)</f>
        <v>400690.1372</v>
      </c>
    </row>
    <row r="34" customFormat="false" ht="15" hidden="false" customHeight="false" outlineLevel="0" collapsed="false">
      <c r="A34" s="25" t="n">
        <v>31</v>
      </c>
      <c r="B34" s="19" t="n">
        <f aca="false">SUMIFS(Dept_Data!$E$2:$E$6870,Dept_Data!$A$2:$A$6870,$A34,Dept_Data!$C$2:$C$6870,2012,Dept_Data!$D$2:$D$6870,"&lt;=8",Dept_Data!$B$2:$B$6870,"A")</f>
        <v>1849447.82</v>
      </c>
      <c r="C34" s="19" t="n">
        <f aca="false">SUMIFS(Dept_Data!$E$2:$E$6870,Dept_Data!$A$2:$A$6870,$A34,Dept_Data!$C$2:$C$6870,2012,Dept_Data!$D$2:$D$6870,"&lt;=8",Dept_Data!$B$2:$B$6870,"B")</f>
        <v>1597672.09</v>
      </c>
      <c r="D34" s="19" t="n">
        <f aca="false">SUMIFS(Dept_Data!$E$2:$E$6870,Dept_Data!$A$2:$A$6870,$A34,Dept_Data!$C$2:$C$6870,2012,Dept_Data!$D$2:$D$6870,"&lt;=8",Dept_Data!$B$2:$B$6870,"C")</f>
        <v>5845.16</v>
      </c>
      <c r="E34" s="19" t="n">
        <f aca="false">B34*(1+Assumptions!$C$5)+C34*(1+Assumptions!$C$6)+D34*(1+Assumptions!$C$7)</f>
        <v>3540489.6238</v>
      </c>
      <c r="F34" s="19" t="n">
        <f aca="false">SUMIFS(Dept_Data!$E$2:$E$6870,Dept_Data!$A$2:$A$6870,$A34,Dept_Data!$C$2:$C$6870,2013)</f>
        <v>3164698.43</v>
      </c>
      <c r="G34" s="19" t="n">
        <f aca="false">F34-E34</f>
        <v>-375791.1938</v>
      </c>
      <c r="H34" s="27" t="n">
        <f aca="false">IF(E34&lt;=0,"",G34/E34)</f>
        <v>-0.106141023906367</v>
      </c>
      <c r="I34" s="18" t="n">
        <f aca="false">RANK(ABS(G34),$K$5:$K$85)</f>
        <v>22</v>
      </c>
      <c r="K34" s="33" t="n">
        <f aca="false">ABS(G34)</f>
        <v>375791.1938</v>
      </c>
    </row>
    <row r="35" customFormat="false" ht="15" hidden="false" customHeight="false" outlineLevel="0" collapsed="false">
      <c r="A35" s="25" t="n">
        <v>32</v>
      </c>
      <c r="B35" s="19" t="n">
        <f aca="false">SUMIFS(Dept_Data!$E$2:$E$6870,Dept_Data!$A$2:$A$6870,$A35,Dept_Data!$C$2:$C$6870,2012,Dept_Data!$D$2:$D$6870,"&lt;=8",Dept_Data!$B$2:$B$6870,"A")</f>
        <v>5451176.18</v>
      </c>
      <c r="C35" s="19" t="n">
        <f aca="false">SUMIFS(Dept_Data!$E$2:$E$6870,Dept_Data!$A$2:$A$6870,$A35,Dept_Data!$C$2:$C$6870,2012,Dept_Data!$D$2:$D$6870,"&lt;=8",Dept_Data!$B$2:$B$6870,"B")</f>
        <v>3824993.5</v>
      </c>
      <c r="D35" s="19" t="n">
        <f aca="false">SUMIFS(Dept_Data!$E$2:$E$6870,Dept_Data!$A$2:$A$6870,$A35,Dept_Data!$C$2:$C$6870,2012,Dept_Data!$D$2:$D$6870,"&lt;=8",Dept_Data!$B$2:$B$6870,"C")</f>
        <v>4363.24</v>
      </c>
      <c r="E35" s="19" t="n">
        <f aca="false">B35*(1+Assumptions!$C$5)+C35*(1+Assumptions!$C$6)+D35*(1+Assumptions!$C$7)</f>
        <v>9520633.524</v>
      </c>
      <c r="F35" s="19" t="n">
        <f aca="false">SUMIFS(Dept_Data!$E$2:$E$6870,Dept_Data!$A$2:$A$6870,$A35,Dept_Data!$C$2:$C$6870,2013)</f>
        <v>9294013.57</v>
      </c>
      <c r="G35" s="19" t="n">
        <f aca="false">F35-E35</f>
        <v>-226619.954</v>
      </c>
      <c r="H35" s="27" t="n">
        <f aca="false">IF(E35&lt;=0,"",G35/E35)</f>
        <v>-0.0238030330049704</v>
      </c>
      <c r="I35" s="18" t="n">
        <f aca="false">RANK(ABS(G35),$K$5:$K$85)</f>
        <v>39</v>
      </c>
      <c r="K35" s="33" t="n">
        <f aca="false">ABS(G35)</f>
        <v>226619.954</v>
      </c>
    </row>
    <row r="36" customFormat="false" ht="15" hidden="false" customHeight="false" outlineLevel="0" collapsed="false">
      <c r="A36" s="25" t="n">
        <v>33</v>
      </c>
      <c r="B36" s="19" t="n">
        <f aca="false">SUMIFS(Dept_Data!$E$2:$E$6870,Dept_Data!$A$2:$A$6870,$A36,Dept_Data!$C$2:$C$6870,2012,Dept_Data!$D$2:$D$6870,"&lt;=8",Dept_Data!$B$2:$B$6870,"A")</f>
        <v>4447418.28</v>
      </c>
      <c r="C36" s="19" t="n">
        <f aca="false">SUMIFS(Dept_Data!$E$2:$E$6870,Dept_Data!$A$2:$A$6870,$A36,Dept_Data!$C$2:$C$6870,2012,Dept_Data!$D$2:$D$6870,"&lt;=8",Dept_Data!$B$2:$B$6870,"B")</f>
        <v>3390150.08</v>
      </c>
      <c r="D36" s="19" t="n">
        <f aca="false">SUMIFS(Dept_Data!$E$2:$E$6870,Dept_Data!$A$2:$A$6870,$A36,Dept_Data!$C$2:$C$6870,2012,Dept_Data!$D$2:$D$6870,"&lt;=8",Dept_Data!$B$2:$B$6870,"C")</f>
        <v>117.91</v>
      </c>
      <c r="E36" s="19" t="n">
        <f aca="false">B36*(1+Assumptions!$C$5)+C36*(1+Assumptions!$C$6)+D36*(1+Assumptions!$C$7)</f>
        <v>8038913.58865</v>
      </c>
      <c r="F36" s="19" t="n">
        <f aca="false">SUMIFS(Dept_Data!$E$2:$E$6870,Dept_Data!$A$2:$A$6870,$A36,Dept_Data!$C$2:$C$6870,2013)</f>
        <v>8048055.31</v>
      </c>
      <c r="G36" s="19" t="n">
        <f aca="false">F36-E36</f>
        <v>9141.72135000024</v>
      </c>
      <c r="H36" s="27" t="n">
        <f aca="false">IF(E36&lt;=0,"",G36/E36)</f>
        <v>0.00113718368149986</v>
      </c>
      <c r="I36" s="18" t="n">
        <f aca="false">RANK(ABS(G36),$K$5:$K$85)</f>
        <v>72</v>
      </c>
      <c r="K36" s="33" t="n">
        <f aca="false">ABS(G36)</f>
        <v>9141.72135000024</v>
      </c>
    </row>
    <row r="37" customFormat="false" ht="15" hidden="false" customHeight="false" outlineLevel="0" collapsed="false">
      <c r="A37" s="25" t="n">
        <v>34</v>
      </c>
      <c r="B37" s="19" t="n">
        <f aca="false">SUMIFS(Dept_Data!$E$2:$E$6870,Dept_Data!$A$2:$A$6870,$A37,Dept_Data!$C$2:$C$6870,2012,Dept_Data!$D$2:$D$6870,"&lt;=8",Dept_Data!$B$2:$B$6870,"A")</f>
        <v>10948765.73</v>
      </c>
      <c r="C37" s="19" t="n">
        <f aca="false">SUMIFS(Dept_Data!$E$2:$E$6870,Dept_Data!$A$2:$A$6870,$A37,Dept_Data!$C$2:$C$6870,2012,Dept_Data!$D$2:$D$6870,"&lt;=8",Dept_Data!$B$2:$B$6870,"B")</f>
        <v>8896454.03</v>
      </c>
      <c r="D37" s="19" t="n">
        <f aca="false">SUMIFS(Dept_Data!$E$2:$E$6870,Dept_Data!$A$2:$A$6870,$A37,Dept_Data!$C$2:$C$6870,2012,Dept_Data!$D$2:$D$6870,"&lt;=8",Dept_Data!$B$2:$B$6870,"C")</f>
        <v>60.71</v>
      </c>
      <c r="E37" s="19" t="n">
        <f aca="false">B37*(1+Assumptions!$C$5)+C37*(1+Assumptions!$C$6)+D37*(1+Assumptions!$C$7)</f>
        <v>20351673.43315</v>
      </c>
      <c r="F37" s="19" t="n">
        <f aca="false">SUMIFS(Dept_Data!$E$2:$E$6870,Dept_Data!$A$2:$A$6870,$A37,Dept_Data!$C$2:$C$6870,2013)</f>
        <v>21307509.86</v>
      </c>
      <c r="G37" s="19" t="n">
        <f aca="false">F37-E37</f>
        <v>955836.426849999</v>
      </c>
      <c r="H37" s="27" t="n">
        <f aca="false">IF(E37&lt;=0,"",G37/E37)</f>
        <v>0.0469659868506477</v>
      </c>
      <c r="I37" s="18" t="n">
        <f aca="false">RANK(ABS(G37),$K$5:$K$85)</f>
        <v>11</v>
      </c>
      <c r="K37" s="33" t="n">
        <f aca="false">ABS(G37)</f>
        <v>955836.426849999</v>
      </c>
    </row>
    <row r="38" customFormat="false" ht="15" hidden="false" customHeight="false" outlineLevel="0" collapsed="false">
      <c r="A38" s="25" t="n">
        <v>35</v>
      </c>
      <c r="B38" s="19" t="n">
        <f aca="false">SUMIFS(Dept_Data!$E$2:$E$6870,Dept_Data!$A$2:$A$6870,$A38,Dept_Data!$C$2:$C$6870,2012,Dept_Data!$D$2:$D$6870,"&lt;=8",Dept_Data!$B$2:$B$6870,"A")</f>
        <v>2188702.58</v>
      </c>
      <c r="C38" s="19" t="n">
        <f aca="false">SUMIFS(Dept_Data!$E$2:$E$6870,Dept_Data!$A$2:$A$6870,$A38,Dept_Data!$C$2:$C$6870,2012,Dept_Data!$D$2:$D$6870,"&lt;=8",Dept_Data!$B$2:$B$6870,"B")</f>
        <v>1742709.32</v>
      </c>
      <c r="D38" s="19" t="n">
        <f aca="false">SUMIFS(Dept_Data!$E$2:$E$6870,Dept_Data!$A$2:$A$6870,$A38,Dept_Data!$C$2:$C$6870,2012,Dept_Data!$D$2:$D$6870,"&lt;=8",Dept_Data!$B$2:$B$6870,"C")</f>
        <v>0</v>
      </c>
      <c r="E38" s="19" t="n">
        <f aca="false">B38*(1+Assumptions!$C$5)+C38*(1+Assumptions!$C$6)+D38*(1+Assumptions!$C$7)</f>
        <v>4031927.1638</v>
      </c>
      <c r="F38" s="19" t="n">
        <f aca="false">SUMIFS(Dept_Data!$E$2:$E$6870,Dept_Data!$A$2:$A$6870,$A38,Dept_Data!$C$2:$C$6870,2013)</f>
        <v>3886462.35</v>
      </c>
      <c r="G38" s="19" t="n">
        <f aca="false">F38-E38</f>
        <v>-145464.8138</v>
      </c>
      <c r="H38" s="27" t="n">
        <f aca="false">IF(E38&lt;=0,"",G38/E38)</f>
        <v>-0.0360782345241829</v>
      </c>
      <c r="I38" s="18" t="n">
        <f aca="false">RANK(ABS(G38),$K$5:$K$85)</f>
        <v>49</v>
      </c>
      <c r="K38" s="33" t="n">
        <f aca="false">ABS(G38)</f>
        <v>145464.8138</v>
      </c>
    </row>
    <row r="39" customFormat="false" ht="15" hidden="false" customHeight="false" outlineLevel="0" collapsed="false">
      <c r="A39" s="25" t="n">
        <v>36</v>
      </c>
      <c r="B39" s="19" t="n">
        <f aca="false">SUMIFS(Dept_Data!$E$2:$E$6870,Dept_Data!$A$2:$A$6870,$A39,Dept_Data!$C$2:$C$6870,2012,Dept_Data!$D$2:$D$6870,"&lt;=8",Dept_Data!$B$2:$B$6870,"A")</f>
        <v>1601748.74</v>
      </c>
      <c r="C39" s="19" t="n">
        <f aca="false">SUMIFS(Dept_Data!$E$2:$E$6870,Dept_Data!$A$2:$A$6870,$A39,Dept_Data!$C$2:$C$6870,2012,Dept_Data!$D$2:$D$6870,"&lt;=8",Dept_Data!$B$2:$B$6870,"B")</f>
        <v>1205393.63</v>
      </c>
      <c r="D39" s="19" t="n">
        <f aca="false">SUMIFS(Dept_Data!$E$2:$E$6870,Dept_Data!$A$2:$A$6870,$A39,Dept_Data!$C$2:$C$6870,2012,Dept_Data!$D$2:$D$6870,"&lt;=8",Dept_Data!$B$2:$B$6870,"C")</f>
        <v>0</v>
      </c>
      <c r="E39" s="19" t="n">
        <f aca="false">B39*(1+Assumptions!$C$5)+C39*(1+Assumptions!$C$6)+D39*(1+Assumptions!$C$7)</f>
        <v>2879302.7048</v>
      </c>
      <c r="F39" s="19" t="n">
        <f aca="false">SUMIFS(Dept_Data!$E$2:$E$6870,Dept_Data!$A$2:$A$6870,$A39,Dept_Data!$C$2:$C$6870,2013)</f>
        <v>2667534.97</v>
      </c>
      <c r="G39" s="19" t="n">
        <f aca="false">F39-E39</f>
        <v>-211767.7348</v>
      </c>
      <c r="H39" s="27" t="n">
        <f aca="false">IF(E39&lt;=0,"",G39/E39)</f>
        <v>-0.0735482707139366</v>
      </c>
      <c r="I39" s="18" t="n">
        <f aca="false">RANK(ABS(G39),$K$5:$K$85)</f>
        <v>40</v>
      </c>
      <c r="K39" s="33" t="n">
        <f aca="false">ABS(G39)</f>
        <v>211767.7348</v>
      </c>
    </row>
    <row r="40" customFormat="false" ht="15" hidden="false" customHeight="false" outlineLevel="0" collapsed="false">
      <c r="A40" s="25" t="n">
        <v>37</v>
      </c>
      <c r="B40" s="19" t="n">
        <f aca="false">SUMIFS(Dept_Data!$E$2:$E$6870,Dept_Data!$A$2:$A$6870,$A40,Dept_Data!$C$2:$C$6870,2012,Dept_Data!$D$2:$D$6870,"&lt;=8",Dept_Data!$B$2:$B$6870,"A")</f>
        <v>1647431.04</v>
      </c>
      <c r="C40" s="19" t="n">
        <f aca="false">SUMIFS(Dept_Data!$E$2:$E$6870,Dept_Data!$A$2:$A$6870,$A40,Dept_Data!$C$2:$C$6870,2012,Dept_Data!$D$2:$D$6870,"&lt;=8",Dept_Data!$B$2:$B$6870,"B")</f>
        <v>235759.23</v>
      </c>
      <c r="D40" s="19" t="n">
        <f aca="false">SUMIFS(Dept_Data!$E$2:$E$6870,Dept_Data!$A$2:$A$6870,$A40,Dept_Data!$C$2:$C$6870,2012,Dept_Data!$D$2:$D$6870,"&lt;=8",Dept_Data!$B$2:$B$6870,"C")</f>
        <v>0</v>
      </c>
      <c r="E40" s="19" t="n">
        <f aca="false">B40*(1+Assumptions!$C$5)+C40*(1+Assumptions!$C$6)+D40*(1+Assumptions!$C$7)</f>
        <v>1937328.3858</v>
      </c>
      <c r="F40" s="19" t="n">
        <f aca="false">SUMIFS(Dept_Data!$E$2:$E$6870,Dept_Data!$A$2:$A$6870,$A40,Dept_Data!$C$2:$C$6870,2013)</f>
        <v>1906689.33</v>
      </c>
      <c r="G40" s="19" t="n">
        <f aca="false">F40-E40</f>
        <v>-30639.0558</v>
      </c>
      <c r="H40" s="27" t="n">
        <f aca="false">IF(E40&lt;=0,"",G40/E40)</f>
        <v>-0.0158151070435836</v>
      </c>
      <c r="I40" s="18" t="n">
        <f aca="false">RANK(ABS(G40),$K$5:$K$85)</f>
        <v>67</v>
      </c>
      <c r="K40" s="33" t="n">
        <f aca="false">ABS(G40)</f>
        <v>30639.0558</v>
      </c>
    </row>
    <row r="41" customFormat="false" ht="15" hidden="false" customHeight="false" outlineLevel="0" collapsed="false">
      <c r="A41" s="25" t="n">
        <v>38</v>
      </c>
      <c r="B41" s="19" t="n">
        <f aca="false">SUMIFS(Dept_Data!$E$2:$E$6870,Dept_Data!$A$2:$A$6870,$A41,Dept_Data!$C$2:$C$6870,2012,Dept_Data!$D$2:$D$6870,"&lt;=8",Dept_Data!$B$2:$B$6870,"A")</f>
        <v>49315181.5</v>
      </c>
      <c r="C41" s="19" t="n">
        <f aca="false">SUMIFS(Dept_Data!$E$2:$E$6870,Dept_Data!$A$2:$A$6870,$A41,Dept_Data!$C$2:$C$6870,2012,Dept_Data!$D$2:$D$6870,"&lt;=8",Dept_Data!$B$2:$B$6870,"B")</f>
        <v>34440351.12</v>
      </c>
      <c r="D41" s="19" t="n">
        <f aca="false">SUMIFS(Dept_Data!$E$2:$E$6870,Dept_Data!$A$2:$A$6870,$A41,Dept_Data!$C$2:$C$6870,2012,Dept_Data!$D$2:$D$6870,"&lt;=8",Dept_Data!$B$2:$B$6870,"C")</f>
        <v>10931201.07</v>
      </c>
      <c r="E41" s="19" t="n">
        <f aca="false">B41*(1+Assumptions!$C$5)+C41*(1+Assumptions!$C$6)+D41*(1+Assumptions!$C$7)</f>
        <v>97018964.17345</v>
      </c>
      <c r="F41" s="19" t="n">
        <f aca="false">SUMIFS(Dept_Data!$E$2:$E$6870,Dept_Data!$A$2:$A$6870,$A41,Dept_Data!$C$2:$C$6870,2013)</f>
        <v>97427840.09</v>
      </c>
      <c r="G41" s="19" t="n">
        <f aca="false">F41-E41</f>
        <v>408875.91655001</v>
      </c>
      <c r="H41" s="27" t="n">
        <f aca="false">IF(E41&lt;=0,"",G41/E41)</f>
        <v>0.00421439169170085</v>
      </c>
      <c r="I41" s="18" t="n">
        <f aca="false">RANK(ABS(G41),$K$5:$K$85)</f>
        <v>18</v>
      </c>
      <c r="K41" s="33" t="n">
        <f aca="false">ABS(G41)</f>
        <v>408875.91655001</v>
      </c>
    </row>
    <row r="42" customFormat="false" ht="15" hidden="false" customHeight="false" outlineLevel="0" collapsed="false">
      <c r="A42" s="25" t="n">
        <v>39</v>
      </c>
      <c r="B42" s="19" t="n">
        <f aca="false">SUMIFS(Dept_Data!$E$2:$E$6870,Dept_Data!$A$2:$A$6870,$A42,Dept_Data!$C$2:$C$6870,2012,Dept_Data!$D$2:$D$6870,"&lt;=8",Dept_Data!$B$2:$B$6870,"A")</f>
        <v>0</v>
      </c>
      <c r="C42" s="19" t="n">
        <f aca="false">SUMIFS(Dept_Data!$E$2:$E$6870,Dept_Data!$A$2:$A$6870,$A42,Dept_Data!$C$2:$C$6870,2012,Dept_Data!$D$2:$D$6870,"&lt;=8",Dept_Data!$B$2:$B$6870,"B")</f>
        <v>0</v>
      </c>
      <c r="D42" s="19" t="n">
        <f aca="false">SUMIFS(Dept_Data!$E$2:$E$6870,Dept_Data!$A$2:$A$6870,$A42,Dept_Data!$C$2:$C$6870,2012,Dept_Data!$D$2:$D$6870,"&lt;=8",Dept_Data!$B$2:$B$6870,"C")</f>
        <v>0</v>
      </c>
      <c r="E42" s="19" t="n">
        <f aca="false">B42*(1+Assumptions!$C$5)+C42*(1+Assumptions!$C$6)+D42*(1+Assumptions!$C$7)</f>
        <v>0</v>
      </c>
      <c r="F42" s="19" t="n">
        <f aca="false">SUMIFS(Dept_Data!$E$2:$E$6870,Dept_Data!$A$2:$A$6870,$A42,Dept_Data!$C$2:$C$6870,2013)</f>
        <v>75.35</v>
      </c>
      <c r="G42" s="19" t="n">
        <f aca="false">F42-E42</f>
        <v>75.35</v>
      </c>
      <c r="H42" s="27" t="str">
        <f aca="false">IF(E42&lt;=0,"",G42/E42)</f>
        <v/>
      </c>
      <c r="I42" s="18" t="n">
        <f aca="false">RANK(ABS(G42),$K$5:$K$85)</f>
        <v>80</v>
      </c>
      <c r="K42" s="33" t="n">
        <f aca="false">ABS(G42)</f>
        <v>75.35</v>
      </c>
    </row>
    <row r="43" customFormat="false" ht="15" hidden="false" customHeight="false" outlineLevel="0" collapsed="false">
      <c r="A43" s="25" t="n">
        <v>40</v>
      </c>
      <c r="B43" s="19" t="n">
        <f aca="false">SUMIFS(Dept_Data!$E$2:$E$6870,Dept_Data!$A$2:$A$6870,$A43,Dept_Data!$C$2:$C$6870,2012,Dept_Data!$D$2:$D$6870,"&lt;=8",Dept_Data!$B$2:$B$6870,"A")</f>
        <v>40002126.01</v>
      </c>
      <c r="C43" s="19" t="n">
        <f aca="false">SUMIFS(Dept_Data!$E$2:$E$6870,Dept_Data!$A$2:$A$6870,$A43,Dept_Data!$C$2:$C$6870,2012,Dept_Data!$D$2:$D$6870,"&lt;=8",Dept_Data!$B$2:$B$6870,"B")</f>
        <v>24263820.93</v>
      </c>
      <c r="D43" s="19" t="n">
        <f aca="false">SUMIFS(Dept_Data!$E$2:$E$6870,Dept_Data!$A$2:$A$6870,$A43,Dept_Data!$C$2:$C$6870,2012,Dept_Data!$D$2:$D$6870,"&lt;=8",Dept_Data!$B$2:$B$6870,"C")</f>
        <v>4044691.94</v>
      </c>
      <c r="E43" s="19" t="n">
        <f aca="false">B43*(1+Assumptions!$C$5)+C43*(1+Assumptions!$C$6)+D43*(1+Assumptions!$C$7)</f>
        <v>70056649.458</v>
      </c>
      <c r="F43" s="19" t="n">
        <f aca="false">SUMIFS(Dept_Data!$E$2:$E$6870,Dept_Data!$A$2:$A$6870,$A43,Dept_Data!$C$2:$C$6870,2013)</f>
        <v>71886828.84</v>
      </c>
      <c r="G43" s="19" t="n">
        <f aca="false">F43-E43</f>
        <v>1830179.38200001</v>
      </c>
      <c r="H43" s="27" t="n">
        <f aca="false">IF(E43&lt;=0,"",G43/E43)</f>
        <v>0.0261242779402009</v>
      </c>
      <c r="I43" s="18" t="n">
        <f aca="false">RANK(ABS(G43),$K$5:$K$85)</f>
        <v>4</v>
      </c>
      <c r="K43" s="33" t="n">
        <f aca="false">ABS(G43)</f>
        <v>1830179.38200001</v>
      </c>
    </row>
    <row r="44" customFormat="false" ht="15" hidden="false" customHeight="false" outlineLevel="0" collapsed="false">
      <c r="A44" s="25" t="n">
        <v>41</v>
      </c>
      <c r="B44" s="19" t="n">
        <f aca="false">SUMIFS(Dept_Data!$E$2:$E$6870,Dept_Data!$A$2:$A$6870,$A44,Dept_Data!$C$2:$C$6870,2012,Dept_Data!$D$2:$D$6870,"&lt;=8",Dept_Data!$B$2:$B$6870,"A")</f>
        <v>1245996.1</v>
      </c>
      <c r="C44" s="19" t="n">
        <f aca="false">SUMIFS(Dept_Data!$E$2:$E$6870,Dept_Data!$A$2:$A$6870,$A44,Dept_Data!$C$2:$C$6870,2012,Dept_Data!$D$2:$D$6870,"&lt;=8",Dept_Data!$B$2:$B$6870,"B")</f>
        <v>1142400.64</v>
      </c>
      <c r="D44" s="19" t="n">
        <f aca="false">SUMIFS(Dept_Data!$E$2:$E$6870,Dept_Data!$A$2:$A$6870,$A44,Dept_Data!$C$2:$C$6870,2012,Dept_Data!$D$2:$D$6870,"&lt;=8",Dept_Data!$B$2:$B$6870,"C")</f>
        <v>745</v>
      </c>
      <c r="E44" s="19" t="n">
        <f aca="false">B44*(1+Assumptions!$C$5)+C44*(1+Assumptions!$C$6)+D44*(1+Assumptions!$C$7)</f>
        <v>2449380.8108</v>
      </c>
      <c r="F44" s="19" t="n">
        <f aca="false">SUMIFS(Dept_Data!$E$2:$E$6870,Dept_Data!$A$2:$A$6870,$A44,Dept_Data!$C$2:$C$6870,2013)</f>
        <v>2318771.35</v>
      </c>
      <c r="G44" s="19" t="n">
        <f aca="false">F44-E44</f>
        <v>-130609.4608</v>
      </c>
      <c r="H44" s="27" t="n">
        <f aca="false">IF(E44&lt;=0,"",G44/E44)</f>
        <v>-0.0533234604533957</v>
      </c>
      <c r="I44" s="18" t="n">
        <f aca="false">RANK(ABS(G44),$K$5:$K$85)</f>
        <v>51</v>
      </c>
      <c r="K44" s="33" t="n">
        <f aca="false">ABS(G44)</f>
        <v>130609.4608</v>
      </c>
    </row>
    <row r="45" customFormat="false" ht="15" hidden="false" customHeight="false" outlineLevel="0" collapsed="false">
      <c r="A45" s="25" t="n">
        <v>42</v>
      </c>
      <c r="B45" s="19" t="n">
        <f aca="false">SUMIFS(Dept_Data!$E$2:$E$6870,Dept_Data!$A$2:$A$6870,$A45,Dept_Data!$C$2:$C$6870,2012,Dept_Data!$D$2:$D$6870,"&lt;=8",Dept_Data!$B$2:$B$6870,"A")</f>
        <v>4594729.89</v>
      </c>
      <c r="C45" s="19" t="n">
        <f aca="false">SUMIFS(Dept_Data!$E$2:$E$6870,Dept_Data!$A$2:$A$6870,$A45,Dept_Data!$C$2:$C$6870,2012,Dept_Data!$D$2:$D$6870,"&lt;=8",Dept_Data!$B$2:$B$6870,"B")</f>
        <v>3409402.76</v>
      </c>
      <c r="D45" s="19" t="n">
        <f aca="false">SUMIFS(Dept_Data!$E$2:$E$6870,Dept_Data!$A$2:$A$6870,$A45,Dept_Data!$C$2:$C$6870,2012,Dept_Data!$D$2:$D$6870,"&lt;=8",Dept_Data!$B$2:$B$6870,"C")</f>
        <v>23833.64</v>
      </c>
      <c r="E45" s="19" t="n">
        <f aca="false">B45*(1+Assumptions!$C$5)+C45*(1+Assumptions!$C$6)+D45*(1+Assumptions!$C$7)</f>
        <v>8234353.7465</v>
      </c>
      <c r="F45" s="19" t="n">
        <f aca="false">SUMIFS(Dept_Data!$E$2:$E$6870,Dept_Data!$A$2:$A$6870,$A45,Dept_Data!$C$2:$C$6870,2013)</f>
        <v>8532370.85</v>
      </c>
      <c r="G45" s="19" t="n">
        <f aca="false">F45-E45</f>
        <v>298017.103499999</v>
      </c>
      <c r="H45" s="27" t="n">
        <f aca="false">IF(E45&lt;=0,"",G45/E45)</f>
        <v>0.0361919238199684</v>
      </c>
      <c r="I45" s="18" t="n">
        <f aca="false">RANK(ABS(G45),$K$5:$K$85)</f>
        <v>30</v>
      </c>
      <c r="K45" s="33" t="n">
        <f aca="false">ABS(G45)</f>
        <v>298017.103499999</v>
      </c>
    </row>
    <row r="46" customFormat="false" ht="15" hidden="false" customHeight="false" outlineLevel="0" collapsed="false">
      <c r="A46" s="25" t="n">
        <v>43</v>
      </c>
      <c r="B46" s="19" t="n">
        <f aca="false">SUMIFS(Dept_Data!$E$2:$E$6870,Dept_Data!$A$2:$A$6870,$A46,Dept_Data!$C$2:$C$6870,2012,Dept_Data!$D$2:$D$6870,"&lt;=8",Dept_Data!$B$2:$B$6870,"A")</f>
        <v>0</v>
      </c>
      <c r="C46" s="19" t="n">
        <f aca="false">SUMIFS(Dept_Data!$E$2:$E$6870,Dept_Data!$A$2:$A$6870,$A46,Dept_Data!$C$2:$C$6870,2012,Dept_Data!$D$2:$D$6870,"&lt;=8",Dept_Data!$B$2:$B$6870,"B")</f>
        <v>6</v>
      </c>
      <c r="D46" s="19" t="n">
        <f aca="false">SUMIFS(Dept_Data!$E$2:$E$6870,Dept_Data!$A$2:$A$6870,$A46,Dept_Data!$C$2:$C$6870,2012,Dept_Data!$D$2:$D$6870,"&lt;=8",Dept_Data!$B$2:$B$6870,"C")</f>
        <v>0</v>
      </c>
      <c r="E46" s="19" t="n">
        <f aca="false">B46*(1+Assumptions!$C$5)+C46*(1+Assumptions!$C$6)+D46*(1+Assumptions!$C$7)</f>
        <v>6.12</v>
      </c>
      <c r="F46" s="19" t="n">
        <f aca="false">SUMIFS(Dept_Data!$E$2:$E$6870,Dept_Data!$A$2:$A$6870,$A46,Dept_Data!$C$2:$C$6870,2013)</f>
        <v>1.5</v>
      </c>
      <c r="G46" s="19" t="n">
        <f aca="false">F46-E46</f>
        <v>-4.62</v>
      </c>
      <c r="H46" s="27" t="n">
        <f aca="false">IF(E46&lt;=0,"",G46/E46)</f>
        <v>-0.754901960784314</v>
      </c>
      <c r="I46" s="18" t="n">
        <f aca="false">RANK(ABS(G46),$K$5:$K$85)</f>
        <v>81</v>
      </c>
      <c r="K46" s="33" t="n">
        <f aca="false">ABS(G46)</f>
        <v>4.62</v>
      </c>
    </row>
    <row r="47" customFormat="false" ht="15" hidden="false" customHeight="false" outlineLevel="0" collapsed="false">
      <c r="A47" s="25" t="n">
        <v>44</v>
      </c>
      <c r="B47" s="19" t="n">
        <f aca="false">SUMIFS(Dept_Data!$E$2:$E$6870,Dept_Data!$A$2:$A$6870,$A47,Dept_Data!$C$2:$C$6870,2012,Dept_Data!$D$2:$D$6870,"&lt;=8",Dept_Data!$B$2:$B$6870,"A")</f>
        <v>3237168.35</v>
      </c>
      <c r="C47" s="19" t="n">
        <f aca="false">SUMIFS(Dept_Data!$E$2:$E$6870,Dept_Data!$A$2:$A$6870,$A47,Dept_Data!$C$2:$C$6870,2012,Dept_Data!$D$2:$D$6870,"&lt;=8",Dept_Data!$B$2:$B$6870,"B")</f>
        <v>2319099.52</v>
      </c>
      <c r="D47" s="19" t="n">
        <f aca="false">SUMIFS(Dept_Data!$E$2:$E$6870,Dept_Data!$A$2:$A$6870,$A47,Dept_Data!$C$2:$C$6870,2012,Dept_Data!$D$2:$D$6870,"&lt;=8",Dept_Data!$B$2:$B$6870,"C")</f>
        <v>156.53</v>
      </c>
      <c r="E47" s="19" t="n">
        <f aca="false">B47*(1+Assumptions!$C$5)+C47*(1+Assumptions!$C$6)+D47*(1+Assumptions!$C$7)</f>
        <v>5699923.78885</v>
      </c>
      <c r="F47" s="19" t="n">
        <f aca="false">SUMIFS(Dept_Data!$E$2:$E$6870,Dept_Data!$A$2:$A$6870,$A47,Dept_Data!$C$2:$C$6870,2013)</f>
        <v>5883339.23</v>
      </c>
      <c r="G47" s="19" t="n">
        <f aca="false">F47-E47</f>
        <v>183415.44115</v>
      </c>
      <c r="H47" s="27" t="n">
        <f aca="false">IF(E47&lt;=0,"",G47/E47)</f>
        <v>0.0321785778098983</v>
      </c>
      <c r="I47" s="18" t="n">
        <f aca="false">RANK(ABS(G47),$K$5:$K$85)</f>
        <v>44</v>
      </c>
      <c r="K47" s="33" t="n">
        <f aca="false">ABS(G47)</f>
        <v>183415.44115</v>
      </c>
    </row>
    <row r="48" customFormat="false" ht="15" hidden="false" customHeight="false" outlineLevel="0" collapsed="false">
      <c r="A48" s="25" t="n">
        <v>45</v>
      </c>
      <c r="B48" s="19" t="n">
        <f aca="false">SUMIFS(Dept_Data!$E$2:$E$6870,Dept_Data!$A$2:$A$6870,$A48,Dept_Data!$C$2:$C$6870,2012,Dept_Data!$D$2:$D$6870,"&lt;=8",Dept_Data!$B$2:$B$6870,"A")</f>
        <v>5397.82</v>
      </c>
      <c r="C48" s="19" t="n">
        <f aca="false">SUMIFS(Dept_Data!$E$2:$E$6870,Dept_Data!$A$2:$A$6870,$A48,Dept_Data!$C$2:$C$6870,2012,Dept_Data!$D$2:$D$6870,"&lt;=8",Dept_Data!$B$2:$B$6870,"B")</f>
        <v>4710.65</v>
      </c>
      <c r="D48" s="19" t="n">
        <f aca="false">SUMIFS(Dept_Data!$E$2:$E$6870,Dept_Data!$A$2:$A$6870,$A48,Dept_Data!$C$2:$C$6870,2012,Dept_Data!$D$2:$D$6870,"&lt;=8",Dept_Data!$B$2:$B$6870,"C")</f>
        <v>0</v>
      </c>
      <c r="E48" s="19" t="n">
        <f aca="false">B48*(1+Assumptions!$C$5)+C48*(1+Assumptions!$C$6)+D48*(1+Assumptions!$C$7)</f>
        <v>10364.6176</v>
      </c>
      <c r="F48" s="19" t="n">
        <f aca="false">SUMIFS(Dept_Data!$E$2:$E$6870,Dept_Data!$A$2:$A$6870,$A48,Dept_Data!$C$2:$C$6870,2013)</f>
        <v>6773.74</v>
      </c>
      <c r="G48" s="19" t="n">
        <f aca="false">F48-E48</f>
        <v>-3590.8776</v>
      </c>
      <c r="H48" s="27" t="n">
        <f aca="false">IF(E48&lt;=0,"",G48/E48)</f>
        <v>-0.346455386834532</v>
      </c>
      <c r="I48" s="18" t="n">
        <f aca="false">RANK(ABS(G48),$K$5:$K$85)</f>
        <v>77</v>
      </c>
      <c r="K48" s="33" t="n">
        <f aca="false">ABS(G48)</f>
        <v>3590.8776</v>
      </c>
    </row>
    <row r="49" customFormat="false" ht="15" hidden="false" customHeight="false" outlineLevel="0" collapsed="false">
      <c r="A49" s="25" t="n">
        <v>46</v>
      </c>
      <c r="B49" s="19" t="n">
        <f aca="false">SUMIFS(Dept_Data!$E$2:$E$6870,Dept_Data!$A$2:$A$6870,$A49,Dept_Data!$C$2:$C$6870,2012,Dept_Data!$D$2:$D$6870,"&lt;=8",Dept_Data!$B$2:$B$6870,"A")</f>
        <v>18025927.4</v>
      </c>
      <c r="C49" s="19" t="n">
        <f aca="false">SUMIFS(Dept_Data!$E$2:$E$6870,Dept_Data!$A$2:$A$6870,$A49,Dept_Data!$C$2:$C$6870,2012,Dept_Data!$D$2:$D$6870,"&lt;=8",Dept_Data!$B$2:$B$6870,"B")</f>
        <v>11679344.43</v>
      </c>
      <c r="D49" s="19" t="n">
        <f aca="false">SUMIFS(Dept_Data!$E$2:$E$6870,Dept_Data!$A$2:$A$6870,$A49,Dept_Data!$C$2:$C$6870,2012,Dept_Data!$D$2:$D$6870,"&lt;=8",Dept_Data!$B$2:$B$6870,"C")</f>
        <v>1400340.33</v>
      </c>
      <c r="E49" s="19" t="n">
        <f aca="false">B49*(1+Assumptions!$C$5)+C49*(1+Assumptions!$C$6)+D49*(1+Assumptions!$C$7)</f>
        <v>31900981.97555</v>
      </c>
      <c r="F49" s="19" t="n">
        <f aca="false">SUMIFS(Dept_Data!$E$2:$E$6870,Dept_Data!$A$2:$A$6870,$A49,Dept_Data!$C$2:$C$6870,2013)</f>
        <v>32149028.55</v>
      </c>
      <c r="G49" s="19" t="n">
        <f aca="false">F49-E49</f>
        <v>248046.574449997</v>
      </c>
      <c r="H49" s="27" t="n">
        <f aca="false">IF(E49&lt;=0,"",G49/E49)</f>
        <v>0.00777551533178849</v>
      </c>
      <c r="I49" s="18" t="n">
        <f aca="false">RANK(ABS(G49),$K$5:$K$85)</f>
        <v>36</v>
      </c>
      <c r="K49" s="33" t="n">
        <f aca="false">ABS(G49)</f>
        <v>248046.574449997</v>
      </c>
    </row>
    <row r="50" customFormat="false" ht="15" hidden="false" customHeight="false" outlineLevel="0" collapsed="false">
      <c r="A50" s="25" t="n">
        <v>47</v>
      </c>
      <c r="B50" s="19" t="n">
        <f aca="false">SUMIFS(Dept_Data!$E$2:$E$6870,Dept_Data!$A$2:$A$6870,$A50,Dept_Data!$C$2:$C$6870,2012,Dept_Data!$D$2:$D$6870,"&lt;=8",Dept_Data!$B$2:$B$6870,"A")</f>
        <v>530.11</v>
      </c>
      <c r="C50" s="19" t="n">
        <f aca="false">SUMIFS(Dept_Data!$E$2:$E$6870,Dept_Data!$A$2:$A$6870,$A50,Dept_Data!$C$2:$C$6870,2012,Dept_Data!$D$2:$D$6870,"&lt;=8",Dept_Data!$B$2:$B$6870,"B")</f>
        <v>-5580.58</v>
      </c>
      <c r="D50" s="19" t="n">
        <f aca="false">SUMIFS(Dept_Data!$E$2:$E$6870,Dept_Data!$A$2:$A$6870,$A50,Dept_Data!$C$2:$C$6870,2012,Dept_Data!$D$2:$D$6870,"&lt;=8",Dept_Data!$B$2:$B$6870,"C")</f>
        <v>0</v>
      </c>
      <c r="E50" s="19" t="n">
        <f aca="false">B50*(1+Assumptions!$C$5)+C50*(1+Assumptions!$C$6)+D50*(1+Assumptions!$C$7)</f>
        <v>-5146.1783</v>
      </c>
      <c r="F50" s="19" t="n">
        <f aca="false">SUMIFS(Dept_Data!$E$2:$E$6870,Dept_Data!$A$2:$A$6870,$A50,Dept_Data!$C$2:$C$6870,2013)</f>
        <v>1232.08</v>
      </c>
      <c r="G50" s="19" t="n">
        <f aca="false">F50-E50</f>
        <v>6378.2583</v>
      </c>
      <c r="H50" s="27" t="str">
        <f aca="false">IF(E50&lt;=0,"",G50/E50)</f>
        <v/>
      </c>
      <c r="I50" s="18" t="n">
        <f aca="false">RANK(ABS(G50),$K$5:$K$85)</f>
        <v>75</v>
      </c>
      <c r="K50" s="33" t="n">
        <f aca="false">ABS(G50)</f>
        <v>6378.2583</v>
      </c>
    </row>
    <row r="51" customFormat="false" ht="15" hidden="false" customHeight="false" outlineLevel="0" collapsed="false">
      <c r="A51" s="25" t="n">
        <v>48</v>
      </c>
      <c r="B51" s="19" t="n">
        <f aca="false">SUMIFS(Dept_Data!$E$2:$E$6870,Dept_Data!$A$2:$A$6870,$A51,Dept_Data!$C$2:$C$6870,2012,Dept_Data!$D$2:$D$6870,"&lt;=8",Dept_Data!$B$2:$B$6870,"A")</f>
        <v>275956.51</v>
      </c>
      <c r="C51" s="19" t="n">
        <f aca="false">SUMIFS(Dept_Data!$E$2:$E$6870,Dept_Data!$A$2:$A$6870,$A51,Dept_Data!$C$2:$C$6870,2012,Dept_Data!$D$2:$D$6870,"&lt;=8",Dept_Data!$B$2:$B$6870,"B")</f>
        <v>103175.43</v>
      </c>
      <c r="D51" s="19" t="n">
        <f aca="false">SUMIFS(Dept_Data!$E$2:$E$6870,Dept_Data!$A$2:$A$6870,$A51,Dept_Data!$C$2:$C$6870,2012,Dept_Data!$D$2:$D$6870,"&lt;=8",Dept_Data!$B$2:$B$6870,"C")</f>
        <v>0</v>
      </c>
      <c r="E51" s="19" t="n">
        <f aca="false">B51*(1+Assumptions!$C$5)+C51*(1+Assumptions!$C$6)+D51*(1+Assumptions!$C$7)</f>
        <v>389474.1439</v>
      </c>
      <c r="F51" s="19" t="n">
        <f aca="false">SUMIFS(Dept_Data!$E$2:$E$6870,Dept_Data!$A$2:$A$6870,$A51,Dept_Data!$C$2:$C$6870,2013)</f>
        <v>769126.69</v>
      </c>
      <c r="G51" s="19" t="n">
        <f aca="false">F51-E51</f>
        <v>379652.5461</v>
      </c>
      <c r="H51" s="27" t="n">
        <f aca="false">IF(E51&lt;=0,"",G51/E51)</f>
        <v>0.974782413790935</v>
      </c>
      <c r="I51" s="18" t="n">
        <f aca="false">RANK(ABS(G51),$K$5:$K$85)</f>
        <v>21</v>
      </c>
      <c r="K51" s="33" t="n">
        <f aca="false">ABS(G51)</f>
        <v>379652.5461</v>
      </c>
    </row>
    <row r="52" customFormat="false" ht="15" hidden="false" customHeight="false" outlineLevel="0" collapsed="false">
      <c r="A52" s="25" t="n">
        <v>49</v>
      </c>
      <c r="B52" s="19" t="n">
        <f aca="false">SUMIFS(Dept_Data!$E$2:$E$6870,Dept_Data!$A$2:$A$6870,$A52,Dept_Data!$C$2:$C$6870,2012,Dept_Data!$D$2:$D$6870,"&lt;=8",Dept_Data!$B$2:$B$6870,"A")</f>
        <v>6036871.55</v>
      </c>
      <c r="C52" s="19" t="n">
        <f aca="false">SUMIFS(Dept_Data!$E$2:$E$6870,Dept_Data!$A$2:$A$6870,$A52,Dept_Data!$C$2:$C$6870,2012,Dept_Data!$D$2:$D$6870,"&lt;=8",Dept_Data!$B$2:$B$6870,"B")</f>
        <v>3120248.45</v>
      </c>
      <c r="D52" s="19" t="n">
        <f aca="false">SUMIFS(Dept_Data!$E$2:$E$6870,Dept_Data!$A$2:$A$6870,$A52,Dept_Data!$C$2:$C$6870,2012,Dept_Data!$D$2:$D$6870,"&lt;=8",Dept_Data!$B$2:$B$6870,"C")</f>
        <v>177.35</v>
      </c>
      <c r="E52" s="19" t="n">
        <f aca="false">B52*(1+Assumptions!$C$5)+C52*(1+Assumptions!$C$6)+D52*(1+Assumptions!$C$7)</f>
        <v>9400811.12575</v>
      </c>
      <c r="F52" s="19" t="n">
        <f aca="false">SUMIFS(Dept_Data!$E$2:$E$6870,Dept_Data!$A$2:$A$6870,$A52,Dept_Data!$C$2:$C$6870,2013)</f>
        <v>9170822.87</v>
      </c>
      <c r="G52" s="19" t="n">
        <f aca="false">F52-E52</f>
        <v>-229988.25575</v>
      </c>
      <c r="H52" s="27" t="n">
        <f aca="false">IF(E52&lt;=0,"",G52/E52)</f>
        <v>-0.0244647246576451</v>
      </c>
      <c r="I52" s="18" t="n">
        <f aca="false">RANK(ABS(G52),$K$5:$K$85)</f>
        <v>38</v>
      </c>
      <c r="K52" s="33" t="n">
        <f aca="false">ABS(G52)</f>
        <v>229988.25575</v>
      </c>
    </row>
    <row r="53" customFormat="false" ht="15" hidden="false" customHeight="false" outlineLevel="0" collapsed="false">
      <c r="A53" s="25" t="n">
        <v>50</v>
      </c>
      <c r="B53" s="19" t="n">
        <f aca="false">SUMIFS(Dept_Data!$E$2:$E$6870,Dept_Data!$A$2:$A$6870,$A53,Dept_Data!$C$2:$C$6870,2012,Dept_Data!$D$2:$D$6870,"&lt;=8",Dept_Data!$B$2:$B$6870,"A")</f>
        <v>448932.8</v>
      </c>
      <c r="C53" s="19" t="n">
        <f aca="false">SUMIFS(Dept_Data!$E$2:$E$6870,Dept_Data!$A$2:$A$6870,$A53,Dept_Data!$C$2:$C$6870,2012,Dept_Data!$D$2:$D$6870,"&lt;=8",Dept_Data!$B$2:$B$6870,"B")</f>
        <v>581364.65</v>
      </c>
      <c r="D53" s="19" t="n">
        <f aca="false">SUMIFS(Dept_Data!$E$2:$E$6870,Dept_Data!$A$2:$A$6870,$A53,Dept_Data!$C$2:$C$6870,2012,Dept_Data!$D$2:$D$6870,"&lt;=8",Dept_Data!$B$2:$B$6870,"C")</f>
        <v>0</v>
      </c>
      <c r="E53" s="19" t="n">
        <f aca="false">B53*(1+Assumptions!$C$5)+C53*(1+Assumptions!$C$6)+D53*(1+Assumptions!$C$7)</f>
        <v>1055392.727</v>
      </c>
      <c r="F53" s="19" t="n">
        <f aca="false">SUMIFS(Dept_Data!$E$2:$E$6870,Dept_Data!$A$2:$A$6870,$A53,Dept_Data!$C$2:$C$6870,2013)</f>
        <v>1052005.66</v>
      </c>
      <c r="G53" s="19" t="n">
        <f aca="false">F53-E53</f>
        <v>-3387.06700000004</v>
      </c>
      <c r="H53" s="27" t="n">
        <f aca="false">IF(E53&lt;=0,"",G53/E53)</f>
        <v>-0.00320929537730275</v>
      </c>
      <c r="I53" s="18" t="n">
        <f aca="false">RANK(ABS(G53),$K$5:$K$85)</f>
        <v>78</v>
      </c>
      <c r="K53" s="33" t="n">
        <f aca="false">ABS(G53)</f>
        <v>3387.06700000004</v>
      </c>
    </row>
    <row r="54" customFormat="false" ht="15" hidden="false" customHeight="false" outlineLevel="0" collapsed="false">
      <c r="A54" s="25" t="n">
        <v>51</v>
      </c>
      <c r="B54" s="19" t="n">
        <f aca="false">SUMIFS(Dept_Data!$E$2:$E$6870,Dept_Data!$A$2:$A$6870,$A54,Dept_Data!$C$2:$C$6870,2012,Dept_Data!$D$2:$D$6870,"&lt;=8",Dept_Data!$B$2:$B$6870,"A")</f>
        <v>1781.39</v>
      </c>
      <c r="C54" s="19" t="n">
        <f aca="false">SUMIFS(Dept_Data!$E$2:$E$6870,Dept_Data!$A$2:$A$6870,$A54,Dept_Data!$C$2:$C$6870,2012,Dept_Data!$D$2:$D$6870,"&lt;=8",Dept_Data!$B$2:$B$6870,"B")</f>
        <v>2876.58</v>
      </c>
      <c r="D54" s="19" t="n">
        <f aca="false">SUMIFS(Dept_Data!$E$2:$E$6870,Dept_Data!$A$2:$A$6870,$A54,Dept_Data!$C$2:$C$6870,2012,Dept_Data!$D$2:$D$6870,"&lt;=8",Dept_Data!$B$2:$B$6870,"C")</f>
        <v>0</v>
      </c>
      <c r="E54" s="19" t="n">
        <f aca="false">B54*(1+Assumptions!$C$5)+C54*(1+Assumptions!$C$6)+D54*(1+Assumptions!$C$7)</f>
        <v>4768.9433</v>
      </c>
      <c r="F54" s="19" t="n">
        <f aca="false">SUMIFS(Dept_Data!$E$2:$E$6870,Dept_Data!$A$2:$A$6870,$A54,Dept_Data!$C$2:$C$6870,2013)</f>
        <v>311.92</v>
      </c>
      <c r="G54" s="19" t="n">
        <f aca="false">F54-E54</f>
        <v>-4457.0233</v>
      </c>
      <c r="H54" s="27" t="n">
        <f aca="false">IF(E54&lt;=0,"",G54/E54)</f>
        <v>-0.934593476923913</v>
      </c>
      <c r="I54" s="18" t="n">
        <f aca="false">RANK(ABS(G54),$K$5:$K$85)</f>
        <v>76</v>
      </c>
      <c r="K54" s="33" t="n">
        <f aca="false">ABS(G54)</f>
        <v>4457.0233</v>
      </c>
    </row>
    <row r="55" customFormat="false" ht="15" hidden="false" customHeight="false" outlineLevel="0" collapsed="false">
      <c r="A55" s="25" t="n">
        <v>52</v>
      </c>
      <c r="B55" s="19" t="n">
        <f aca="false">SUMIFS(Dept_Data!$E$2:$E$6870,Dept_Data!$A$2:$A$6870,$A55,Dept_Data!$C$2:$C$6870,2012,Dept_Data!$D$2:$D$6870,"&lt;=8",Dept_Data!$B$2:$B$6870,"A")</f>
        <v>1570353.87</v>
      </c>
      <c r="C55" s="19" t="n">
        <f aca="false">SUMIFS(Dept_Data!$E$2:$E$6870,Dept_Data!$A$2:$A$6870,$A55,Dept_Data!$C$2:$C$6870,2012,Dept_Data!$D$2:$D$6870,"&lt;=8",Dept_Data!$B$2:$B$6870,"B")</f>
        <v>1184358.48</v>
      </c>
      <c r="D55" s="19" t="n">
        <f aca="false">SUMIFS(Dept_Data!$E$2:$E$6870,Dept_Data!$A$2:$A$6870,$A55,Dept_Data!$C$2:$C$6870,2012,Dept_Data!$D$2:$D$6870,"&lt;=8",Dept_Data!$B$2:$B$6870,"C")</f>
        <v>7000.65</v>
      </c>
      <c r="E55" s="19" t="n">
        <f aca="false">B55*(1+Assumptions!$C$5)+C55*(1+Assumptions!$C$6)+D55*(1+Assumptions!$C$7)</f>
        <v>2832615.79545</v>
      </c>
      <c r="F55" s="19" t="n">
        <f aca="false">SUMIFS(Dept_Data!$E$2:$E$6870,Dept_Data!$A$2:$A$6870,$A55,Dept_Data!$C$2:$C$6870,2013)</f>
        <v>2705864.89</v>
      </c>
      <c r="G55" s="19" t="n">
        <f aca="false">F55-E55</f>
        <v>-126750.90545</v>
      </c>
      <c r="H55" s="27" t="n">
        <f aca="false">IF(E55&lt;=0,"",G55/E55)</f>
        <v>-0.0447469457925069</v>
      </c>
      <c r="I55" s="18" t="n">
        <f aca="false">RANK(ABS(G55),$K$5:$K$85)</f>
        <v>52</v>
      </c>
      <c r="K55" s="33" t="n">
        <f aca="false">ABS(G55)</f>
        <v>126750.90545</v>
      </c>
    </row>
    <row r="56" customFormat="false" ht="15" hidden="false" customHeight="false" outlineLevel="0" collapsed="false">
      <c r="A56" s="25" t="n">
        <v>54</v>
      </c>
      <c r="B56" s="19" t="n">
        <f aca="false">SUMIFS(Dept_Data!$E$2:$E$6870,Dept_Data!$A$2:$A$6870,$A56,Dept_Data!$C$2:$C$6870,2012,Dept_Data!$D$2:$D$6870,"&lt;=8",Dept_Data!$B$2:$B$6870,"A")</f>
        <v>42116.3</v>
      </c>
      <c r="C56" s="19" t="n">
        <f aca="false">SUMIFS(Dept_Data!$E$2:$E$6870,Dept_Data!$A$2:$A$6870,$A56,Dept_Data!$C$2:$C$6870,2012,Dept_Data!$D$2:$D$6870,"&lt;=8",Dept_Data!$B$2:$B$6870,"B")</f>
        <v>29139.99</v>
      </c>
      <c r="D56" s="19" t="n">
        <f aca="false">SUMIFS(Dept_Data!$E$2:$E$6870,Dept_Data!$A$2:$A$6870,$A56,Dept_Data!$C$2:$C$6870,2012,Dept_Data!$D$2:$D$6870,"&lt;=8",Dept_Data!$B$2:$B$6870,"C")</f>
        <v>0</v>
      </c>
      <c r="E56" s="19" t="n">
        <f aca="false">B56*(1+Assumptions!$C$5)+C56*(1+Assumptions!$C$6)+D56*(1+Assumptions!$C$7)</f>
        <v>73102.5788</v>
      </c>
      <c r="F56" s="19" t="n">
        <f aca="false">SUMIFS(Dept_Data!$E$2:$E$6870,Dept_Data!$A$2:$A$6870,$A56,Dept_Data!$C$2:$C$6870,2013)</f>
        <v>41176.85</v>
      </c>
      <c r="G56" s="19" t="n">
        <f aca="false">F56-E56</f>
        <v>-31925.7288</v>
      </c>
      <c r="H56" s="27" t="n">
        <f aca="false">IF(E56&lt;=0,"",G56/E56)</f>
        <v>-0.436725069403434</v>
      </c>
      <c r="I56" s="18" t="n">
        <f aca="false">RANK(ABS(G56),$K$5:$K$85)</f>
        <v>65</v>
      </c>
      <c r="K56" s="33" t="n">
        <f aca="false">ABS(G56)</f>
        <v>31925.7288</v>
      </c>
    </row>
    <row r="57" customFormat="false" ht="15" hidden="false" customHeight="false" outlineLevel="0" collapsed="false">
      <c r="A57" s="25" t="n">
        <v>55</v>
      </c>
      <c r="B57" s="19" t="n">
        <f aca="false">SUMIFS(Dept_Data!$E$2:$E$6870,Dept_Data!$A$2:$A$6870,$A57,Dept_Data!$C$2:$C$6870,2012,Dept_Data!$D$2:$D$6870,"&lt;=8",Dept_Data!$B$2:$B$6870,"A")</f>
        <v>7260584.76</v>
      </c>
      <c r="C57" s="19" t="n">
        <f aca="false">SUMIFS(Dept_Data!$E$2:$E$6870,Dept_Data!$A$2:$A$6870,$A57,Dept_Data!$C$2:$C$6870,2012,Dept_Data!$D$2:$D$6870,"&lt;=8",Dept_Data!$B$2:$B$6870,"B")</f>
        <v>4470708.26</v>
      </c>
      <c r="D57" s="19" t="n">
        <f aca="false">SUMIFS(Dept_Data!$E$2:$E$6870,Dept_Data!$A$2:$A$6870,$A57,Dept_Data!$C$2:$C$6870,2012,Dept_Data!$D$2:$D$6870,"&lt;=8",Dept_Data!$B$2:$B$6870,"C")</f>
        <v>45.78</v>
      </c>
      <c r="E57" s="19" t="n">
        <f aca="false">B57*(1+Assumptions!$C$5)+C57*(1+Assumptions!$C$6)+D57*(1+Assumptions!$C$7)</f>
        <v>12038571.1947</v>
      </c>
      <c r="F57" s="19" t="n">
        <f aca="false">SUMIFS(Dept_Data!$E$2:$E$6870,Dept_Data!$A$2:$A$6870,$A57,Dept_Data!$C$2:$C$6870,2013)</f>
        <v>10262947.46</v>
      </c>
      <c r="G57" s="19" t="n">
        <f aca="false">F57-E57</f>
        <v>-1775623.7347</v>
      </c>
      <c r="H57" s="27" t="n">
        <f aca="false">IF(E57&lt;=0,"",G57/E57)</f>
        <v>-0.147494557782881</v>
      </c>
      <c r="I57" s="18" t="n">
        <f aca="false">RANK(ABS(G57),$K$5:$K$85)</f>
        <v>5</v>
      </c>
      <c r="K57" s="33" t="n">
        <f aca="false">ABS(G57)</f>
        <v>1775623.7347</v>
      </c>
    </row>
    <row r="58" customFormat="false" ht="15" hidden="false" customHeight="false" outlineLevel="0" collapsed="false">
      <c r="A58" s="25" t="n">
        <v>56</v>
      </c>
      <c r="B58" s="19" t="n">
        <f aca="false">SUMIFS(Dept_Data!$E$2:$E$6870,Dept_Data!$A$2:$A$6870,$A58,Dept_Data!$C$2:$C$6870,2012,Dept_Data!$D$2:$D$6870,"&lt;=8",Dept_Data!$B$2:$B$6870,"A")</f>
        <v>4178392.19</v>
      </c>
      <c r="C58" s="19" t="n">
        <f aca="false">SUMIFS(Dept_Data!$E$2:$E$6870,Dept_Data!$A$2:$A$6870,$A58,Dept_Data!$C$2:$C$6870,2012,Dept_Data!$D$2:$D$6870,"&lt;=8",Dept_Data!$B$2:$B$6870,"B")</f>
        <v>2651133.32</v>
      </c>
      <c r="D58" s="19" t="n">
        <f aca="false">SUMIFS(Dept_Data!$E$2:$E$6870,Dept_Data!$A$2:$A$6870,$A58,Dept_Data!$C$2:$C$6870,2012,Dept_Data!$D$2:$D$6870,"&lt;=8",Dept_Data!$B$2:$B$6870,"C")</f>
        <v>37521.07</v>
      </c>
      <c r="E58" s="19" t="n">
        <f aca="false">B58*(1+Assumptions!$C$5)+C58*(1+Assumptions!$C$6)+D58*(1+Assumptions!$C$7)</f>
        <v>7045983.82815</v>
      </c>
      <c r="F58" s="19" t="n">
        <f aca="false">SUMIFS(Dept_Data!$E$2:$E$6870,Dept_Data!$A$2:$A$6870,$A58,Dept_Data!$C$2:$C$6870,2013)</f>
        <v>7054325.22</v>
      </c>
      <c r="G58" s="19" t="n">
        <f aca="false">F58-E58</f>
        <v>8341.39185000025</v>
      </c>
      <c r="H58" s="27" t="n">
        <f aca="false">IF(E58&lt;=0,"",G58/E58)</f>
        <v>0.00118385055280355</v>
      </c>
      <c r="I58" s="18" t="n">
        <f aca="false">RANK(ABS(G58),$K$5:$K$85)</f>
        <v>73</v>
      </c>
      <c r="K58" s="33" t="n">
        <f aca="false">ABS(G58)</f>
        <v>8341.39185000025</v>
      </c>
    </row>
    <row r="59" customFormat="false" ht="15" hidden="false" customHeight="false" outlineLevel="0" collapsed="false">
      <c r="A59" s="25" t="n">
        <v>58</v>
      </c>
      <c r="B59" s="19" t="n">
        <f aca="false">SUMIFS(Dept_Data!$E$2:$E$6870,Dept_Data!$A$2:$A$6870,$A59,Dept_Data!$C$2:$C$6870,2012,Dept_Data!$D$2:$D$6870,"&lt;=8",Dept_Data!$B$2:$B$6870,"A")</f>
        <v>2608192.31</v>
      </c>
      <c r="C59" s="19" t="n">
        <f aca="false">SUMIFS(Dept_Data!$E$2:$E$6870,Dept_Data!$A$2:$A$6870,$A59,Dept_Data!$C$2:$C$6870,2012,Dept_Data!$D$2:$D$6870,"&lt;=8",Dept_Data!$B$2:$B$6870,"B")</f>
        <v>758702.66</v>
      </c>
      <c r="D59" s="19" t="n">
        <f aca="false">SUMIFS(Dept_Data!$E$2:$E$6870,Dept_Data!$A$2:$A$6870,$A59,Dept_Data!$C$2:$C$6870,2012,Dept_Data!$D$2:$D$6870,"&lt;=8",Dept_Data!$B$2:$B$6870,"C")</f>
        <v>0</v>
      </c>
      <c r="E59" s="19" t="n">
        <f aca="false">B59*(1+Assumptions!$C$5)+C59*(1+Assumptions!$C$6)+D59*(1+Assumptions!$C$7)</f>
        <v>3460314.7925</v>
      </c>
      <c r="F59" s="19" t="n">
        <f aca="false">SUMIFS(Dept_Data!$E$2:$E$6870,Dept_Data!$A$2:$A$6870,$A59,Dept_Data!$C$2:$C$6870,2013)</f>
        <v>3850559.67</v>
      </c>
      <c r="G59" s="19" t="n">
        <f aca="false">F59-E59</f>
        <v>390244.8775</v>
      </c>
      <c r="H59" s="27" t="n">
        <f aca="false">IF(E59&lt;=0,"",G59/E59)</f>
        <v>0.112777276317701</v>
      </c>
      <c r="I59" s="18" t="n">
        <f aca="false">RANK(ABS(G59),$K$5:$K$85)</f>
        <v>20</v>
      </c>
      <c r="K59" s="33" t="n">
        <f aca="false">ABS(G59)</f>
        <v>390244.8775</v>
      </c>
    </row>
    <row r="60" customFormat="false" ht="15" hidden="false" customHeight="false" outlineLevel="0" collapsed="false">
      <c r="A60" s="25" t="n">
        <v>59</v>
      </c>
      <c r="B60" s="19" t="n">
        <f aca="false">SUMIFS(Dept_Data!$E$2:$E$6870,Dept_Data!$A$2:$A$6870,$A60,Dept_Data!$C$2:$C$6870,2012,Dept_Data!$D$2:$D$6870,"&lt;=8",Dept_Data!$B$2:$B$6870,"A")</f>
        <v>275900.67</v>
      </c>
      <c r="C60" s="19" t="n">
        <f aca="false">SUMIFS(Dept_Data!$E$2:$E$6870,Dept_Data!$A$2:$A$6870,$A60,Dept_Data!$C$2:$C$6870,2012,Dept_Data!$D$2:$D$6870,"&lt;=8",Dept_Data!$B$2:$B$6870,"B")</f>
        <v>151705.26</v>
      </c>
      <c r="D60" s="19" t="n">
        <f aca="false">SUMIFS(Dept_Data!$E$2:$E$6870,Dept_Data!$A$2:$A$6870,$A60,Dept_Data!$C$2:$C$6870,2012,Dept_Data!$D$2:$D$6870,"&lt;=8",Dept_Data!$B$2:$B$6870,"C")</f>
        <v>15616.52</v>
      </c>
      <c r="E60" s="19" t="n">
        <f aca="false">B60*(1+Assumptions!$C$5)+C60*(1+Assumptions!$C$6)+D60*(1+Assumptions!$C$7)</f>
        <v>454767.8231</v>
      </c>
      <c r="F60" s="19" t="n">
        <f aca="false">SUMIFS(Dept_Data!$E$2:$E$6870,Dept_Data!$A$2:$A$6870,$A60,Dept_Data!$C$2:$C$6870,2013)</f>
        <v>307245.32</v>
      </c>
      <c r="G60" s="19" t="n">
        <f aca="false">F60-E60</f>
        <v>-147522.5031</v>
      </c>
      <c r="H60" s="27" t="n">
        <f aca="false">IF(E60&lt;=0,"",G60/E60)</f>
        <v>-0.324390811325191</v>
      </c>
      <c r="I60" s="18" t="n">
        <f aca="false">RANK(ABS(G60),$K$5:$K$85)</f>
        <v>48</v>
      </c>
      <c r="K60" s="33" t="n">
        <f aca="false">ABS(G60)</f>
        <v>147522.5031</v>
      </c>
    </row>
    <row r="61" customFormat="false" ht="15" hidden="false" customHeight="false" outlineLevel="0" collapsed="false">
      <c r="A61" s="25" t="n">
        <v>60</v>
      </c>
      <c r="B61" s="19" t="n">
        <f aca="false">SUMIFS(Dept_Data!$E$2:$E$6870,Dept_Data!$A$2:$A$6870,$A61,Dept_Data!$C$2:$C$6870,2012,Dept_Data!$D$2:$D$6870,"&lt;=8",Dept_Data!$B$2:$B$6870,"A")</f>
        <v>255888.3</v>
      </c>
      <c r="C61" s="19" t="n">
        <f aca="false">SUMIFS(Dept_Data!$E$2:$E$6870,Dept_Data!$A$2:$A$6870,$A61,Dept_Data!$C$2:$C$6870,2012,Dept_Data!$D$2:$D$6870,"&lt;=8",Dept_Data!$B$2:$B$6870,"B")</f>
        <v>117940.12</v>
      </c>
      <c r="D61" s="19" t="n">
        <f aca="false">SUMIFS(Dept_Data!$E$2:$E$6870,Dept_Data!$A$2:$A$6870,$A61,Dept_Data!$C$2:$C$6870,2012,Dept_Data!$D$2:$D$6870,"&lt;=8",Dept_Data!$B$2:$B$6870,"C")</f>
        <v>96124.93</v>
      </c>
      <c r="E61" s="19" t="n">
        <f aca="false">B61*(1+Assumptions!$C$5)+C61*(1+Assumptions!$C$6)+D61*(1+Assumptions!$C$7)</f>
        <v>481430.67535</v>
      </c>
      <c r="F61" s="19" t="n">
        <f aca="false">SUMIFS(Dept_Data!$E$2:$E$6870,Dept_Data!$A$2:$A$6870,$A61,Dept_Data!$C$2:$C$6870,2013)</f>
        <v>493395.56</v>
      </c>
      <c r="G61" s="19" t="n">
        <f aca="false">F61-E61</f>
        <v>11964.88465</v>
      </c>
      <c r="H61" s="27" t="n">
        <f aca="false">IF(E61&lt;=0,"",G61/E61)</f>
        <v>0.0248527675169463</v>
      </c>
      <c r="I61" s="18" t="n">
        <f aca="false">RANK(ABS(G61),$K$5:$K$85)</f>
        <v>71</v>
      </c>
      <c r="K61" s="33" t="n">
        <f aca="false">ABS(G61)</f>
        <v>11964.88465</v>
      </c>
    </row>
    <row r="62" customFormat="false" ht="15" hidden="false" customHeight="false" outlineLevel="0" collapsed="false">
      <c r="A62" s="25" t="n">
        <v>65</v>
      </c>
      <c r="B62" s="19" t="n">
        <f aca="false">SUMIFS(Dept_Data!$E$2:$E$6870,Dept_Data!$A$2:$A$6870,$A62,Dept_Data!$C$2:$C$6870,2012,Dept_Data!$D$2:$D$6870,"&lt;=8",Dept_Data!$B$2:$B$6870,"A")</f>
        <v>1525196.6</v>
      </c>
      <c r="C62" s="19" t="n">
        <f aca="false">SUMIFS(Dept_Data!$E$2:$E$6870,Dept_Data!$A$2:$A$6870,$A62,Dept_Data!$C$2:$C$6870,2012,Dept_Data!$D$2:$D$6870,"&lt;=8",Dept_Data!$B$2:$B$6870,"B")</f>
        <v>0</v>
      </c>
      <c r="D62" s="19" t="n">
        <f aca="false">SUMIFS(Dept_Data!$E$2:$E$6870,Dept_Data!$A$2:$A$6870,$A62,Dept_Data!$C$2:$C$6870,2012,Dept_Data!$D$2:$D$6870,"&lt;=8",Dept_Data!$B$2:$B$6870,"C")</f>
        <v>0</v>
      </c>
      <c r="E62" s="19" t="n">
        <f aca="false">B62*(1+Assumptions!$C$5)+C62*(1+Assumptions!$C$6)+D62*(1+Assumptions!$C$7)</f>
        <v>1570952.498</v>
      </c>
      <c r="F62" s="19" t="n">
        <f aca="false">SUMIFS(Dept_Data!$E$2:$E$6870,Dept_Data!$A$2:$A$6870,$A62,Dept_Data!$C$2:$C$6870,2013)</f>
        <v>1659581.35</v>
      </c>
      <c r="G62" s="19" t="n">
        <f aca="false">F62-E62</f>
        <v>88628.852</v>
      </c>
      <c r="H62" s="27" t="n">
        <f aca="false">IF(E62&lt;=0,"",G62/E62)</f>
        <v>0.0564172704857941</v>
      </c>
      <c r="I62" s="18" t="n">
        <f aca="false">RANK(ABS(G62),$K$5:$K$85)</f>
        <v>60</v>
      </c>
      <c r="K62" s="33" t="n">
        <f aca="false">ABS(G62)</f>
        <v>88628.852</v>
      </c>
    </row>
    <row r="63" customFormat="false" ht="15" hidden="false" customHeight="false" outlineLevel="0" collapsed="false">
      <c r="A63" s="25" t="n">
        <v>67</v>
      </c>
      <c r="B63" s="19" t="n">
        <f aca="false">SUMIFS(Dept_Data!$E$2:$E$6870,Dept_Data!$A$2:$A$6870,$A63,Dept_Data!$C$2:$C$6870,2012,Dept_Data!$D$2:$D$6870,"&lt;=8",Dept_Data!$B$2:$B$6870,"A")</f>
        <v>7144484.13</v>
      </c>
      <c r="C63" s="19" t="n">
        <f aca="false">SUMIFS(Dept_Data!$E$2:$E$6870,Dept_Data!$A$2:$A$6870,$A63,Dept_Data!$C$2:$C$6870,2012,Dept_Data!$D$2:$D$6870,"&lt;=8",Dept_Data!$B$2:$B$6870,"B")</f>
        <v>3886429.82</v>
      </c>
      <c r="D63" s="19" t="n">
        <f aca="false">SUMIFS(Dept_Data!$E$2:$E$6870,Dept_Data!$A$2:$A$6870,$A63,Dept_Data!$C$2:$C$6870,2012,Dept_Data!$D$2:$D$6870,"&lt;=8",Dept_Data!$B$2:$B$6870,"C")</f>
        <v>276021.51</v>
      </c>
      <c r="E63" s="19" t="n">
        <f aca="false">B63*(1+Assumptions!$C$5)+C63*(1+Assumptions!$C$6)+D63*(1+Assumptions!$C$7)</f>
        <v>11603138.90295</v>
      </c>
      <c r="F63" s="19" t="n">
        <f aca="false">SUMIFS(Dept_Data!$E$2:$E$6870,Dept_Data!$A$2:$A$6870,$A63,Dept_Data!$C$2:$C$6870,2013)</f>
        <v>11922804.37</v>
      </c>
      <c r="G63" s="19" t="n">
        <f aca="false">F63-E63</f>
        <v>319665.467049999</v>
      </c>
      <c r="H63" s="27" t="n">
        <f aca="false">IF(E63&lt;=0,"",G63/E63)</f>
        <v>0.0275499129781793</v>
      </c>
      <c r="I63" s="18" t="n">
        <f aca="false">RANK(ABS(G63),$K$5:$K$85)</f>
        <v>28</v>
      </c>
      <c r="K63" s="33" t="n">
        <f aca="false">ABS(G63)</f>
        <v>319665.467049999</v>
      </c>
    </row>
    <row r="64" customFormat="false" ht="15" hidden="false" customHeight="false" outlineLevel="0" collapsed="false">
      <c r="A64" s="25" t="n">
        <v>71</v>
      </c>
      <c r="B64" s="19" t="n">
        <f aca="false">SUMIFS(Dept_Data!$E$2:$E$6870,Dept_Data!$A$2:$A$6870,$A64,Dept_Data!$C$2:$C$6870,2012,Dept_Data!$D$2:$D$6870,"&lt;=8",Dept_Data!$B$2:$B$6870,"A")</f>
        <v>4067714.5</v>
      </c>
      <c r="C64" s="19" t="n">
        <f aca="false">SUMIFS(Dept_Data!$E$2:$E$6870,Dept_Data!$A$2:$A$6870,$A64,Dept_Data!$C$2:$C$6870,2012,Dept_Data!$D$2:$D$6870,"&lt;=8",Dept_Data!$B$2:$B$6870,"B")</f>
        <v>3106537.02</v>
      </c>
      <c r="D64" s="19" t="n">
        <f aca="false">SUMIFS(Dept_Data!$E$2:$E$6870,Dept_Data!$A$2:$A$6870,$A64,Dept_Data!$C$2:$C$6870,2012,Dept_Data!$D$2:$D$6870,"&lt;=8",Dept_Data!$B$2:$B$6870,"C")</f>
        <v>-380.56</v>
      </c>
      <c r="E64" s="19" t="n">
        <f aca="false">B64*(1+Assumptions!$C$5)+C64*(1+Assumptions!$C$6)+D64*(1+Assumptions!$C$7)</f>
        <v>7358027.427</v>
      </c>
      <c r="F64" s="19" t="n">
        <f aca="false">SUMIFS(Dept_Data!$E$2:$E$6870,Dept_Data!$A$2:$A$6870,$A64,Dept_Data!$C$2:$C$6870,2013)</f>
        <v>7381761.52</v>
      </c>
      <c r="G64" s="19" t="n">
        <f aca="false">F64-E64</f>
        <v>23734.0930000013</v>
      </c>
      <c r="H64" s="27" t="n">
        <f aca="false">IF(E64&lt;=0,"",G64/E64)</f>
        <v>0.00322560539974476</v>
      </c>
      <c r="I64" s="18" t="n">
        <f aca="false">RANK(ABS(G64),$K$5:$K$85)</f>
        <v>68</v>
      </c>
      <c r="K64" s="33" t="n">
        <f aca="false">ABS(G64)</f>
        <v>23734.0930000013</v>
      </c>
    </row>
    <row r="65" customFormat="false" ht="15" hidden="false" customHeight="false" outlineLevel="0" collapsed="false">
      <c r="A65" s="25" t="n">
        <v>72</v>
      </c>
      <c r="B65" s="19" t="n">
        <f aca="false">SUMIFS(Dept_Data!$E$2:$E$6870,Dept_Data!$A$2:$A$6870,$A65,Dept_Data!$C$2:$C$6870,2012,Dept_Data!$D$2:$D$6870,"&lt;=8",Dept_Data!$B$2:$B$6870,"A")</f>
        <v>38318123.52</v>
      </c>
      <c r="C65" s="19" t="n">
        <f aca="false">SUMIFS(Dept_Data!$E$2:$E$6870,Dept_Data!$A$2:$A$6870,$A65,Dept_Data!$C$2:$C$6870,2012,Dept_Data!$D$2:$D$6870,"&lt;=8",Dept_Data!$B$2:$B$6870,"B")</f>
        <v>27159471.26</v>
      </c>
      <c r="D65" s="19" t="n">
        <f aca="false">SUMIFS(Dept_Data!$E$2:$E$6870,Dept_Data!$A$2:$A$6870,$A65,Dept_Data!$C$2:$C$6870,2012,Dept_Data!$D$2:$D$6870,"&lt;=8",Dept_Data!$B$2:$B$6870,"C")</f>
        <v>18584.33</v>
      </c>
      <c r="E65" s="19" t="n">
        <f aca="false">B65*(1+Assumptions!$C$5)+C65*(1+Assumptions!$C$6)+D65*(1+Assumptions!$C$7)</f>
        <v>67189191.00575</v>
      </c>
      <c r="F65" s="19" t="n">
        <f aca="false">SUMIFS(Dept_Data!$E$2:$E$6870,Dept_Data!$A$2:$A$6870,$A65,Dept_Data!$C$2:$C$6870,2013)</f>
        <v>64859584.18</v>
      </c>
      <c r="G65" s="19" t="n">
        <f aca="false">F65-E65</f>
        <v>-2329606.82575002</v>
      </c>
      <c r="H65" s="27" t="n">
        <f aca="false">IF(E65&lt;=0,"",G65/E65)</f>
        <v>-0.0346723452221749</v>
      </c>
      <c r="I65" s="18" t="n">
        <f aca="false">RANK(ABS(G65),$K$5:$K$85)</f>
        <v>3</v>
      </c>
      <c r="K65" s="33" t="n">
        <f aca="false">ABS(G65)</f>
        <v>2329606.82575002</v>
      </c>
    </row>
    <row r="66" customFormat="false" ht="15" hidden="false" customHeight="false" outlineLevel="0" collapsed="false">
      <c r="A66" s="25" t="n">
        <v>74</v>
      </c>
      <c r="B66" s="19" t="n">
        <f aca="false">SUMIFS(Dept_Data!$E$2:$E$6870,Dept_Data!$A$2:$A$6870,$A66,Dept_Data!$C$2:$C$6870,2012,Dept_Data!$D$2:$D$6870,"&lt;=8",Dept_Data!$B$2:$B$6870,"A")</f>
        <v>12067943.93</v>
      </c>
      <c r="C66" s="19" t="n">
        <f aca="false">SUMIFS(Dept_Data!$E$2:$E$6870,Dept_Data!$A$2:$A$6870,$A66,Dept_Data!$C$2:$C$6870,2012,Dept_Data!$D$2:$D$6870,"&lt;=8",Dept_Data!$B$2:$B$6870,"B")</f>
        <v>9092012.51</v>
      </c>
      <c r="D66" s="19" t="n">
        <f aca="false">SUMIFS(Dept_Data!$E$2:$E$6870,Dept_Data!$A$2:$A$6870,$A66,Dept_Data!$C$2:$C$6870,2012,Dept_Data!$D$2:$D$6870,"&lt;=8",Dept_Data!$B$2:$B$6870,"C")</f>
        <v>91690.63</v>
      </c>
      <c r="E66" s="19" t="n">
        <f aca="false">B66*(1+Assumptions!$C$5)+C66*(1+Assumptions!$C$6)+D66*(1+Assumptions!$C$7)</f>
        <v>21796900.99755</v>
      </c>
      <c r="F66" s="19" t="n">
        <f aca="false">SUMIFS(Dept_Data!$E$2:$E$6870,Dept_Data!$A$2:$A$6870,$A66,Dept_Data!$C$2:$C$6870,2013)</f>
        <v>21523651.99</v>
      </c>
      <c r="G66" s="19" t="n">
        <f aca="false">F66-E66</f>
        <v>-273249.007550001</v>
      </c>
      <c r="H66" s="27" t="n">
        <f aca="false">IF(E66&lt;=0,"",G66/E66)</f>
        <v>-0.0125361402329953</v>
      </c>
      <c r="I66" s="18" t="n">
        <f aca="false">RANK(ABS(G66),$K$5:$K$85)</f>
        <v>33</v>
      </c>
      <c r="K66" s="33" t="n">
        <f aca="false">ABS(G66)</f>
        <v>273249.007550001</v>
      </c>
    </row>
    <row r="67" customFormat="false" ht="15" hidden="false" customHeight="false" outlineLevel="0" collapsed="false">
      <c r="A67" s="25" t="n">
        <v>77</v>
      </c>
      <c r="B67" s="19" t="n">
        <f aca="false">SUMIFS(Dept_Data!$E$2:$E$6870,Dept_Data!$A$2:$A$6870,$A67,Dept_Data!$C$2:$C$6870,2012,Dept_Data!$D$2:$D$6870,"&lt;=8",Dept_Data!$B$2:$B$6870,"A")</f>
        <v>-29.97</v>
      </c>
      <c r="C67" s="19" t="n">
        <f aca="false">SUMIFS(Dept_Data!$E$2:$E$6870,Dept_Data!$A$2:$A$6870,$A67,Dept_Data!$C$2:$C$6870,2012,Dept_Data!$D$2:$D$6870,"&lt;=8",Dept_Data!$B$2:$B$6870,"B")</f>
        <v>19.61</v>
      </c>
      <c r="D67" s="19" t="n">
        <f aca="false">SUMIFS(Dept_Data!$E$2:$E$6870,Dept_Data!$A$2:$A$6870,$A67,Dept_Data!$C$2:$C$6870,2012,Dept_Data!$D$2:$D$6870,"&lt;=8",Dept_Data!$B$2:$B$6870,"C")</f>
        <v>0</v>
      </c>
      <c r="E67" s="19" t="n">
        <f aca="false">B67*(1+Assumptions!$C$5)+C67*(1+Assumptions!$C$6)+D67*(1+Assumptions!$C$7)</f>
        <v>-10.8669</v>
      </c>
      <c r="F67" s="19" t="n">
        <f aca="false">SUMIFS(Dept_Data!$E$2:$E$6870,Dept_Data!$A$2:$A$6870,$A67,Dept_Data!$C$2:$C$6870,2013)</f>
        <v>6706.03</v>
      </c>
      <c r="G67" s="19" t="n">
        <f aca="false">F67-E67</f>
        <v>6716.8969</v>
      </c>
      <c r="H67" s="27" t="str">
        <f aca="false">IF(E67&lt;=0,"",G67/E67)</f>
        <v/>
      </c>
      <c r="I67" s="18" t="n">
        <f aca="false">RANK(ABS(G67),$K$5:$K$85)</f>
        <v>74</v>
      </c>
      <c r="K67" s="33" t="n">
        <f aca="false">ABS(G67)</f>
        <v>6716.8969</v>
      </c>
    </row>
    <row r="68" customFormat="false" ht="15" hidden="false" customHeight="false" outlineLevel="0" collapsed="false">
      <c r="A68" s="25" t="n">
        <v>78</v>
      </c>
      <c r="B68" s="19" t="n">
        <f aca="false">SUMIFS(Dept_Data!$E$2:$E$6870,Dept_Data!$A$2:$A$6870,$A68,Dept_Data!$C$2:$C$6870,2012,Dept_Data!$D$2:$D$6870,"&lt;=8",Dept_Data!$B$2:$B$6870,"A")</f>
        <v>278.52</v>
      </c>
      <c r="C68" s="19" t="n">
        <f aca="false">SUMIFS(Dept_Data!$E$2:$E$6870,Dept_Data!$A$2:$A$6870,$A68,Dept_Data!$C$2:$C$6870,2012,Dept_Data!$D$2:$D$6870,"&lt;=8",Dept_Data!$B$2:$B$6870,"B")</f>
        <v>108.12</v>
      </c>
      <c r="D68" s="19" t="n">
        <f aca="false">SUMIFS(Dept_Data!$E$2:$E$6870,Dept_Data!$A$2:$A$6870,$A68,Dept_Data!$C$2:$C$6870,2012,Dept_Data!$D$2:$D$6870,"&lt;=8",Dept_Data!$B$2:$B$6870,"C")</f>
        <v>0</v>
      </c>
      <c r="E68" s="19" t="n">
        <f aca="false">B68*(1+Assumptions!$C$5)+C68*(1+Assumptions!$C$6)+D68*(1+Assumptions!$C$7)</f>
        <v>397.158</v>
      </c>
      <c r="F68" s="19" t="n">
        <f aca="false">SUMIFS(Dept_Data!$E$2:$E$6870,Dept_Data!$A$2:$A$6870,$A68,Dept_Data!$C$2:$C$6870,2013)</f>
        <v>214.16</v>
      </c>
      <c r="G68" s="19" t="n">
        <f aca="false">F68-E68</f>
        <v>-182.998</v>
      </c>
      <c r="H68" s="27" t="n">
        <f aca="false">IF(E68&lt;=0,"",G68/E68)</f>
        <v>-0.460768762054396</v>
      </c>
      <c r="I68" s="18" t="n">
        <f aca="false">RANK(ABS(G68),$K$5:$K$85)</f>
        <v>79</v>
      </c>
      <c r="K68" s="33" t="n">
        <f aca="false">ABS(G68)</f>
        <v>182.998</v>
      </c>
    </row>
    <row r="69" customFormat="false" ht="15" hidden="false" customHeight="false" outlineLevel="0" collapsed="false">
      <c r="A69" s="25" t="n">
        <v>79</v>
      </c>
      <c r="B69" s="19" t="n">
        <f aca="false">SUMIFS(Dept_Data!$E$2:$E$6870,Dept_Data!$A$2:$A$6870,$A69,Dept_Data!$C$2:$C$6870,2012,Dept_Data!$D$2:$D$6870,"&lt;=8",Dept_Data!$B$2:$B$6870,"A")</f>
        <v>21724005.72</v>
      </c>
      <c r="C69" s="19" t="n">
        <f aca="false">SUMIFS(Dept_Data!$E$2:$E$6870,Dept_Data!$A$2:$A$6870,$A69,Dept_Data!$C$2:$C$6870,2012,Dept_Data!$D$2:$D$6870,"&lt;=8",Dept_Data!$B$2:$B$6870,"B")</f>
        <v>10438340.39</v>
      </c>
      <c r="D69" s="19" t="n">
        <f aca="false">SUMIFS(Dept_Data!$E$2:$E$6870,Dept_Data!$A$2:$A$6870,$A69,Dept_Data!$C$2:$C$6870,2012,Dept_Data!$D$2:$D$6870,"&lt;=8",Dept_Data!$B$2:$B$6870,"C")</f>
        <v>1845485.08</v>
      </c>
      <c r="E69" s="19" t="n">
        <f aca="false">B69*(1+Assumptions!$C$5)+C69*(1+Assumptions!$C$6)+D69*(1+Assumptions!$C$7)</f>
        <v>34896000.4456</v>
      </c>
      <c r="F69" s="19" t="n">
        <f aca="false">SUMIFS(Dept_Data!$E$2:$E$6870,Dept_Data!$A$2:$A$6870,$A69,Dept_Data!$C$2:$C$6870,2013)</f>
        <v>34765169.83</v>
      </c>
      <c r="G69" s="19" t="n">
        <f aca="false">F69-E69</f>
        <v>-130830.615600005</v>
      </c>
      <c r="H69" s="27" t="n">
        <f aca="false">IF(E69&lt;=0,"",G69/E69)</f>
        <v>-0.0037491578957296</v>
      </c>
      <c r="I69" s="18" t="n">
        <f aca="false">RANK(ABS(G69),$K$5:$K$85)</f>
        <v>50</v>
      </c>
      <c r="K69" s="33" t="n">
        <f aca="false">ABS(G69)</f>
        <v>130830.615600005</v>
      </c>
    </row>
    <row r="70" customFormat="false" ht="15" hidden="false" customHeight="false" outlineLevel="0" collapsed="false">
      <c r="A70" s="25" t="n">
        <v>80</v>
      </c>
      <c r="B70" s="19" t="n">
        <f aca="false">SUMIFS(Dept_Data!$E$2:$E$6870,Dept_Data!$A$2:$A$6870,$A70,Dept_Data!$C$2:$C$6870,2012,Dept_Data!$D$2:$D$6870,"&lt;=8",Dept_Data!$B$2:$B$6870,"A")</f>
        <v>15050529.67</v>
      </c>
      <c r="C70" s="19" t="n">
        <f aca="false">SUMIFS(Dept_Data!$E$2:$E$6870,Dept_Data!$A$2:$A$6870,$A70,Dept_Data!$C$2:$C$6870,2012,Dept_Data!$D$2:$D$6870,"&lt;=8",Dept_Data!$B$2:$B$6870,"B")</f>
        <v>212497.18</v>
      </c>
      <c r="D70" s="19" t="n">
        <f aca="false">SUMIFS(Dept_Data!$E$2:$E$6870,Dept_Data!$A$2:$A$6870,$A70,Dept_Data!$C$2:$C$6870,2012,Dept_Data!$D$2:$D$6870,"&lt;=8",Dept_Data!$B$2:$B$6870,"C")</f>
        <v>2227662.62</v>
      </c>
      <c r="E70" s="19" t="n">
        <f aca="false">B70*(1+Assumptions!$C$5)+C70*(1+Assumptions!$C$6)+D70*(1+Assumptions!$C$7)</f>
        <v>17979870.243</v>
      </c>
      <c r="F70" s="19" t="n">
        <f aca="false">SUMIFS(Dept_Data!$E$2:$E$6870,Dept_Data!$A$2:$A$6870,$A70,Dept_Data!$C$2:$C$6870,2013)</f>
        <v>17610088.99</v>
      </c>
      <c r="G70" s="19" t="n">
        <f aca="false">F70-E70</f>
        <v>-369781.253000002</v>
      </c>
      <c r="H70" s="27" t="n">
        <f aca="false">IF(E70&lt;=0,"",G70/E70)</f>
        <v>-0.020566402760552</v>
      </c>
      <c r="I70" s="18" t="n">
        <f aca="false">RANK(ABS(G70),$K$5:$K$85)</f>
        <v>24</v>
      </c>
      <c r="K70" s="33" t="n">
        <f aca="false">ABS(G70)</f>
        <v>369781.253000002</v>
      </c>
    </row>
    <row r="71" customFormat="false" ht="15" hidden="false" customHeight="false" outlineLevel="0" collapsed="false">
      <c r="A71" s="25" t="n">
        <v>81</v>
      </c>
      <c r="B71" s="19" t="n">
        <f aca="false">SUMIFS(Dept_Data!$E$2:$E$6870,Dept_Data!$A$2:$A$6870,$A71,Dept_Data!$C$2:$C$6870,2012,Dept_Data!$D$2:$D$6870,"&lt;=8",Dept_Data!$B$2:$B$6870,"A")</f>
        <v>17342260.73</v>
      </c>
      <c r="C71" s="19" t="n">
        <f aca="false">SUMIFS(Dept_Data!$E$2:$E$6870,Dept_Data!$A$2:$A$6870,$A71,Dept_Data!$C$2:$C$6870,2012,Dept_Data!$D$2:$D$6870,"&lt;=8",Dept_Data!$B$2:$B$6870,"B")</f>
        <v>4363655.54</v>
      </c>
      <c r="D71" s="19" t="n">
        <f aca="false">SUMIFS(Dept_Data!$E$2:$E$6870,Dept_Data!$A$2:$A$6870,$A71,Dept_Data!$C$2:$C$6870,2012,Dept_Data!$D$2:$D$6870,"&lt;=8",Dept_Data!$B$2:$B$6870,"C")</f>
        <v>2565667.45</v>
      </c>
      <c r="E71" s="19" t="n">
        <f aca="false">B71*(1+Assumptions!$C$5)+C71*(1+Assumptions!$C$6)+D71*(1+Assumptions!$C$7)</f>
        <v>24917609.66445</v>
      </c>
      <c r="F71" s="19" t="n">
        <f aca="false">SUMIFS(Dept_Data!$E$2:$E$6870,Dept_Data!$A$2:$A$6870,$A71,Dept_Data!$C$2:$C$6870,2013)</f>
        <v>24716660.11</v>
      </c>
      <c r="G71" s="19" t="n">
        <f aca="false">F71-E71</f>
        <v>-200949.554450002</v>
      </c>
      <c r="H71" s="27" t="n">
        <f aca="false">IF(E71&lt;=0,"",G71/E71)</f>
        <v>-0.0080645598496832</v>
      </c>
      <c r="I71" s="18" t="n">
        <f aca="false">RANK(ABS(G71),$K$5:$K$85)</f>
        <v>42</v>
      </c>
      <c r="K71" s="33" t="n">
        <f aca="false">ABS(G71)</f>
        <v>200949.554450002</v>
      </c>
    </row>
    <row r="72" customFormat="false" ht="15" hidden="false" customHeight="false" outlineLevel="0" collapsed="false">
      <c r="A72" s="25" t="n">
        <v>82</v>
      </c>
      <c r="B72" s="19" t="n">
        <f aca="false">SUMIFS(Dept_Data!$E$2:$E$6870,Dept_Data!$A$2:$A$6870,$A72,Dept_Data!$C$2:$C$6870,2012,Dept_Data!$D$2:$D$6870,"&lt;=8",Dept_Data!$B$2:$B$6870,"A")</f>
        <v>14327666.11</v>
      </c>
      <c r="C72" s="19" t="n">
        <f aca="false">SUMIFS(Dept_Data!$E$2:$E$6870,Dept_Data!$A$2:$A$6870,$A72,Dept_Data!$C$2:$C$6870,2012,Dept_Data!$D$2:$D$6870,"&lt;=8",Dept_Data!$B$2:$B$6870,"B")</f>
        <v>7154300.12</v>
      </c>
      <c r="D72" s="19" t="n">
        <f aca="false">SUMIFS(Dept_Data!$E$2:$E$6870,Dept_Data!$A$2:$A$6870,$A72,Dept_Data!$C$2:$C$6870,2012,Dept_Data!$D$2:$D$6870,"&lt;=8",Dept_Data!$B$2:$B$6870,"C")</f>
        <v>1193218.16</v>
      </c>
      <c r="E72" s="19" t="n">
        <f aca="false">B72*(1+Assumptions!$C$5)+C72*(1+Assumptions!$C$6)+D72*(1+Assumptions!$C$7)</f>
        <v>23265998.6481</v>
      </c>
      <c r="F72" s="19" t="n">
        <f aca="false">SUMIFS(Dept_Data!$E$2:$E$6870,Dept_Data!$A$2:$A$6870,$A72,Dept_Data!$C$2:$C$6870,2013)</f>
        <v>24141244.93</v>
      </c>
      <c r="G72" s="19" t="n">
        <f aca="false">F72-E72</f>
        <v>875246.2819</v>
      </c>
      <c r="H72" s="27" t="n">
        <f aca="false">IF(E72&lt;=0,"",G72/E72)</f>
        <v>0.0376191151361335</v>
      </c>
      <c r="I72" s="18" t="n">
        <f aca="false">RANK(ABS(G72),$K$5:$K$85)</f>
        <v>12</v>
      </c>
      <c r="K72" s="33" t="n">
        <f aca="false">ABS(G72)</f>
        <v>875246.2819</v>
      </c>
    </row>
    <row r="73" customFormat="false" ht="15" hidden="false" customHeight="false" outlineLevel="0" collapsed="false">
      <c r="A73" s="25" t="n">
        <v>83</v>
      </c>
      <c r="B73" s="19" t="n">
        <f aca="false">SUMIFS(Dept_Data!$E$2:$E$6870,Dept_Data!$A$2:$A$6870,$A73,Dept_Data!$C$2:$C$6870,2012,Dept_Data!$D$2:$D$6870,"&lt;=8",Dept_Data!$B$2:$B$6870,"A")</f>
        <v>3842420.97</v>
      </c>
      <c r="C73" s="19" t="n">
        <f aca="false">SUMIFS(Dept_Data!$E$2:$E$6870,Dept_Data!$A$2:$A$6870,$A73,Dept_Data!$C$2:$C$6870,2012,Dept_Data!$D$2:$D$6870,"&lt;=8",Dept_Data!$B$2:$B$6870,"B")</f>
        <v>285674.36</v>
      </c>
      <c r="D73" s="19" t="n">
        <f aca="false">SUMIFS(Dept_Data!$E$2:$E$6870,Dept_Data!$A$2:$A$6870,$A73,Dept_Data!$C$2:$C$6870,2012,Dept_Data!$D$2:$D$6870,"&lt;=8",Dept_Data!$B$2:$B$6870,"C")</f>
        <v>559450.68</v>
      </c>
      <c r="E73" s="19" t="n">
        <f aca="false">B73*(1+Assumptions!$C$5)+C73*(1+Assumptions!$C$6)+D73*(1+Assumptions!$C$7)</f>
        <v>4816923.8865</v>
      </c>
      <c r="F73" s="19" t="n">
        <f aca="false">SUMIFS(Dept_Data!$E$2:$E$6870,Dept_Data!$A$2:$A$6870,$A73,Dept_Data!$C$2:$C$6870,2013)</f>
        <v>4871797.81</v>
      </c>
      <c r="G73" s="19" t="n">
        <f aca="false">F73-E73</f>
        <v>54873.9234999996</v>
      </c>
      <c r="H73" s="27" t="n">
        <f aca="false">IF(E73&lt;=0,"",G73/E73)</f>
        <v>0.0113919017183955</v>
      </c>
      <c r="I73" s="18" t="n">
        <f aca="false">RANK(ABS(G73),$K$5:$K$85)</f>
        <v>63</v>
      </c>
      <c r="K73" s="33" t="n">
        <f aca="false">ABS(G73)</f>
        <v>54873.9234999996</v>
      </c>
    </row>
    <row r="74" customFormat="false" ht="15" hidden="false" customHeight="false" outlineLevel="0" collapsed="false">
      <c r="A74" s="25" t="n">
        <v>85</v>
      </c>
      <c r="B74" s="19" t="n">
        <f aca="false">SUMIFS(Dept_Data!$E$2:$E$6870,Dept_Data!$A$2:$A$6870,$A74,Dept_Data!$C$2:$C$6870,2012,Dept_Data!$D$2:$D$6870,"&lt;=8",Dept_Data!$B$2:$B$6870,"A")</f>
        <v>1754849.1</v>
      </c>
      <c r="C74" s="19" t="n">
        <f aca="false">SUMIFS(Dept_Data!$E$2:$E$6870,Dept_Data!$A$2:$A$6870,$A74,Dept_Data!$C$2:$C$6870,2012,Dept_Data!$D$2:$D$6870,"&lt;=8",Dept_Data!$B$2:$B$6870,"B")</f>
        <v>1295675.97</v>
      </c>
      <c r="D74" s="19" t="n">
        <f aca="false">SUMIFS(Dept_Data!$E$2:$E$6870,Dept_Data!$A$2:$A$6870,$A74,Dept_Data!$C$2:$C$6870,2012,Dept_Data!$D$2:$D$6870,"&lt;=8",Dept_Data!$B$2:$B$6870,"C")</f>
        <v>17509.79</v>
      </c>
      <c r="E74" s="19" t="n">
        <f aca="false">B74*(1+Assumptions!$C$5)+C74*(1+Assumptions!$C$6)+D74*(1+Assumptions!$C$7)</f>
        <v>3146856.49925</v>
      </c>
      <c r="F74" s="19" t="n">
        <f aca="false">SUMIFS(Dept_Data!$E$2:$E$6870,Dept_Data!$A$2:$A$6870,$A74,Dept_Data!$C$2:$C$6870,2013)</f>
        <v>2857063.7</v>
      </c>
      <c r="G74" s="19" t="n">
        <f aca="false">F74-E74</f>
        <v>-289792.79925</v>
      </c>
      <c r="H74" s="27" t="n">
        <f aca="false">IF(E74&lt;=0,"",G74/E74)</f>
        <v>-0.0920896136570153</v>
      </c>
      <c r="I74" s="18" t="n">
        <f aca="false">RANK(ABS(G74),$K$5:$K$85)</f>
        <v>31</v>
      </c>
      <c r="K74" s="33" t="n">
        <f aca="false">ABS(G74)</f>
        <v>289792.79925</v>
      </c>
    </row>
    <row r="75" customFormat="false" ht="15" hidden="false" customHeight="false" outlineLevel="0" collapsed="false">
      <c r="A75" s="25" t="n">
        <v>87</v>
      </c>
      <c r="B75" s="19" t="n">
        <f aca="false">SUMIFS(Dept_Data!$E$2:$E$6870,Dept_Data!$A$2:$A$6870,$A75,Dept_Data!$C$2:$C$6870,2012,Dept_Data!$D$2:$D$6870,"&lt;=8",Dept_Data!$B$2:$B$6870,"A")</f>
        <v>13142748.99</v>
      </c>
      <c r="C75" s="19" t="n">
        <f aca="false">SUMIFS(Dept_Data!$E$2:$E$6870,Dept_Data!$A$2:$A$6870,$A75,Dept_Data!$C$2:$C$6870,2012,Dept_Data!$D$2:$D$6870,"&lt;=8",Dept_Data!$B$2:$B$6870,"B")</f>
        <v>6948096.62</v>
      </c>
      <c r="D75" s="19" t="n">
        <f aca="false">SUMIFS(Dept_Data!$E$2:$E$6870,Dept_Data!$A$2:$A$6870,$A75,Dept_Data!$C$2:$C$6870,2012,Dept_Data!$D$2:$D$6870,"&lt;=8",Dept_Data!$B$2:$B$6870,"C")</f>
        <v>124556.3</v>
      </c>
      <c r="E75" s="19" t="n">
        <f aca="false">B75*(1+Assumptions!$C$5)+C75*(1+Assumptions!$C$6)+D75*(1+Assumptions!$C$7)</f>
        <v>20750514.6566</v>
      </c>
      <c r="F75" s="19" t="n">
        <f aca="false">SUMIFS(Dept_Data!$E$2:$E$6870,Dept_Data!$A$2:$A$6870,$A75,Dept_Data!$C$2:$C$6870,2013)</f>
        <v>23769299.66</v>
      </c>
      <c r="G75" s="19" t="n">
        <f aca="false">F75-E75</f>
        <v>3018785.0034</v>
      </c>
      <c r="H75" s="27" t="n">
        <f aca="false">IF(E75&lt;=0,"",G75/E75)</f>
        <v>0.145480006320703</v>
      </c>
      <c r="I75" s="18" t="n">
        <f aca="false">RANK(ABS(G75),$K$5:$K$85)</f>
        <v>2</v>
      </c>
      <c r="K75" s="33" t="n">
        <f aca="false">ABS(G75)</f>
        <v>3018785.0034</v>
      </c>
    </row>
    <row r="76" customFormat="false" ht="15" hidden="false" customHeight="false" outlineLevel="0" collapsed="false">
      <c r="A76" s="25" t="n">
        <v>90</v>
      </c>
      <c r="B76" s="19" t="n">
        <f aca="false">SUMIFS(Dept_Data!$E$2:$E$6870,Dept_Data!$A$2:$A$6870,$A76,Dept_Data!$C$2:$C$6870,2012,Dept_Data!$D$2:$D$6870,"&lt;=8",Dept_Data!$B$2:$B$6870,"A")</f>
        <v>53674241.93</v>
      </c>
      <c r="C76" s="19" t="n">
        <f aca="false">SUMIFS(Dept_Data!$E$2:$E$6870,Dept_Data!$A$2:$A$6870,$A76,Dept_Data!$C$2:$C$6870,2012,Dept_Data!$D$2:$D$6870,"&lt;=8",Dept_Data!$B$2:$B$6870,"B")</f>
        <v>7248061.76</v>
      </c>
      <c r="D76" s="19" t="n">
        <f aca="false">SUMIFS(Dept_Data!$E$2:$E$6870,Dept_Data!$A$2:$A$6870,$A76,Dept_Data!$C$2:$C$6870,2012,Dept_Data!$D$2:$D$6870,"&lt;=8",Dept_Data!$B$2:$B$6870,"C")</f>
        <v>9000180.41</v>
      </c>
      <c r="E76" s="19" t="n">
        <f aca="false">B76*(1+Assumptions!$C$5)+C76*(1+Assumptions!$C$6)+D76*(1+Assumptions!$C$7)</f>
        <v>71812675.29925</v>
      </c>
      <c r="F76" s="19" t="n">
        <f aca="false">SUMIFS(Dept_Data!$E$2:$E$6870,Dept_Data!$A$2:$A$6870,$A76,Dept_Data!$C$2:$C$6870,2013)</f>
        <v>71781974.8</v>
      </c>
      <c r="G76" s="19" t="n">
        <f aca="false">F76-E76</f>
        <v>-30700.4992500097</v>
      </c>
      <c r="H76" s="27" t="n">
        <f aca="false">IF(E76&lt;=0,"",G76/E76)</f>
        <v>-0.000427508084360844</v>
      </c>
      <c r="I76" s="18" t="n">
        <f aca="false">RANK(ABS(G76),$K$5:$K$85)</f>
        <v>66</v>
      </c>
      <c r="K76" s="33" t="n">
        <f aca="false">ABS(G76)</f>
        <v>30700.4992500097</v>
      </c>
    </row>
    <row r="77" customFormat="false" ht="15" hidden="false" customHeight="false" outlineLevel="0" collapsed="false">
      <c r="A77" s="25" t="n">
        <v>91</v>
      </c>
      <c r="B77" s="19" t="n">
        <f aca="false">SUMIFS(Dept_Data!$E$2:$E$6870,Dept_Data!$A$2:$A$6870,$A77,Dept_Data!$C$2:$C$6870,2012,Dept_Data!$D$2:$D$6870,"&lt;=8",Dept_Data!$B$2:$B$6870,"A")</f>
        <v>40935388.22</v>
      </c>
      <c r="C77" s="19" t="n">
        <f aca="false">SUMIFS(Dept_Data!$E$2:$E$6870,Dept_Data!$A$2:$A$6870,$A77,Dept_Data!$C$2:$C$6870,2012,Dept_Data!$D$2:$D$6870,"&lt;=8",Dept_Data!$B$2:$B$6870,"B")</f>
        <v>5103099.08</v>
      </c>
      <c r="D77" s="19" t="n">
        <f aca="false">SUMIFS(Dept_Data!$E$2:$E$6870,Dept_Data!$A$2:$A$6870,$A77,Dept_Data!$C$2:$C$6870,2012,Dept_Data!$D$2:$D$6870,"&lt;=8",Dept_Data!$B$2:$B$6870,"C")</f>
        <v>6358621.33</v>
      </c>
      <c r="E77" s="19" t="n">
        <f aca="false">B77*(1+Assumptions!$C$5)+C77*(1+Assumptions!$C$6)+D77*(1+Assumptions!$C$7)</f>
        <v>53822611.57815</v>
      </c>
      <c r="F77" s="19" t="n">
        <f aca="false">SUMIFS(Dept_Data!$E$2:$E$6870,Dept_Data!$A$2:$A$6870,$A77,Dept_Data!$C$2:$C$6870,2013)</f>
        <v>53545382.02</v>
      </c>
      <c r="G77" s="19" t="n">
        <f aca="false">F77-E77</f>
        <v>-277229.558149993</v>
      </c>
      <c r="H77" s="27" t="n">
        <f aca="false">IF(E77&lt;=0,"",G77/E77)</f>
        <v>-0.00515080093702734</v>
      </c>
      <c r="I77" s="18" t="n">
        <f aca="false">RANK(ABS(G77),$K$5:$K$85)</f>
        <v>32</v>
      </c>
      <c r="K77" s="33" t="n">
        <f aca="false">ABS(G77)</f>
        <v>277229.558149993</v>
      </c>
    </row>
    <row r="78" customFormat="false" ht="15" hidden="false" customHeight="false" outlineLevel="0" collapsed="false">
      <c r="A78" s="25" t="n">
        <v>92</v>
      </c>
      <c r="B78" s="19" t="n">
        <f aca="false">SUMIFS(Dept_Data!$E$2:$E$6870,Dept_Data!$A$2:$A$6870,$A78,Dept_Data!$C$2:$C$6870,2012,Dept_Data!$D$2:$D$6870,"&lt;=8",Dept_Data!$B$2:$B$6870,"A")</f>
        <v>82226488.82</v>
      </c>
      <c r="C78" s="19" t="n">
        <f aca="false">SUMIFS(Dept_Data!$E$2:$E$6870,Dept_Data!$A$2:$A$6870,$A78,Dept_Data!$C$2:$C$6870,2012,Dept_Data!$D$2:$D$6870,"&lt;=8",Dept_Data!$B$2:$B$6870,"B")</f>
        <v>17906658.47</v>
      </c>
      <c r="D78" s="19" t="n">
        <f aca="false">SUMIFS(Dept_Data!$E$2:$E$6870,Dept_Data!$A$2:$A$6870,$A78,Dept_Data!$C$2:$C$6870,2012,Dept_Data!$D$2:$D$6870,"&lt;=8",Dept_Data!$B$2:$B$6870,"C")</f>
        <v>12063032.47</v>
      </c>
      <c r="E78" s="19" t="n">
        <f aca="false">B78*(1+Assumptions!$C$5)+C78*(1+Assumptions!$C$6)+D78*(1+Assumptions!$C$7)</f>
        <v>115202053.08105</v>
      </c>
      <c r="F78" s="19" t="n">
        <f aca="false">SUMIFS(Dept_Data!$E$2:$E$6870,Dept_Data!$A$2:$A$6870,$A78,Dept_Data!$C$2:$C$6870,2013)</f>
        <v>121284787.26</v>
      </c>
      <c r="G78" s="19" t="n">
        <f aca="false">F78-E78</f>
        <v>6082734.17895</v>
      </c>
      <c r="H78" s="27" t="n">
        <f aca="false">IF(E78&lt;=0,"",G78/E78)</f>
        <v>0.0528005709643951</v>
      </c>
      <c r="I78" s="18" t="n">
        <f aca="false">RANK(ABS(G78),$K$5:$K$85)</f>
        <v>1</v>
      </c>
      <c r="K78" s="33" t="n">
        <f aca="false">ABS(G78)</f>
        <v>6082734.17895</v>
      </c>
    </row>
    <row r="79" customFormat="false" ht="15" hidden="false" customHeight="false" outlineLevel="0" collapsed="false">
      <c r="A79" s="25" t="n">
        <v>93</v>
      </c>
      <c r="B79" s="19" t="n">
        <f aca="false">SUMIFS(Dept_Data!$E$2:$E$6870,Dept_Data!$A$2:$A$6870,$A79,Dept_Data!$C$2:$C$6870,2012,Dept_Data!$D$2:$D$6870,"&lt;=8",Dept_Data!$B$2:$B$6870,"A")</f>
        <v>32722338.06</v>
      </c>
      <c r="C79" s="19" t="n">
        <f aca="false">SUMIFS(Dept_Data!$E$2:$E$6870,Dept_Data!$A$2:$A$6870,$A79,Dept_Data!$C$2:$C$6870,2012,Dept_Data!$D$2:$D$6870,"&lt;=8",Dept_Data!$B$2:$B$6870,"B")</f>
        <v>692383.47</v>
      </c>
      <c r="D79" s="19" t="n">
        <f aca="false">SUMIFS(Dept_Data!$E$2:$E$6870,Dept_Data!$A$2:$A$6870,$A79,Dept_Data!$C$2:$C$6870,2012,Dept_Data!$D$2:$D$6870,"&lt;=8",Dept_Data!$B$2:$B$6870,"C")</f>
        <v>4822826.07</v>
      </c>
      <c r="E79" s="19" t="n">
        <f aca="false">B79*(1+Assumptions!$C$5)+C79*(1+Assumptions!$C$6)+D79*(1+Assumptions!$C$7)</f>
        <v>39305407.80225</v>
      </c>
      <c r="F79" s="19" t="n">
        <f aca="false">SUMIFS(Dept_Data!$E$2:$E$6870,Dept_Data!$A$2:$A$6870,$A79,Dept_Data!$C$2:$C$6870,2013)</f>
        <v>40094935.07</v>
      </c>
      <c r="G79" s="19" t="n">
        <f aca="false">F79-E79</f>
        <v>789527.267750002</v>
      </c>
      <c r="H79" s="27" t="n">
        <f aca="false">IF(E79&lt;=0,"",G79/E79)</f>
        <v>0.0200869883279727</v>
      </c>
      <c r="I79" s="18" t="n">
        <f aca="false">RANK(ABS(G79),$K$5:$K$85)</f>
        <v>14</v>
      </c>
      <c r="K79" s="33" t="n">
        <f aca="false">ABS(G79)</f>
        <v>789527.267750002</v>
      </c>
    </row>
    <row r="80" customFormat="false" ht="15" hidden="false" customHeight="false" outlineLevel="0" collapsed="false">
      <c r="A80" s="25" t="n">
        <v>94</v>
      </c>
      <c r="B80" s="19" t="n">
        <f aca="false">SUMIFS(Dept_Data!$E$2:$E$6870,Dept_Data!$A$2:$A$6870,$A80,Dept_Data!$C$2:$C$6870,2012,Dept_Data!$D$2:$D$6870,"&lt;=8",Dept_Data!$B$2:$B$6870,"A")</f>
        <v>40692792.32</v>
      </c>
      <c r="C80" s="19" t="n">
        <f aca="false">SUMIFS(Dept_Data!$E$2:$E$6870,Dept_Data!$A$2:$A$6870,$A80,Dept_Data!$C$2:$C$6870,2012,Dept_Data!$D$2:$D$6870,"&lt;=8",Dept_Data!$B$2:$B$6870,"B")</f>
        <v>542277.15</v>
      </c>
      <c r="D80" s="19" t="n">
        <f aca="false">SUMIFS(Dept_Data!$E$2:$E$6870,Dept_Data!$A$2:$A$6870,$A80,Dept_Data!$C$2:$C$6870,2012,Dept_Data!$D$2:$D$6870,"&lt;=8",Dept_Data!$B$2:$B$6870,"C")</f>
        <v>6731615.49</v>
      </c>
      <c r="E80" s="19" t="n">
        <f aca="false">B80*(1+Assumptions!$C$5)+C80*(1+Assumptions!$C$6)+D80*(1+Assumptions!$C$7)</f>
        <v>49299288.50495</v>
      </c>
      <c r="F80" s="19" t="n">
        <f aca="false">SUMIFS(Dept_Data!$E$2:$E$6870,Dept_Data!$A$2:$A$6870,$A80,Dept_Data!$C$2:$C$6870,2013)</f>
        <v>47729898.23</v>
      </c>
      <c r="G80" s="19" t="n">
        <f aca="false">F80-E80</f>
        <v>-1569390.27495001</v>
      </c>
      <c r="H80" s="27" t="n">
        <f aca="false">IF(E80&lt;=0,"",G80/E80)</f>
        <v>-0.0318339335625997</v>
      </c>
      <c r="I80" s="18" t="n">
        <f aca="false">RANK(ABS(G80),$K$5:$K$85)</f>
        <v>7</v>
      </c>
      <c r="K80" s="33" t="n">
        <f aca="false">ABS(G80)</f>
        <v>1569390.27495001</v>
      </c>
    </row>
    <row r="81" customFormat="false" ht="15" hidden="false" customHeight="false" outlineLevel="0" collapsed="false">
      <c r="A81" s="25" t="n">
        <v>95</v>
      </c>
      <c r="B81" s="19" t="n">
        <f aca="false">SUMIFS(Dept_Data!$E$2:$E$6870,Dept_Data!$A$2:$A$6870,$A81,Dept_Data!$C$2:$C$6870,2012,Dept_Data!$D$2:$D$6870,"&lt;=8",Dept_Data!$B$2:$B$6870,"A")</f>
        <v>75142415.91</v>
      </c>
      <c r="C81" s="19" t="n">
        <f aca="false">SUMIFS(Dept_Data!$E$2:$E$6870,Dept_Data!$A$2:$A$6870,$A81,Dept_Data!$C$2:$C$6870,2012,Dept_Data!$D$2:$D$6870,"&lt;=8",Dept_Data!$B$2:$B$6870,"B")</f>
        <v>24655841.83</v>
      </c>
      <c r="D81" s="19" t="n">
        <f aca="false">SUMIFS(Dept_Data!$E$2:$E$6870,Dept_Data!$A$2:$A$6870,$A81,Dept_Data!$C$2:$C$6870,2012,Dept_Data!$D$2:$D$6870,"&lt;=8",Dept_Data!$B$2:$B$6870,"C")</f>
        <v>10488564.83</v>
      </c>
      <c r="E81" s="19" t="n">
        <f aca="false">B81*(1+Assumptions!$C$5)+C81*(1+Assumptions!$C$6)+D81*(1+Assumptions!$C$7)</f>
        <v>113191540.35635</v>
      </c>
      <c r="F81" s="19" t="n">
        <f aca="false">SUMIFS(Dept_Data!$E$2:$E$6870,Dept_Data!$A$2:$A$6870,$A81,Dept_Data!$C$2:$C$6870,2013)</f>
        <v>113024142.27</v>
      </c>
      <c r="G81" s="19" t="n">
        <f aca="false">F81-E81</f>
        <v>-167398.086350009</v>
      </c>
      <c r="H81" s="27" t="n">
        <f aca="false">IF(E81&lt;=0,"",G81/E81)</f>
        <v>-0.00147889220186425</v>
      </c>
      <c r="I81" s="18" t="n">
        <f aca="false">RANK(ABS(G81),$K$5:$K$85)</f>
        <v>46</v>
      </c>
      <c r="K81" s="33" t="n">
        <f aca="false">ABS(G81)</f>
        <v>167398.086350009</v>
      </c>
    </row>
    <row r="82" customFormat="false" ht="15" hidden="false" customHeight="false" outlineLevel="0" collapsed="false">
      <c r="A82" s="25" t="n">
        <v>96</v>
      </c>
      <c r="B82" s="19" t="n">
        <f aca="false">SUMIFS(Dept_Data!$E$2:$E$6870,Dept_Data!$A$2:$A$6870,$A82,Dept_Data!$C$2:$C$6870,2012,Dept_Data!$D$2:$D$6870,"&lt;=8",Dept_Data!$B$2:$B$6870,"A")</f>
        <v>13379504.92</v>
      </c>
      <c r="C82" s="19" t="n">
        <f aca="false">SUMIFS(Dept_Data!$E$2:$E$6870,Dept_Data!$A$2:$A$6870,$A82,Dept_Data!$C$2:$C$6870,2012,Dept_Data!$D$2:$D$6870,"&lt;=8",Dept_Data!$B$2:$B$6870,"B")</f>
        <v>1492714.23</v>
      </c>
      <c r="D82" s="19" t="n">
        <f aca="false">SUMIFS(Dept_Data!$E$2:$E$6870,Dept_Data!$A$2:$A$6870,$A82,Dept_Data!$C$2:$C$6870,2012,Dept_Data!$D$2:$D$6870,"&lt;=8",Dept_Data!$B$2:$B$6870,"C")</f>
        <v>3218387.32</v>
      </c>
      <c r="E82" s="19" t="n">
        <f aca="false">B82*(1+Assumptions!$C$5)+C82*(1+Assumptions!$C$6)+D82*(1+Assumptions!$C$7)</f>
        <v>18570121.712</v>
      </c>
      <c r="F82" s="19" t="n">
        <f aca="false">SUMIFS(Dept_Data!$E$2:$E$6870,Dept_Data!$A$2:$A$6870,$A82,Dept_Data!$C$2:$C$6870,2013)</f>
        <v>19382961.84</v>
      </c>
      <c r="G82" s="19" t="n">
        <f aca="false">F82-E82</f>
        <v>812840.128000002</v>
      </c>
      <c r="H82" s="27" t="n">
        <f aca="false">IF(E82&lt;=0,"",G82/E82)</f>
        <v>0.043771394749381</v>
      </c>
      <c r="I82" s="18" t="n">
        <f aca="false">RANK(ABS(G82),$K$5:$K$85)</f>
        <v>13</v>
      </c>
      <c r="K82" s="33" t="n">
        <f aca="false">ABS(G82)</f>
        <v>812840.128000002</v>
      </c>
    </row>
    <row r="83" customFormat="false" ht="15" hidden="false" customHeight="false" outlineLevel="0" collapsed="false">
      <c r="A83" s="25" t="n">
        <v>97</v>
      </c>
      <c r="B83" s="19" t="n">
        <f aca="false">SUMIFS(Dept_Data!$E$2:$E$6870,Dept_Data!$A$2:$A$6870,$A83,Dept_Data!$C$2:$C$6870,2012,Dept_Data!$D$2:$D$6870,"&lt;=8",Dept_Data!$B$2:$B$6870,"A")</f>
        <v>17149229.45</v>
      </c>
      <c r="C83" s="19" t="n">
        <f aca="false">SUMIFS(Dept_Data!$E$2:$E$6870,Dept_Data!$A$2:$A$6870,$A83,Dept_Data!$C$2:$C$6870,2012,Dept_Data!$D$2:$D$6870,"&lt;=8",Dept_Data!$B$2:$B$6870,"B")</f>
        <v>2018236.39</v>
      </c>
      <c r="D83" s="19" t="n">
        <f aca="false">SUMIFS(Dept_Data!$E$2:$E$6870,Dept_Data!$A$2:$A$6870,$A83,Dept_Data!$C$2:$C$6870,2012,Dept_Data!$D$2:$D$6870,"&lt;=8",Dept_Data!$B$2:$B$6870,"C")</f>
        <v>2786713.56</v>
      </c>
      <c r="E83" s="19" t="n">
        <f aca="false">B83*(1+Assumptions!$C$5)+C83*(1+Assumptions!$C$6)+D83*(1+Assumptions!$C$7)</f>
        <v>22550821.7147</v>
      </c>
      <c r="F83" s="19" t="n">
        <f aca="false">SUMIFS(Dept_Data!$E$2:$E$6870,Dept_Data!$A$2:$A$6870,$A83,Dept_Data!$C$2:$C$6870,2013)</f>
        <v>22191578.53</v>
      </c>
      <c r="G83" s="19" t="n">
        <f aca="false">F83-E83</f>
        <v>-359243.184699997</v>
      </c>
      <c r="H83" s="27" t="n">
        <f aca="false">IF(E83&lt;=0,"",G83/E83)</f>
        <v>-0.015930381129563</v>
      </c>
      <c r="I83" s="18" t="n">
        <f aca="false">RANK(ABS(G83),$K$5:$K$85)</f>
        <v>26</v>
      </c>
      <c r="K83" s="33" t="n">
        <f aca="false">ABS(G83)</f>
        <v>359243.184699997</v>
      </c>
    </row>
    <row r="84" customFormat="false" ht="15" hidden="false" customHeight="false" outlineLevel="0" collapsed="false">
      <c r="A84" s="25" t="n">
        <v>98</v>
      </c>
      <c r="B84" s="19" t="n">
        <f aca="false">SUMIFS(Dept_Data!$E$2:$E$6870,Dept_Data!$A$2:$A$6870,$A84,Dept_Data!$C$2:$C$6870,2012,Dept_Data!$D$2:$D$6870,"&lt;=8",Dept_Data!$B$2:$B$6870,"A")</f>
        <v>8169617.35</v>
      </c>
      <c r="C84" s="19" t="n">
        <f aca="false">SUMIFS(Dept_Data!$E$2:$E$6870,Dept_Data!$A$2:$A$6870,$A84,Dept_Data!$C$2:$C$6870,2012,Dept_Data!$D$2:$D$6870,"&lt;=8",Dept_Data!$B$2:$B$6870,"B")</f>
        <v>106939.3</v>
      </c>
      <c r="D84" s="19" t="n">
        <f aca="false">SUMIFS(Dept_Data!$E$2:$E$6870,Dept_Data!$A$2:$A$6870,$A84,Dept_Data!$C$2:$C$6870,2012,Dept_Data!$D$2:$D$6870,"&lt;=8",Dept_Data!$B$2:$B$6870,"C")</f>
        <v>1070907.57</v>
      </c>
      <c r="E84" s="19" t="n">
        <f aca="false">B84*(1+Assumptions!$C$5)+C84*(1+Assumptions!$C$6)+D84*(1+Assumptions!$C$7)</f>
        <v>9610755.14005</v>
      </c>
      <c r="F84" s="19" t="n">
        <f aca="false">SUMIFS(Dept_Data!$E$2:$E$6870,Dept_Data!$A$2:$A$6870,$A84,Dept_Data!$C$2:$C$6870,2013)</f>
        <v>9242298.54</v>
      </c>
      <c r="G84" s="19" t="n">
        <f aca="false">F84-E84</f>
        <v>-368456.600049999</v>
      </c>
      <c r="H84" s="27" t="n">
        <f aca="false">IF(E84&lt;=0,"",G84/E84)</f>
        <v>-0.0383379448004626</v>
      </c>
      <c r="I84" s="18" t="n">
        <f aca="false">RANK(ABS(G84),$K$5:$K$85)</f>
        <v>25</v>
      </c>
      <c r="K84" s="33" t="n">
        <f aca="false">ABS(G84)</f>
        <v>368456.600049999</v>
      </c>
    </row>
    <row r="85" customFormat="false" ht="15" hidden="false" customHeight="false" outlineLevel="0" collapsed="false">
      <c r="A85" s="25" t="n">
        <v>99</v>
      </c>
      <c r="B85" s="19" t="n">
        <f aca="false">SUMIFS(Dept_Data!$E$2:$E$6870,Dept_Data!$A$2:$A$6870,$A85,Dept_Data!$C$2:$C$6870,2012,Dept_Data!$D$2:$D$6870,"&lt;=8",Dept_Data!$B$2:$B$6870,"A")</f>
        <v>32236.62</v>
      </c>
      <c r="C85" s="19" t="n">
        <f aca="false">SUMIFS(Dept_Data!$E$2:$E$6870,Dept_Data!$A$2:$A$6870,$A85,Dept_Data!$C$2:$C$6870,2012,Dept_Data!$D$2:$D$6870,"&lt;=8",Dept_Data!$B$2:$B$6870,"B")</f>
        <v>0</v>
      </c>
      <c r="D85" s="19" t="n">
        <f aca="false">SUMIFS(Dept_Data!$E$2:$E$6870,Dept_Data!$A$2:$A$6870,$A85,Dept_Data!$C$2:$C$6870,2012,Dept_Data!$D$2:$D$6870,"&lt;=8",Dept_Data!$B$2:$B$6870,"C")</f>
        <v>25.01</v>
      </c>
      <c r="E85" s="19" t="n">
        <f aca="false">B85*(1+Assumptions!$C$5)+C85*(1+Assumptions!$C$6)+D85*(1+Assumptions!$C$7)</f>
        <v>33229.10375</v>
      </c>
      <c r="F85" s="19" t="n">
        <f aca="false">SUMIFS(Dept_Data!$E$2:$E$6870,Dept_Data!$A$2:$A$6870,$A85,Dept_Data!$C$2:$C$6870,2013)</f>
        <v>80996.9</v>
      </c>
      <c r="G85" s="19" t="n">
        <f aca="false">F85-E85</f>
        <v>47767.79625</v>
      </c>
      <c r="H85" s="27" t="n">
        <f aca="false">IF(E85&lt;=0,"",G85/E85)</f>
        <v>1.43752887858133</v>
      </c>
      <c r="I85" s="18" t="n">
        <f aca="false">RANK(ABS(G85),$K$5:$K$85)</f>
        <v>64</v>
      </c>
      <c r="K85" s="33" t="n">
        <f aca="false">ABS(G85)</f>
        <v>47767.79625</v>
      </c>
    </row>
    <row r="86" customFormat="false" ht="15" hidden="false" customHeight="false" outlineLevel="0" collapsed="false">
      <c r="A86" s="15" t="s">
        <v>108</v>
      </c>
      <c r="B86" s="23" t="n">
        <f aca="false">SUM(B5:B85)</f>
        <v>1022684704.91</v>
      </c>
      <c r="C86" s="23" t="n">
        <f aca="false">SUM(C5:C85)</f>
        <v>464195718.84</v>
      </c>
      <c r="D86" s="23" t="n">
        <f aca="false">SUM(D5:D85)</f>
        <v>96333971.32</v>
      </c>
      <c r="E86" s="23" t="n">
        <f aca="false">SUM(E5:E85)</f>
        <v>1624623860.1639</v>
      </c>
      <c r="F86" s="23" t="n">
        <f aca="false">SUM(F5:F85)</f>
        <v>1634132542.25</v>
      </c>
      <c r="G86" s="23" t="n">
        <f aca="false">SUM(G5:G85)</f>
        <v>9508682.08609997</v>
      </c>
    </row>
  </sheetData>
  <autoFilter ref="A4:I85"/>
  <conditionalFormatting sqref="G5:H8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6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4" min="14" style="0" width="30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15"/>
  </cols>
  <sheetData>
    <row r="1" customFormat="false" ht="19.7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31.5" hidden="false" customHeight="true" outlineLevel="0" collapsed="false">
      <c r="A4" s="11" t="s">
        <v>75</v>
      </c>
      <c r="B4" s="11" t="s">
        <v>125</v>
      </c>
      <c r="C4" s="11" t="s">
        <v>126</v>
      </c>
      <c r="D4" s="11" t="s">
        <v>76</v>
      </c>
      <c r="E4" s="11" t="s">
        <v>127</v>
      </c>
      <c r="F4" s="11" t="s">
        <v>128</v>
      </c>
      <c r="G4" s="11" t="s">
        <v>129</v>
      </c>
      <c r="H4" s="11" t="s">
        <v>130</v>
      </c>
      <c r="I4" s="11" t="s">
        <v>131</v>
      </c>
      <c r="J4" s="11" t="s">
        <v>132</v>
      </c>
      <c r="K4" s="11" t="s">
        <v>133</v>
      </c>
      <c r="L4" s="11" t="s">
        <v>134</v>
      </c>
      <c r="N4" s="11" t="s">
        <v>76</v>
      </c>
      <c r="O4" s="11" t="s">
        <v>75</v>
      </c>
      <c r="P4" s="11" t="s">
        <v>130</v>
      </c>
    </row>
    <row r="5" customFormat="false" ht="15" hidden="false" customHeight="false" outlineLevel="0" collapsed="false">
      <c r="A5" s="17" t="n">
        <v>40210</v>
      </c>
      <c r="B5" s="18" t="n">
        <v>1</v>
      </c>
      <c r="C5" s="18" t="n">
        <v>2011</v>
      </c>
      <c r="D5" s="18" t="n">
        <v>1</v>
      </c>
      <c r="E5" s="19" t="n">
        <f aca="false">SUMIFS(Monthly_Data!$G$2:$G$1441,Monthly_Data!$E$2:$E$1441,C5,Monthly_Data!$F$2:$F$1441,D5)</f>
        <v>189510334.43</v>
      </c>
      <c r="F5" s="18" t="n">
        <f aca="false">DAY(EOMONTH(A5,0))</f>
        <v>28</v>
      </c>
      <c r="G5" s="19" t="n">
        <f aca="false">E5/F5</f>
        <v>6768226.22964286</v>
      </c>
      <c r="H5" s="20" t="n">
        <f aca="false">INDEX($P$5:$P$16,D5)</f>
        <v>0.997151794165092</v>
      </c>
      <c r="I5" s="19" t="n">
        <f aca="false">G5/H5</f>
        <v>6787558.59363403</v>
      </c>
      <c r="J5" s="19" t="n">
        <f aca="false">FORECAST(B5,$I$5:$I$28,$B$5:$B$28)</f>
        <v>6732749.81245368</v>
      </c>
      <c r="N5" s="18" t="n">
        <v>1</v>
      </c>
      <c r="O5" s="22" t="s">
        <v>135</v>
      </c>
      <c r="P5" s="20" t="n">
        <f aca="false">AVERAGE(INDEX($G$5:$G$16,N5)/AVERAGE($G$5:$G$16),INDEX($G$17:$G$28,N5)/AVERAGE($G$17:$G$28))</f>
        <v>0.997151794165092</v>
      </c>
    </row>
    <row r="6" customFormat="false" ht="15" hidden="false" customHeight="false" outlineLevel="0" collapsed="false">
      <c r="A6" s="17" t="n">
        <v>40238</v>
      </c>
      <c r="B6" s="18" t="n">
        <v>2</v>
      </c>
      <c r="C6" s="18" t="n">
        <v>2011</v>
      </c>
      <c r="D6" s="18" t="n">
        <v>2</v>
      </c>
      <c r="E6" s="19" t="n">
        <f aca="false">SUMIFS(Monthly_Data!$G$2:$G$1441,Monthly_Data!$E$2:$E$1441,C6,Monthly_Data!$F$2:$F$1441,D6)</f>
        <v>204544976.27</v>
      </c>
      <c r="F6" s="18" t="n">
        <f aca="false">DAY(EOMONTH(A6,0))</f>
        <v>31</v>
      </c>
      <c r="G6" s="19" t="n">
        <f aca="false">E6/F6</f>
        <v>6598225.04096774</v>
      </c>
      <c r="H6" s="20" t="n">
        <f aca="false">INDEX($P$5:$P$16,D6)</f>
        <v>0.96008170351457</v>
      </c>
      <c r="I6" s="19" t="n">
        <f aca="false">G6/H6</f>
        <v>6872566.17516366</v>
      </c>
      <c r="J6" s="19" t="n">
        <f aca="false">FORECAST(B6,$I$5:$I$28,$B$5:$B$28)</f>
        <v>6733119.16391898</v>
      </c>
      <c r="N6" s="18" t="n">
        <v>2</v>
      </c>
      <c r="O6" s="22" t="s">
        <v>136</v>
      </c>
      <c r="P6" s="20" t="n">
        <f aca="false">AVERAGE(INDEX($G$5:$G$16,N6)/AVERAGE($G$5:$G$16),INDEX($G$17:$G$28,N6)/AVERAGE($G$17:$G$28))</f>
        <v>0.96008170351457</v>
      </c>
    </row>
    <row r="7" customFormat="false" ht="15" hidden="false" customHeight="false" outlineLevel="0" collapsed="false">
      <c r="A7" s="17" t="n">
        <v>40269</v>
      </c>
      <c r="B7" s="18" t="n">
        <v>3</v>
      </c>
      <c r="C7" s="18" t="n">
        <v>2011</v>
      </c>
      <c r="D7" s="18" t="n">
        <v>3</v>
      </c>
      <c r="E7" s="19" t="n">
        <f aca="false">SUMIFS(Monthly_Data!$G$2:$G$1441,Monthly_Data!$E$2:$E$1441,C7,Monthly_Data!$F$2:$F$1441,D7)</f>
        <v>195395345.72</v>
      </c>
      <c r="F7" s="18" t="n">
        <f aca="false">DAY(EOMONTH(A7,0))</f>
        <v>30</v>
      </c>
      <c r="G7" s="19" t="n">
        <f aca="false">E7/F7</f>
        <v>6513178.19066667</v>
      </c>
      <c r="H7" s="20" t="n">
        <f aca="false">INDEX($P$5:$P$16,D7)</f>
        <v>0.968200178641176</v>
      </c>
      <c r="I7" s="19" t="n">
        <f aca="false">G7/H7</f>
        <v>6727098.72849601</v>
      </c>
      <c r="J7" s="19" t="n">
        <f aca="false">FORECAST(B7,$I$5:$I$28,$B$5:$B$28)</f>
        <v>6733488.51538429</v>
      </c>
      <c r="N7" s="18" t="n">
        <v>3</v>
      </c>
      <c r="O7" s="22" t="s">
        <v>137</v>
      </c>
      <c r="P7" s="20" t="n">
        <f aca="false">AVERAGE(INDEX($G$5:$G$16,N7)/AVERAGE($G$5:$G$16),INDEX($G$17:$G$28,N7)/AVERAGE($G$17:$G$28))</f>
        <v>0.968200178641176</v>
      </c>
    </row>
    <row r="8" customFormat="false" ht="15" hidden="false" customHeight="false" outlineLevel="0" collapsed="false">
      <c r="A8" s="17" t="n">
        <v>40299</v>
      </c>
      <c r="B8" s="18" t="n">
        <v>4</v>
      </c>
      <c r="C8" s="18" t="n">
        <v>2011</v>
      </c>
      <c r="D8" s="18" t="n">
        <v>4</v>
      </c>
      <c r="E8" s="19" t="n">
        <f aca="false">SUMIFS(Monthly_Data!$G$2:$G$1441,Monthly_Data!$E$2:$E$1441,C8,Monthly_Data!$F$2:$F$1441,D8)</f>
        <v>208220309.95</v>
      </c>
      <c r="F8" s="18" t="n">
        <f aca="false">DAY(EOMONTH(A8,0))</f>
        <v>31</v>
      </c>
      <c r="G8" s="19" t="n">
        <f aca="false">E8/F8</f>
        <v>6716784.19193548</v>
      </c>
      <c r="H8" s="20" t="n">
        <f aca="false">INDEX($P$5:$P$16,D8)</f>
        <v>0.984083192597821</v>
      </c>
      <c r="I8" s="19" t="n">
        <f aca="false">G8/H8</f>
        <v>6825423.1374527</v>
      </c>
      <c r="J8" s="19" t="n">
        <f aca="false">FORECAST(B8,$I$5:$I$28,$B$5:$B$28)</f>
        <v>6733857.86684959</v>
      </c>
      <c r="N8" s="18" t="n">
        <v>4</v>
      </c>
      <c r="O8" s="22" t="s">
        <v>138</v>
      </c>
      <c r="P8" s="20" t="n">
        <f aca="false">AVERAGE(INDEX($G$5:$G$16,N8)/AVERAGE($G$5:$G$16),INDEX($G$17:$G$28,N8)/AVERAGE($G$17:$G$28))</f>
        <v>0.984083192597821</v>
      </c>
    </row>
    <row r="9" customFormat="false" ht="15" hidden="false" customHeight="false" outlineLevel="0" collapsed="false">
      <c r="A9" s="17" t="n">
        <v>40330</v>
      </c>
      <c r="B9" s="18" t="n">
        <v>5</v>
      </c>
      <c r="C9" s="18" t="n">
        <v>2011</v>
      </c>
      <c r="D9" s="18" t="n">
        <v>5</v>
      </c>
      <c r="E9" s="19" t="n">
        <f aca="false">SUMIFS(Monthly_Data!$G$2:$G$1441,Monthly_Data!$E$2:$E$1441,C9,Monthly_Data!$F$2:$F$1441,D9)</f>
        <v>205677857.04</v>
      </c>
      <c r="F9" s="18" t="n">
        <f aca="false">DAY(EOMONTH(A9,0))</f>
        <v>30</v>
      </c>
      <c r="G9" s="19" t="n">
        <f aca="false">E9/F9</f>
        <v>6855928.568</v>
      </c>
      <c r="H9" s="20" t="n">
        <f aca="false">INDEX($P$5:$P$16,D9)</f>
        <v>1.01025269211603</v>
      </c>
      <c r="I9" s="19" t="n">
        <f aca="false">G9/H9</f>
        <v>6786350.20871844</v>
      </c>
      <c r="J9" s="19" t="n">
        <f aca="false">FORECAST(B9,$I$5:$I$28,$B$5:$B$28)</f>
        <v>6734227.2183149</v>
      </c>
      <c r="N9" s="18" t="n">
        <v>5</v>
      </c>
      <c r="O9" s="22" t="s">
        <v>139</v>
      </c>
      <c r="P9" s="20" t="n">
        <f aca="false">AVERAGE(INDEX($G$5:$G$16,N9)/AVERAGE($G$5:$G$16),INDEX($G$17:$G$28,N9)/AVERAGE($G$17:$G$28))</f>
        <v>1.01025269211603</v>
      </c>
    </row>
    <row r="10" customFormat="false" ht="15" hidden="false" customHeight="false" outlineLevel="0" collapsed="false">
      <c r="A10" s="17" t="n">
        <v>40360</v>
      </c>
      <c r="B10" s="18" t="n">
        <v>6</v>
      </c>
      <c r="C10" s="18" t="n">
        <v>2011</v>
      </c>
      <c r="D10" s="18" t="n">
        <v>6</v>
      </c>
      <c r="E10" s="19" t="n">
        <f aca="false">SUMIFS(Monthly_Data!$G$2:$G$1441,Monthly_Data!$E$2:$E$1441,C10,Monthly_Data!$F$2:$F$1441,D10)</f>
        <v>204525493.91</v>
      </c>
      <c r="F10" s="18" t="n">
        <f aca="false">DAY(EOMONTH(A10,0))</f>
        <v>31</v>
      </c>
      <c r="G10" s="19" t="n">
        <f aca="false">E10/F10</f>
        <v>6597596.57774194</v>
      </c>
      <c r="H10" s="20" t="n">
        <f aca="false">INDEX($P$5:$P$16,D10)</f>
        <v>0.975294812267755</v>
      </c>
      <c r="I10" s="19" t="n">
        <f aca="false">G10/H10</f>
        <v>6764720.26176496</v>
      </c>
      <c r="J10" s="19" t="n">
        <f aca="false">FORECAST(B10,$I$5:$I$28,$B$5:$B$28)</f>
        <v>6734596.5697802</v>
      </c>
      <c r="N10" s="18" t="n">
        <v>6</v>
      </c>
      <c r="O10" s="22" t="s">
        <v>140</v>
      </c>
      <c r="P10" s="20" t="n">
        <f aca="false">AVERAGE(INDEX($G$5:$G$16,N10)/AVERAGE($G$5:$G$16),INDEX($G$17:$G$28,N10)/AVERAGE($G$17:$G$28))</f>
        <v>0.975294812267755</v>
      </c>
    </row>
    <row r="11" customFormat="false" ht="15" hidden="false" customHeight="false" outlineLevel="0" collapsed="false">
      <c r="A11" s="17" t="n">
        <v>40391</v>
      </c>
      <c r="B11" s="18" t="n">
        <v>7</v>
      </c>
      <c r="C11" s="18" t="n">
        <v>2011</v>
      </c>
      <c r="D11" s="18" t="n">
        <v>7</v>
      </c>
      <c r="E11" s="19" t="n">
        <f aca="false">SUMIFS(Monthly_Data!$G$2:$G$1441,Monthly_Data!$E$2:$E$1441,C11,Monthly_Data!$F$2:$F$1441,D11)</f>
        <v>207721829.68</v>
      </c>
      <c r="F11" s="18" t="n">
        <f aca="false">DAY(EOMONTH(A11,0))</f>
        <v>31</v>
      </c>
      <c r="G11" s="19" t="n">
        <f aca="false">E11/F11</f>
        <v>6700704.18322581</v>
      </c>
      <c r="H11" s="20" t="n">
        <f aca="false">INDEX($P$5:$P$16,D11)</f>
        <v>0.993585491617937</v>
      </c>
      <c r="I11" s="19" t="n">
        <f aca="false">G11/H11</f>
        <v>6743963.39293813</v>
      </c>
      <c r="J11" s="19" t="n">
        <f aca="false">FORECAST(B11,$I$5:$I$28,$B$5:$B$28)</f>
        <v>6734965.92124551</v>
      </c>
      <c r="N11" s="18" t="n">
        <v>7</v>
      </c>
      <c r="O11" s="22" t="s">
        <v>141</v>
      </c>
      <c r="P11" s="20" t="n">
        <f aca="false">AVERAGE(INDEX($G$5:$G$16,N11)/AVERAGE($G$5:$G$16),INDEX($G$17:$G$28,N11)/AVERAGE($G$17:$G$28))</f>
        <v>0.993585491617937</v>
      </c>
    </row>
    <row r="12" customFormat="false" ht="15" hidden="false" customHeight="false" outlineLevel="0" collapsed="false">
      <c r="A12" s="17" t="n">
        <v>40422</v>
      </c>
      <c r="B12" s="18" t="n">
        <v>8</v>
      </c>
      <c r="C12" s="18" t="n">
        <v>2011</v>
      </c>
      <c r="D12" s="18" t="n">
        <v>8</v>
      </c>
      <c r="E12" s="19" t="n">
        <f aca="false">SUMIFS(Monthly_Data!$G$2:$G$1441,Monthly_Data!$E$2:$E$1441,C12,Monthly_Data!$F$2:$F$1441,D12)</f>
        <v>186505357.17</v>
      </c>
      <c r="F12" s="18" t="n">
        <f aca="false">DAY(EOMONTH(A12,0))</f>
        <v>30</v>
      </c>
      <c r="G12" s="19" t="n">
        <f aca="false">E12/F12</f>
        <v>6216845.239</v>
      </c>
      <c r="H12" s="20" t="n">
        <f aca="false">INDEX($P$5:$P$16,D12)</f>
        <v>0.92756611894107</v>
      </c>
      <c r="I12" s="19" t="n">
        <f aca="false">G12/H12</f>
        <v>6702320.31124346</v>
      </c>
      <c r="J12" s="19" t="n">
        <f aca="false">FORECAST(B12,$I$5:$I$28,$B$5:$B$28)</f>
        <v>6735335.27271081</v>
      </c>
      <c r="N12" s="18" t="n">
        <v>8</v>
      </c>
      <c r="O12" s="22" t="s">
        <v>142</v>
      </c>
      <c r="P12" s="20" t="n">
        <f aca="false">AVERAGE(INDEX($G$5:$G$16,N12)/AVERAGE($G$5:$G$16),INDEX($G$17:$G$28,N12)/AVERAGE($G$17:$G$28))</f>
        <v>0.92756611894107</v>
      </c>
    </row>
    <row r="13" customFormat="false" ht="15" hidden="false" customHeight="false" outlineLevel="0" collapsed="false">
      <c r="A13" s="17" t="n">
        <v>40452</v>
      </c>
      <c r="B13" s="18" t="n">
        <v>9</v>
      </c>
      <c r="C13" s="18" t="n">
        <v>2011</v>
      </c>
      <c r="D13" s="18" t="n">
        <v>9</v>
      </c>
      <c r="E13" s="19" t="n">
        <f aca="false">SUMIFS(Monthly_Data!$G$2:$G$1441,Monthly_Data!$E$2:$E$1441,C13,Monthly_Data!$F$2:$F$1441,D13)</f>
        <v>194036782.44</v>
      </c>
      <c r="F13" s="18" t="n">
        <f aca="false">DAY(EOMONTH(A13,0))</f>
        <v>31</v>
      </c>
      <c r="G13" s="19" t="n">
        <f aca="false">E13/F13</f>
        <v>6259251.04645161</v>
      </c>
      <c r="H13" s="20" t="n">
        <f aca="false">INDEX($P$5:$P$16,D13)</f>
        <v>0.953203248037402</v>
      </c>
      <c r="I13" s="19" t="n">
        <f aca="false">G13/H13</f>
        <v>6566543.97615524</v>
      </c>
      <c r="J13" s="19" t="n">
        <f aca="false">FORECAST(B13,$I$5:$I$28,$B$5:$B$28)</f>
        <v>6735704.62417612</v>
      </c>
      <c r="N13" s="18" t="n">
        <v>9</v>
      </c>
      <c r="O13" s="22" t="s">
        <v>143</v>
      </c>
      <c r="P13" s="20" t="n">
        <f aca="false">AVERAGE(INDEX($G$5:$G$16,N13)/AVERAGE($G$5:$G$16),INDEX($G$17:$G$28,N13)/AVERAGE($G$17:$G$28))</f>
        <v>0.953203248037402</v>
      </c>
    </row>
    <row r="14" customFormat="false" ht="15" hidden="false" customHeight="false" outlineLevel="0" collapsed="false">
      <c r="A14" s="17" t="n">
        <v>40483</v>
      </c>
      <c r="B14" s="18" t="n">
        <v>10</v>
      </c>
      <c r="C14" s="18" t="n">
        <v>2011</v>
      </c>
      <c r="D14" s="18" t="n">
        <v>10</v>
      </c>
      <c r="E14" s="19" t="n">
        <f aca="false">SUMIFS(Monthly_Data!$G$2:$G$1441,Monthly_Data!$E$2:$E$1441,C14,Monthly_Data!$F$2:$F$1441,D14)</f>
        <v>218292248.47</v>
      </c>
      <c r="F14" s="18" t="n">
        <f aca="false">DAY(EOMONTH(A14,0))</f>
        <v>30</v>
      </c>
      <c r="G14" s="19" t="n">
        <f aca="false">E14/F14</f>
        <v>7276408.28233333</v>
      </c>
      <c r="H14" s="20" t="n">
        <f aca="false">INDEX($P$5:$P$16,D14)</f>
        <v>1.09563931396288</v>
      </c>
      <c r="I14" s="19" t="n">
        <f aca="false">G14/H14</f>
        <v>6641244.23941567</v>
      </c>
      <c r="J14" s="19" t="n">
        <f aca="false">FORECAST(B14,$I$5:$I$28,$B$5:$B$28)</f>
        <v>6736073.97564142</v>
      </c>
      <c r="N14" s="18" t="n">
        <v>10</v>
      </c>
      <c r="O14" s="22" t="s">
        <v>144</v>
      </c>
      <c r="P14" s="20" t="n">
        <f aca="false">AVERAGE(INDEX($G$5:$G$16,N14)/AVERAGE($G$5:$G$16),INDEX($G$17:$G$28,N14)/AVERAGE($G$17:$G$28))</f>
        <v>1.09563931396288</v>
      </c>
    </row>
    <row r="15" customFormat="false" ht="15" hidden="false" customHeight="false" outlineLevel="0" collapsed="false">
      <c r="A15" s="17" t="n">
        <v>40513</v>
      </c>
      <c r="B15" s="18" t="n">
        <v>11</v>
      </c>
      <c r="C15" s="18" t="n">
        <v>2011</v>
      </c>
      <c r="D15" s="18" t="n">
        <v>11</v>
      </c>
      <c r="E15" s="19" t="n">
        <f aca="false">SUMIFS(Monthly_Data!$G$2:$G$1441,Monthly_Data!$E$2:$E$1441,C15,Monthly_Data!$F$2:$F$1441,D15)</f>
        <v>260241088.28</v>
      </c>
      <c r="F15" s="18" t="n">
        <f aca="false">DAY(EOMONTH(A15,0))</f>
        <v>31</v>
      </c>
      <c r="G15" s="19" t="n">
        <f aca="false">E15/F15</f>
        <v>8394873.81548387</v>
      </c>
      <c r="H15" s="20" t="n">
        <f aca="false">INDEX($P$5:$P$16,D15)</f>
        <v>1.24364498141614</v>
      </c>
      <c r="I15" s="19" t="n">
        <f aca="false">G15/H15</f>
        <v>6750217.2572792</v>
      </c>
      <c r="J15" s="19" t="n">
        <f aca="false">FORECAST(B15,$I$5:$I$28,$B$5:$B$28)</f>
        <v>6736443.32710673</v>
      </c>
      <c r="N15" s="18" t="n">
        <v>11</v>
      </c>
      <c r="O15" s="22" t="s">
        <v>145</v>
      </c>
      <c r="P15" s="20" t="n">
        <f aca="false">AVERAGE(INDEX($G$5:$G$16,N15)/AVERAGE($G$5:$G$16),INDEX($G$17:$G$28,N15)/AVERAGE($G$17:$G$28))</f>
        <v>1.24364498141614</v>
      </c>
    </row>
    <row r="16" customFormat="false" ht="15" hidden="false" customHeight="false" outlineLevel="0" collapsed="false">
      <c r="A16" s="17" t="n">
        <v>40544</v>
      </c>
      <c r="B16" s="18" t="n">
        <v>12</v>
      </c>
      <c r="C16" s="18" t="n">
        <v>2011</v>
      </c>
      <c r="D16" s="18" t="n">
        <v>12</v>
      </c>
      <c r="E16" s="19" t="n">
        <f aca="false">SUMIFS(Monthly_Data!$G$2:$G$1441,Monthly_Data!$E$2:$E$1441,C16,Monthly_Data!$F$2:$F$1441,D16)</f>
        <v>183483871.6</v>
      </c>
      <c r="F16" s="18" t="n">
        <f aca="false">DAY(EOMONTH(A16,0))</f>
        <v>31</v>
      </c>
      <c r="G16" s="19" t="n">
        <f aca="false">E16/F16</f>
        <v>5918834.56774194</v>
      </c>
      <c r="H16" s="20" t="n">
        <f aca="false">INDEX($P$5:$P$16,D16)</f>
        <v>0.891296472722127</v>
      </c>
      <c r="I16" s="19" t="n">
        <f aca="false">G16/H16</f>
        <v>6640702.33517822</v>
      </c>
      <c r="J16" s="19" t="n">
        <f aca="false">FORECAST(B16,$I$5:$I$28,$B$5:$B$28)</f>
        <v>6736812.67857203</v>
      </c>
      <c r="N16" s="18" t="n">
        <v>12</v>
      </c>
      <c r="O16" s="22" t="s">
        <v>146</v>
      </c>
      <c r="P16" s="20" t="n">
        <f aca="false">AVERAGE(INDEX($G$5:$G$16,N16)/AVERAGE($G$5:$G$16),INDEX($G$17:$G$28,N16)/AVERAGE($G$17:$G$28))</f>
        <v>0.891296472722127</v>
      </c>
    </row>
    <row r="17" customFormat="false" ht="15" hidden="false" customHeight="false" outlineLevel="0" collapsed="false">
      <c r="A17" s="17" t="n">
        <v>40575</v>
      </c>
      <c r="B17" s="18" t="n">
        <v>13</v>
      </c>
      <c r="C17" s="18" t="n">
        <v>2012</v>
      </c>
      <c r="D17" s="18" t="n">
        <v>1</v>
      </c>
      <c r="E17" s="19" t="n">
        <f aca="false">SUMIFS(Monthly_Data!$G$2:$G$1441,Monthly_Data!$E$2:$E$1441,C17,Monthly_Data!$F$2:$F$1441,D17)</f>
        <v>186685967.4</v>
      </c>
      <c r="F17" s="18" t="n">
        <f aca="false">DAY(EOMONTH(A17,0))</f>
        <v>28</v>
      </c>
      <c r="G17" s="19" t="n">
        <f aca="false">E17/F17</f>
        <v>6667355.97857143</v>
      </c>
      <c r="H17" s="20" t="n">
        <f aca="false">INDEX($P$5:$P$16,D17)</f>
        <v>0.997151794165092</v>
      </c>
      <c r="I17" s="19" t="n">
        <f aca="false">G17/H17</f>
        <v>6686400.22270026</v>
      </c>
      <c r="J17" s="19" t="n">
        <f aca="false">FORECAST(B17,$I$5:$I$28,$B$5:$B$28)</f>
        <v>6737182.03003734</v>
      </c>
    </row>
    <row r="18" customFormat="false" ht="15" hidden="false" customHeight="false" outlineLevel="0" collapsed="false">
      <c r="A18" s="17" t="n">
        <v>40603</v>
      </c>
      <c r="B18" s="18" t="n">
        <v>14</v>
      </c>
      <c r="C18" s="18" t="n">
        <v>2012</v>
      </c>
      <c r="D18" s="18" t="n">
        <v>2</v>
      </c>
      <c r="E18" s="19" t="n">
        <f aca="false">SUMIFS(Monthly_Data!$G$2:$G$1441,Monthly_Data!$E$2:$E$1441,C18,Monthly_Data!$F$2:$F$1441,D18)</f>
        <v>196472467.69</v>
      </c>
      <c r="F18" s="18" t="n">
        <f aca="false">DAY(EOMONTH(A18,0))</f>
        <v>31</v>
      </c>
      <c r="G18" s="19" t="n">
        <f aca="false">E18/F18</f>
        <v>6337821.5383871</v>
      </c>
      <c r="H18" s="20" t="n">
        <f aca="false">INDEX($P$5:$P$16,D18)</f>
        <v>0.96008170351457</v>
      </c>
      <c r="I18" s="19" t="n">
        <f aca="false">G18/H18</f>
        <v>6601335.61048631</v>
      </c>
      <c r="J18" s="19" t="n">
        <f aca="false">FORECAST(B18,$I$5:$I$28,$B$5:$B$28)</f>
        <v>6737551.38150264</v>
      </c>
      <c r="N18" s="2" t="s">
        <v>147</v>
      </c>
    </row>
    <row r="19" customFormat="false" ht="15" hidden="false" customHeight="false" outlineLevel="0" collapsed="false">
      <c r="A19" s="17" t="n">
        <v>40634</v>
      </c>
      <c r="B19" s="18" t="n">
        <v>15</v>
      </c>
      <c r="C19" s="18" t="n">
        <v>2012</v>
      </c>
      <c r="D19" s="18" t="n">
        <v>3</v>
      </c>
      <c r="E19" s="19" t="n">
        <f aca="false">SUMIFS(Monthly_Data!$G$2:$G$1441,Monthly_Data!$E$2:$E$1441,C19,Monthly_Data!$F$2:$F$1441,D19)</f>
        <v>195970512.43</v>
      </c>
      <c r="F19" s="18" t="n">
        <f aca="false">DAY(EOMONTH(A19,0))</f>
        <v>30</v>
      </c>
      <c r="G19" s="19" t="n">
        <f aca="false">E19/F19</f>
        <v>6532350.41433333</v>
      </c>
      <c r="H19" s="20" t="n">
        <f aca="false">INDEX($P$5:$P$16,D19)</f>
        <v>0.968200178641176</v>
      </c>
      <c r="I19" s="19" t="n">
        <f aca="false">G19/H19</f>
        <v>6746900.64972017</v>
      </c>
      <c r="J19" s="19" t="n">
        <f aca="false">FORECAST(B19,$I$5:$I$28,$B$5:$B$28)</f>
        <v>6737920.73296795</v>
      </c>
    </row>
    <row r="20" customFormat="false" ht="15" hidden="false" customHeight="false" outlineLevel="0" collapsed="false">
      <c r="A20" s="17" t="n">
        <v>40664</v>
      </c>
      <c r="B20" s="18" t="n">
        <v>16</v>
      </c>
      <c r="C20" s="18" t="n">
        <v>2012</v>
      </c>
      <c r="D20" s="18" t="n">
        <v>4</v>
      </c>
      <c r="E20" s="19" t="n">
        <f aca="false">SUMIFS(Monthly_Data!$G$2:$G$1441,Monthly_Data!$E$2:$E$1441,C20,Monthly_Data!$F$2:$F$1441,D20)</f>
        <v>202823303.77</v>
      </c>
      <c r="F20" s="18" t="n">
        <f aca="false">DAY(EOMONTH(A20,0))</f>
        <v>31</v>
      </c>
      <c r="G20" s="19" t="n">
        <f aca="false">E20/F20</f>
        <v>6542687.2183871</v>
      </c>
      <c r="H20" s="20" t="n">
        <f aca="false">INDEX($P$5:$P$16,D20)</f>
        <v>0.984083192597821</v>
      </c>
      <c r="I20" s="19" t="n">
        <f aca="false">G20/H20</f>
        <v>6648510.27596098</v>
      </c>
      <c r="J20" s="19" t="n">
        <f aca="false">FORECAST(B20,$I$5:$I$28,$B$5:$B$28)</f>
        <v>6738290.08443325</v>
      </c>
    </row>
    <row r="21" customFormat="false" ht="15" hidden="false" customHeight="false" outlineLevel="0" collapsed="false">
      <c r="A21" s="17" t="n">
        <v>40695</v>
      </c>
      <c r="B21" s="18" t="n">
        <v>17</v>
      </c>
      <c r="C21" s="18" t="n">
        <v>2012</v>
      </c>
      <c r="D21" s="18" t="n">
        <v>5</v>
      </c>
      <c r="E21" s="19" t="n">
        <f aca="false">SUMIFS(Monthly_Data!$G$2:$G$1441,Monthly_Data!$E$2:$E$1441,C21,Monthly_Data!$F$2:$F$1441,D21)</f>
        <v>202685262.56</v>
      </c>
      <c r="F21" s="18" t="n">
        <f aca="false">DAY(EOMONTH(A21,0))</f>
        <v>30</v>
      </c>
      <c r="G21" s="19" t="n">
        <f aca="false">E21/F21</f>
        <v>6756175.41866667</v>
      </c>
      <c r="H21" s="20" t="n">
        <f aca="false">INDEX($P$5:$P$16,D21)</f>
        <v>1.01025269211603</v>
      </c>
      <c r="I21" s="19" t="n">
        <f aca="false">G21/H21</f>
        <v>6687609.41830847</v>
      </c>
      <c r="J21" s="19" t="n">
        <f aca="false">FORECAST(B21,$I$5:$I$28,$B$5:$B$28)</f>
        <v>6738659.43589856</v>
      </c>
      <c r="N21" s="34" t="s">
        <v>148</v>
      </c>
    </row>
    <row r="22" customFormat="false" ht="31.5" hidden="false" customHeight="true" outlineLevel="0" collapsed="false">
      <c r="A22" s="17" t="n">
        <v>40725</v>
      </c>
      <c r="B22" s="18" t="n">
        <v>18</v>
      </c>
      <c r="C22" s="18" t="n">
        <v>2012</v>
      </c>
      <c r="D22" s="18" t="n">
        <v>6</v>
      </c>
      <c r="E22" s="19" t="n">
        <f aca="false">SUMIFS(Monthly_Data!$G$2:$G$1441,Monthly_Data!$E$2:$E$1441,C22,Monthly_Data!$F$2:$F$1441,D22)</f>
        <v>202848515.5</v>
      </c>
      <c r="F22" s="18" t="n">
        <f aca="false">DAY(EOMONTH(A22,0))</f>
        <v>31</v>
      </c>
      <c r="G22" s="19" t="n">
        <f aca="false">E22/F22</f>
        <v>6543500.5</v>
      </c>
      <c r="H22" s="20" t="n">
        <f aca="false">INDEX($P$5:$P$16,D22)</f>
        <v>0.975294812267755</v>
      </c>
      <c r="I22" s="19" t="n">
        <f aca="false">G22/H22</f>
        <v>6709253.8765638</v>
      </c>
      <c r="J22" s="19" t="n">
        <f aca="false">FORECAST(B22,$I$5:$I$28,$B$5:$B$28)</f>
        <v>6739028.78736386</v>
      </c>
      <c r="N22" s="11" t="s">
        <v>149</v>
      </c>
      <c r="O22" s="11"/>
      <c r="P22" s="11" t="s">
        <v>150</v>
      </c>
    </row>
    <row r="23" customFormat="false" ht="15" hidden="false" customHeight="false" outlineLevel="0" collapsed="false">
      <c r="A23" s="17" t="n">
        <v>40756</v>
      </c>
      <c r="B23" s="18" t="n">
        <v>19</v>
      </c>
      <c r="C23" s="18" t="n">
        <v>2012</v>
      </c>
      <c r="D23" s="18" t="n">
        <v>7</v>
      </c>
      <c r="E23" s="19" t="n">
        <f aca="false">SUMIFS(Monthly_Data!$G$2:$G$1441,Monthly_Data!$E$2:$E$1441,C23,Monthly_Data!$F$2:$F$1441,D23)</f>
        <v>207292501.01</v>
      </c>
      <c r="F23" s="18" t="n">
        <f aca="false">DAY(EOMONTH(A23,0))</f>
        <v>31</v>
      </c>
      <c r="G23" s="19" t="n">
        <f aca="false">E23/F23</f>
        <v>6686854.87129032</v>
      </c>
      <c r="H23" s="20" t="n">
        <f aca="false">INDEX($P$5:$P$16,D23)</f>
        <v>0.993585491617937</v>
      </c>
      <c r="I23" s="19" t="n">
        <f aca="false">G23/H23</f>
        <v>6730024.67095365</v>
      </c>
      <c r="J23" s="19" t="n">
        <f aca="false">FORECAST(B23,$I$5:$I$28,$B$5:$B$28)</f>
        <v>6739398.13882917</v>
      </c>
      <c r="N23" s="15" t="s">
        <v>151</v>
      </c>
      <c r="P23" s="21" t="n">
        <f aca="false">AVERAGE(L29:L36)</f>
        <v>0.020560713016311</v>
      </c>
    </row>
    <row r="24" customFormat="false" ht="15" hidden="false" customHeight="false" outlineLevel="0" collapsed="false">
      <c r="A24" s="17" t="n">
        <v>40787</v>
      </c>
      <c r="B24" s="18" t="n">
        <v>20</v>
      </c>
      <c r="C24" s="18" t="n">
        <v>2012</v>
      </c>
      <c r="D24" s="18" t="n">
        <v>8</v>
      </c>
      <c r="E24" s="19" t="n">
        <f aca="false">SUMIFS(Monthly_Data!$G$2:$G$1441,Monthly_Data!$E$2:$E$1441,C24,Monthly_Data!$F$2:$F$1441,D24)</f>
        <v>188435864.71</v>
      </c>
      <c r="F24" s="18" t="n">
        <f aca="false">DAY(EOMONTH(A24,0))</f>
        <v>30</v>
      </c>
      <c r="G24" s="19" t="n">
        <f aca="false">E24/F24</f>
        <v>6281195.49033333</v>
      </c>
      <c r="H24" s="20" t="n">
        <f aca="false">INDEX($P$5:$P$16,D24)</f>
        <v>0.92756611894107</v>
      </c>
      <c r="I24" s="19" t="n">
        <f aca="false">G24/H24</f>
        <v>6771695.6905499</v>
      </c>
      <c r="J24" s="19" t="n">
        <f aca="false">FORECAST(B24,$I$5:$I$28,$B$5:$B$28)</f>
        <v>6739767.49029447</v>
      </c>
      <c r="N24" s="15" t="s">
        <v>152</v>
      </c>
      <c r="P24" s="21" t="n">
        <f aca="false">SUMPRODUCT(ABS(Budget_vs_Actual!G5:G12-Budget_vs_Actual!H5:H12)/Budget_vs_Actual!H5:H12)/8</f>
        <v>0.0123059040758611</v>
      </c>
    </row>
    <row r="25" customFormat="false" ht="15" hidden="false" customHeight="false" outlineLevel="0" collapsed="false">
      <c r="A25" s="17" t="n">
        <v>40817</v>
      </c>
      <c r="B25" s="18" t="n">
        <v>21</v>
      </c>
      <c r="C25" s="18" t="n">
        <v>2012</v>
      </c>
      <c r="D25" s="18" t="n">
        <v>9</v>
      </c>
      <c r="E25" s="19" t="n">
        <f aca="false">SUMIFS(Monthly_Data!$G$2:$G$1441,Monthly_Data!$E$2:$E$1441,C25,Monthly_Data!$F$2:$F$1441,D25)</f>
        <v>204113659.56</v>
      </c>
      <c r="F25" s="18" t="n">
        <f aca="false">DAY(EOMONTH(A25,0))</f>
        <v>31</v>
      </c>
      <c r="G25" s="19" t="n">
        <f aca="false">E25/F25</f>
        <v>6584311.59870968</v>
      </c>
      <c r="H25" s="20" t="n">
        <f aca="false">INDEX($P$5:$P$16,D25)</f>
        <v>0.953203248037402</v>
      </c>
      <c r="I25" s="19" t="n">
        <f aca="false">G25/H25</f>
        <v>6907563.11654041</v>
      </c>
      <c r="J25" s="19" t="n">
        <f aca="false">FORECAST(B25,$I$5:$I$28,$B$5:$B$28)</f>
        <v>6740136.84175978</v>
      </c>
      <c r="N25" s="15" t="s">
        <v>153</v>
      </c>
      <c r="P25" s="21" t="n">
        <f aca="false">(ABS(SUMIFS(Forecast_Data!$G$2:$G$237,Forecast_Data!$D$2:$D$237,"Holt-Winters",Forecast_Data!$E$2:$E$237,"Backtest",Forecast_Data!$F$2:$F$237,A29)-E29)/E29+ABS(SUMIFS(Forecast_Data!$G$2:$G$237,Forecast_Data!$D$2:$D$237,"Holt-Winters",Forecast_Data!$E$2:$E$237,"Backtest",Forecast_Data!$F$2:$F$237,A30)-E30)/E30+ABS(SUMIFS(Forecast_Data!$G$2:$G$237,Forecast_Data!$D$2:$D$237,"Holt-Winters",Forecast_Data!$E$2:$E$237,"Backtest",Forecast_Data!$F$2:$F$237,A31)-E31)/E31+ABS(SUMIFS(Forecast_Data!$G$2:$G$237,Forecast_Data!$D$2:$D$237,"Holt-Winters",Forecast_Data!$E$2:$E$237,"Backtest",Forecast_Data!$F$2:$F$237,A32)-E32)/E32+ABS(SUMIFS(Forecast_Data!$G$2:$G$237,Forecast_Data!$D$2:$D$237,"Holt-Winters",Forecast_Data!$E$2:$E$237,"Backtest",Forecast_Data!$F$2:$F$237,A33)-E33)/E33+ABS(SUMIFS(Forecast_Data!$G$2:$G$237,Forecast_Data!$D$2:$D$237,"Holt-Winters",Forecast_Data!$E$2:$E$237,"Backtest",Forecast_Data!$F$2:$F$237,A34)-E34)/E34+ABS(SUMIFS(Forecast_Data!$G$2:$G$237,Forecast_Data!$D$2:$D$237,"Holt-Winters",Forecast_Data!$E$2:$E$237,"Backtest",Forecast_Data!$F$2:$F$237,A35)-E35)/E35+ABS(SUMIFS(Forecast_Data!$G$2:$G$237,Forecast_Data!$D$2:$D$237,"Holt-Winters",Forecast_Data!$E$2:$E$237,"Backtest",Forecast_Data!$F$2:$F$237,A36)-E36)/E36)/8</f>
        <v>0.0127095976951303</v>
      </c>
    </row>
    <row r="26" customFormat="false" ht="15" hidden="false" customHeight="false" outlineLevel="0" collapsed="false">
      <c r="A26" s="17" t="n">
        <v>40848</v>
      </c>
      <c r="B26" s="18" t="n">
        <v>22</v>
      </c>
      <c r="C26" s="18" t="n">
        <v>2012</v>
      </c>
      <c r="D26" s="18" t="n">
        <v>10</v>
      </c>
      <c r="E26" s="19" t="n">
        <f aca="false">SUMIFS(Monthly_Data!$G$2:$G$1441,Monthly_Data!$E$2:$E$1441,C26,Monthly_Data!$F$2:$F$1441,D26)</f>
        <v>224588947.81</v>
      </c>
      <c r="F26" s="18" t="n">
        <f aca="false">DAY(EOMONTH(A26,0))</f>
        <v>30</v>
      </c>
      <c r="G26" s="19" t="n">
        <f aca="false">E26/F26</f>
        <v>7486298.26033333</v>
      </c>
      <c r="H26" s="20" t="n">
        <f aca="false">INDEX($P$5:$P$16,D26)</f>
        <v>1.09563931396288</v>
      </c>
      <c r="I26" s="19" t="n">
        <f aca="false">G26/H26</f>
        <v>6832812.7376661</v>
      </c>
      <c r="J26" s="19" t="n">
        <f aca="false">FORECAST(B26,$I$5:$I$28,$B$5:$B$28)</f>
        <v>6740506.19322508</v>
      </c>
    </row>
    <row r="27" customFormat="false" ht="15" hidden="false" customHeight="false" outlineLevel="0" collapsed="false">
      <c r="A27" s="17" t="n">
        <v>40878</v>
      </c>
      <c r="B27" s="18" t="n">
        <v>23</v>
      </c>
      <c r="C27" s="18" t="n">
        <v>2012</v>
      </c>
      <c r="D27" s="18" t="n">
        <v>11</v>
      </c>
      <c r="E27" s="19" t="n">
        <f aca="false">SUMIFS(Monthly_Data!$G$2:$G$1441,Monthly_Data!$E$2:$E$1441,C27,Monthly_Data!$F$2:$F$1441,D27)</f>
        <v>259221336.66</v>
      </c>
      <c r="F27" s="18" t="n">
        <f aca="false">DAY(EOMONTH(A27,0))</f>
        <v>31</v>
      </c>
      <c r="G27" s="19" t="n">
        <f aca="false">E27/F27</f>
        <v>8361978.60193548</v>
      </c>
      <c r="H27" s="20" t="n">
        <f aca="false">INDEX($P$5:$P$16,D27)</f>
        <v>1.24364498141614</v>
      </c>
      <c r="I27" s="19" t="n">
        <f aca="false">G27/H27</f>
        <v>6723766.61096136</v>
      </c>
      <c r="J27" s="19" t="n">
        <f aca="false">FORECAST(B27,$I$5:$I$28,$B$5:$B$28)</f>
        <v>6740875.54469039</v>
      </c>
    </row>
    <row r="28" customFormat="false" ht="15" hidden="false" customHeight="false" outlineLevel="0" collapsed="false">
      <c r="A28" s="17" t="n">
        <v>40909</v>
      </c>
      <c r="B28" s="18" t="n">
        <v>24</v>
      </c>
      <c r="C28" s="18" t="n">
        <v>2012</v>
      </c>
      <c r="D28" s="18" t="n">
        <v>12</v>
      </c>
      <c r="E28" s="19" t="n">
        <f aca="false">SUMIFS(Monthly_Data!$G$2:$G$1441,Monthly_Data!$E$2:$E$1441,C28,Monthly_Data!$F$2:$F$1441,D28)</f>
        <v>188806901.61</v>
      </c>
      <c r="F28" s="18" t="n">
        <f aca="false">DAY(EOMONTH(A28,0))</f>
        <v>31</v>
      </c>
      <c r="G28" s="19" t="n">
        <f aca="false">E28/F28</f>
        <v>6090545.21322581</v>
      </c>
      <c r="H28" s="20" t="n">
        <f aca="false">INDEX($P$5:$P$16,D28)</f>
        <v>0.891296472722127</v>
      </c>
      <c r="I28" s="19" t="n">
        <f aca="false">G28/H28</f>
        <v>6833355.00546137</v>
      </c>
      <c r="J28" s="19" t="n">
        <f aca="false">FORECAST(B28,$I$5:$I$28,$B$5:$B$28)</f>
        <v>6741244.89615569</v>
      </c>
      <c r="N28" s="34" t="s">
        <v>154</v>
      </c>
    </row>
    <row r="29" customFormat="false" ht="31.5" hidden="false" customHeight="true" outlineLevel="0" collapsed="false">
      <c r="A29" s="17" t="n">
        <v>40940</v>
      </c>
      <c r="B29" s="18" t="n">
        <v>25</v>
      </c>
      <c r="C29" s="18" t="n">
        <v>2013</v>
      </c>
      <c r="D29" s="18" t="n">
        <v>1</v>
      </c>
      <c r="E29" s="19" t="n">
        <f aca="false">SUMIFS(Monthly_Data!$G$2:$G$1441,Monthly_Data!$E$2:$E$1441,C29,Monthly_Data!$F$2:$F$1441,D29)</f>
        <v>199201113.93</v>
      </c>
      <c r="F29" s="18" t="n">
        <f aca="false">DAY(EOMONTH(A29,0))</f>
        <v>29</v>
      </c>
      <c r="G29" s="19" t="n">
        <f aca="false">E29/F29</f>
        <v>6869003.92862069</v>
      </c>
      <c r="H29" s="20" t="n">
        <f aca="false">INDEX($P$5:$P$16,D29)</f>
        <v>0.997151794165092</v>
      </c>
      <c r="I29" s="19" t="n">
        <f aca="false">G29/H29</f>
        <v>6888624.14811384</v>
      </c>
      <c r="J29" s="19" t="n">
        <f aca="false">FORECAST(B29,$I$5:$I$28,$B$5:$B$28)</f>
        <v>6741614.247621</v>
      </c>
      <c r="K29" s="19" t="n">
        <f aca="false">J29*H29*F29</f>
        <v>194949969.534942</v>
      </c>
      <c r="L29" s="21" t="n">
        <f aca="false">ABS(K29-E29)/E29</f>
        <v>0.0213409669814969</v>
      </c>
      <c r="N29" s="11" t="s">
        <v>75</v>
      </c>
      <c r="O29" s="11" t="s">
        <v>155</v>
      </c>
      <c r="P29" s="11" t="s">
        <v>156</v>
      </c>
      <c r="Q29" s="11" t="s">
        <v>81</v>
      </c>
    </row>
    <row r="30" customFormat="false" ht="15" hidden="false" customHeight="false" outlineLevel="0" collapsed="false">
      <c r="A30" s="17" t="n">
        <v>40969</v>
      </c>
      <c r="B30" s="18" t="n">
        <v>26</v>
      </c>
      <c r="C30" s="18" t="n">
        <v>2013</v>
      </c>
      <c r="D30" s="18" t="n">
        <v>2</v>
      </c>
      <c r="E30" s="19" t="n">
        <f aca="false">SUMIFS(Monthly_Data!$G$2:$G$1441,Monthly_Data!$E$2:$E$1441,C30,Monthly_Data!$F$2:$F$1441,D30)</f>
        <v>205680670.61</v>
      </c>
      <c r="F30" s="18" t="n">
        <f aca="false">DAY(EOMONTH(A30,0))</f>
        <v>31</v>
      </c>
      <c r="G30" s="19" t="n">
        <f aca="false">E30/F30</f>
        <v>6634860.34225807</v>
      </c>
      <c r="H30" s="20" t="n">
        <f aca="false">INDEX($P$5:$P$16,D30)</f>
        <v>0.96008170351457</v>
      </c>
      <c r="I30" s="19" t="n">
        <f aca="false">G30/H30</f>
        <v>6910724.69975195</v>
      </c>
      <c r="J30" s="19" t="n">
        <f aca="false">FORECAST(B30,$I$5:$I$28,$B$5:$B$28)</f>
        <v>6741983.5990863</v>
      </c>
      <c r="K30" s="19" t="n">
        <f aca="false">J30*H30*F30</f>
        <v>200658508.06522</v>
      </c>
      <c r="L30" s="21" t="n">
        <f aca="false">ABS(K30-E30)/E30</f>
        <v>0.0244172800967891</v>
      </c>
      <c r="N30" s="17" t="n">
        <f aca="false">A37</f>
        <v>41183</v>
      </c>
      <c r="O30" s="19" t="n">
        <f aca="false">FORECAST(B37,$I$5:$I$36,$B$5:$B$36)*H37*F37</f>
        <v>202763920.528542</v>
      </c>
      <c r="P30" s="19" t="n">
        <f aca="false">SUMIFS(Forecast_Data!$G$2:$G$237,Forecast_Data!$A$2:$A$237,"Total",Forecast_Data!$E$2:$E$237,"Forecast",Forecast_Data!$F$2:$F$237,N30)</f>
        <v>203386860.38</v>
      </c>
      <c r="Q30" s="19" t="n">
        <f aca="false">INDEX(Budget_vs_Actual!$G$5:$G$16,MATCH(N30,Budget_vs_Actual!$A$5:$A$16,0))</f>
        <v>209453811.0317</v>
      </c>
    </row>
    <row r="31" customFormat="false" ht="15" hidden="false" customHeight="false" outlineLevel="0" collapsed="false">
      <c r="A31" s="17" t="n">
        <v>41000</v>
      </c>
      <c r="B31" s="18" t="n">
        <v>27</v>
      </c>
      <c r="C31" s="18" t="n">
        <v>2013</v>
      </c>
      <c r="D31" s="18" t="n">
        <v>3</v>
      </c>
      <c r="E31" s="19" t="n">
        <f aca="false">SUMIFS(Monthly_Data!$G$2:$G$1441,Monthly_Data!$E$2:$E$1441,C31,Monthly_Data!$F$2:$F$1441,D31)</f>
        <v>201473802.81</v>
      </c>
      <c r="F31" s="18" t="n">
        <f aca="false">DAY(EOMONTH(A31,0))</f>
        <v>30</v>
      </c>
      <c r="G31" s="19" t="n">
        <f aca="false">E31/F31</f>
        <v>6715793.427</v>
      </c>
      <c r="H31" s="20" t="n">
        <f aca="false">INDEX($P$5:$P$16,D31)</f>
        <v>0.968200178641176</v>
      </c>
      <c r="I31" s="19" t="n">
        <f aca="false">G31/H31</f>
        <v>6936368.71295077</v>
      </c>
      <c r="J31" s="19" t="n">
        <f aca="false">FORECAST(B31,$I$5:$I$28,$B$5:$B$28)</f>
        <v>6742352.95055161</v>
      </c>
      <c r="K31" s="19" t="n">
        <f aca="false">J31*H31*F31</f>
        <v>195838419.935578</v>
      </c>
      <c r="L31" s="21" t="n">
        <f aca="false">ABS(K31-E31)/E31</f>
        <v>0.0279707971747403</v>
      </c>
      <c r="N31" s="17" t="n">
        <f aca="false">A38</f>
        <v>41214</v>
      </c>
      <c r="O31" s="19" t="n">
        <f aca="false">FORECAST(B38,$I$5:$I$36,$B$5:$B$36)*H38*F38</f>
        <v>225719681.884976</v>
      </c>
      <c r="P31" s="19" t="n">
        <f aca="false">SUMIFS(Forecast_Data!$G$2:$G$237,Forecast_Data!$A$2:$A$237,"Total",Forecast_Data!$E$2:$E$237,"Forecast",Forecast_Data!$F$2:$F$237,N31)</f>
        <v>226185387.84</v>
      </c>
      <c r="Q31" s="19" t="n">
        <f aca="false">INDEX(Budget_vs_Actual!$G$5:$G$16,MATCH(N31,Budget_vs_Actual!$A$5:$A$16,0))</f>
        <v>230454492.51685</v>
      </c>
    </row>
    <row r="32" customFormat="false" ht="15" hidden="false" customHeight="false" outlineLevel="0" collapsed="false">
      <c r="A32" s="17" t="n">
        <v>41030</v>
      </c>
      <c r="B32" s="18" t="n">
        <v>28</v>
      </c>
      <c r="C32" s="18" t="n">
        <v>2013</v>
      </c>
      <c r="D32" s="18" t="n">
        <v>4</v>
      </c>
      <c r="E32" s="19" t="n">
        <f aca="false">SUMIFS(Monthly_Data!$G$2:$G$1441,Monthly_Data!$E$2:$E$1441,C32,Monthly_Data!$F$2:$F$1441,D32)</f>
        <v>209954665.65</v>
      </c>
      <c r="F32" s="18" t="n">
        <f aca="false">DAY(EOMONTH(A32,0))</f>
        <v>31</v>
      </c>
      <c r="G32" s="19" t="n">
        <f aca="false">E32/F32</f>
        <v>6772731.15</v>
      </c>
      <c r="H32" s="20" t="n">
        <f aca="false">INDEX($P$5:$P$16,D32)</f>
        <v>0.984083192597821</v>
      </c>
      <c r="I32" s="19" t="n">
        <f aca="false">G32/H32</f>
        <v>6882274.9955937</v>
      </c>
      <c r="J32" s="19" t="n">
        <f aca="false">FORECAST(B32,$I$5:$I$28,$B$5:$B$28)</f>
        <v>6742722.30201692</v>
      </c>
      <c r="K32" s="19" t="n">
        <f aca="false">J32*H32*F32</f>
        <v>205697390.382849</v>
      </c>
      <c r="L32" s="21" t="n">
        <f aca="false">ABS(K32-E32)/E32</f>
        <v>0.0202771167478967</v>
      </c>
      <c r="N32" s="17" t="n">
        <f aca="false">A39</f>
        <v>41244</v>
      </c>
      <c r="O32" s="19" t="n">
        <f aca="false">FORECAST(B39,$I$5:$I$36,$B$5:$B$36)*H39*F39</f>
        <v>264957072.431452</v>
      </c>
      <c r="P32" s="19" t="n">
        <f aca="false">SUMIFS(Forecast_Data!$G$2:$G$237,Forecast_Data!$A$2:$A$237,"Total",Forecast_Data!$E$2:$E$237,"Forecast",Forecast_Data!$F$2:$F$237,N32)</f>
        <v>265190327.77</v>
      </c>
      <c r="Q32" s="19" t="n">
        <f aca="false">INDEX(Budget_vs_Actual!$G$5:$G$16,MATCH(N32,Budget_vs_Actual!$A$5:$A$16,0))</f>
        <v>265999128.3522</v>
      </c>
    </row>
    <row r="33" customFormat="false" ht="15" hidden="false" customHeight="false" outlineLevel="0" collapsed="false">
      <c r="A33" s="17" t="n">
        <v>41061</v>
      </c>
      <c r="B33" s="18" t="n">
        <v>29</v>
      </c>
      <c r="C33" s="18" t="n">
        <v>2013</v>
      </c>
      <c r="D33" s="18" t="n">
        <v>5</v>
      </c>
      <c r="E33" s="19" t="n">
        <f aca="false">SUMIFS(Monthly_Data!$G$2:$G$1441,Monthly_Data!$E$2:$E$1441,C33,Monthly_Data!$F$2:$F$1441,D33)</f>
        <v>206547918.22</v>
      </c>
      <c r="F33" s="18" t="n">
        <f aca="false">DAY(EOMONTH(A33,0))</f>
        <v>30</v>
      </c>
      <c r="G33" s="19" t="n">
        <f aca="false">E33/F33</f>
        <v>6884930.60733333</v>
      </c>
      <c r="H33" s="20" t="n">
        <f aca="false">INDEX($P$5:$P$16,D33)</f>
        <v>1.01025269211603</v>
      </c>
      <c r="I33" s="19" t="n">
        <f aca="false">G33/H33</f>
        <v>6815057.91675986</v>
      </c>
      <c r="J33" s="19" t="n">
        <f aca="false">FORECAST(B33,$I$5:$I$28,$B$5:$B$28)</f>
        <v>6743091.65348222</v>
      </c>
      <c r="K33" s="19" t="n">
        <f aca="false">J33*H33*F33</f>
        <v>204366794.883467</v>
      </c>
      <c r="L33" s="21" t="n">
        <f aca="false">ABS(K33-E33)/E33</f>
        <v>0.0105598901956006</v>
      </c>
      <c r="N33" s="17" t="n">
        <f aca="false">A40</f>
        <v>41275</v>
      </c>
      <c r="O33" s="19" t="n">
        <f aca="false">FORECAST(B40,$I$5:$I$36,$B$5:$B$36)*H40*F40</f>
        <v>190036864.045118</v>
      </c>
      <c r="P33" s="19" t="n">
        <f aca="false">SUMIFS(Forecast_Data!$G$2:$G$237,Forecast_Data!$A$2:$A$237,"Total",Forecast_Data!$E$2:$E$237,"Forecast",Forecast_Data!$F$2:$F$237,N33)</f>
        <v>189780874.6</v>
      </c>
      <c r="Q33" s="19" t="n">
        <f aca="false">INDEX(Budget_vs_Actual!$G$5:$G$16,MATCH(N33,Budget_vs_Actual!$A$5:$A$16,0))</f>
        <v>193733499.97175</v>
      </c>
    </row>
    <row r="34" customFormat="false" ht="15" hidden="false" customHeight="false" outlineLevel="0" collapsed="false">
      <c r="A34" s="17" t="n">
        <v>41091</v>
      </c>
      <c r="B34" s="18" t="n">
        <v>30</v>
      </c>
      <c r="C34" s="18" t="n">
        <v>2013</v>
      </c>
      <c r="D34" s="18" t="n">
        <v>6</v>
      </c>
      <c r="E34" s="19" t="n">
        <f aca="false">SUMIFS(Monthly_Data!$G$2:$G$1441,Monthly_Data!$E$2:$E$1441,C34,Monthly_Data!$F$2:$F$1441,D34)</f>
        <v>207322391.83</v>
      </c>
      <c r="F34" s="18" t="n">
        <f aca="false">DAY(EOMONTH(A34,0))</f>
        <v>31</v>
      </c>
      <c r="G34" s="19" t="n">
        <f aca="false">E34/F34</f>
        <v>6687819.09129032</v>
      </c>
      <c r="H34" s="20" t="n">
        <f aca="false">INDEX($P$5:$P$16,D34)</f>
        <v>0.975294812267755</v>
      </c>
      <c r="I34" s="19" t="n">
        <f aca="false">G34/H34</f>
        <v>6857228.20132695</v>
      </c>
      <c r="J34" s="19" t="n">
        <f aca="false">FORECAST(B34,$I$5:$I$28,$B$5:$B$28)</f>
        <v>6743461.00494752</v>
      </c>
      <c r="K34" s="19" t="n">
        <f aca="false">J34*H34*F34</f>
        <v>203882738.580512</v>
      </c>
      <c r="L34" s="21" t="n">
        <f aca="false">ABS(K34-E34)/E34</f>
        <v>0.0165908429819227</v>
      </c>
      <c r="N34" s="15" t="s">
        <v>157</v>
      </c>
      <c r="O34" s="23" t="n">
        <f aca="false">SUM(O30:O33)</f>
        <v>883477538.890088</v>
      </c>
      <c r="P34" s="23" t="n">
        <f aca="false">SUM(P30:P33)</f>
        <v>884543450.59</v>
      </c>
      <c r="Q34" s="23" t="n">
        <f aca="false">SUM(Q30:Q33)</f>
        <v>899640931.8725</v>
      </c>
    </row>
    <row r="35" customFormat="false" ht="15" hidden="false" customHeight="false" outlineLevel="0" collapsed="false">
      <c r="A35" s="17" t="n">
        <v>41122</v>
      </c>
      <c r="B35" s="18" t="n">
        <v>31</v>
      </c>
      <c r="C35" s="18" t="n">
        <v>2013</v>
      </c>
      <c r="D35" s="18" t="n">
        <v>7</v>
      </c>
      <c r="E35" s="19" t="n">
        <f aca="false">SUMIFS(Monthly_Data!$G$2:$G$1441,Monthly_Data!$E$2:$E$1441,C35,Monthly_Data!$F$2:$F$1441,D35)</f>
        <v>209715966.1</v>
      </c>
      <c r="F35" s="18" t="n">
        <f aca="false">DAY(EOMONTH(A35,0))</f>
        <v>31</v>
      </c>
      <c r="G35" s="19" t="n">
        <f aca="false">E35/F35</f>
        <v>6765031.16451613</v>
      </c>
      <c r="H35" s="20" t="n">
        <f aca="false">INDEX($P$5:$P$16,D35)</f>
        <v>0.993585491617937</v>
      </c>
      <c r="I35" s="19" t="n">
        <f aca="false">G35/H35</f>
        <v>6808705.6640693</v>
      </c>
      <c r="J35" s="19" t="n">
        <f aca="false">FORECAST(B35,$I$5:$I$28,$B$5:$B$28)</f>
        <v>6743830.35641283</v>
      </c>
      <c r="K35" s="19" t="n">
        <f aca="false">J35*H35*F35</f>
        <v>207717732.001997</v>
      </c>
      <c r="L35" s="21" t="n">
        <f aca="false">ABS(K35-E35)/E35</f>
        <v>0.00952828787985794</v>
      </c>
    </row>
    <row r="36" customFormat="false" ht="15" hidden="false" customHeight="false" outlineLevel="0" collapsed="false">
      <c r="A36" s="17" t="n">
        <v>41153</v>
      </c>
      <c r="B36" s="18" t="n">
        <v>32</v>
      </c>
      <c r="C36" s="18" t="n">
        <v>2013</v>
      </c>
      <c r="D36" s="18" t="n">
        <v>8</v>
      </c>
      <c r="E36" s="19" t="n">
        <f aca="false">SUMIFS(Monthly_Data!$G$2:$G$1441,Monthly_Data!$E$2:$E$1441,C36,Monthly_Data!$F$2:$F$1441,D36)</f>
        <v>194236013.1</v>
      </c>
      <c r="F36" s="18" t="n">
        <f aca="false">DAY(EOMONTH(A36,0))</f>
        <v>30</v>
      </c>
      <c r="G36" s="19" t="n">
        <f aca="false">E36/F36</f>
        <v>6474533.77</v>
      </c>
      <c r="H36" s="20" t="n">
        <f aca="false">INDEX($P$5:$P$16,D36)</f>
        <v>0.92756611894107</v>
      </c>
      <c r="I36" s="19" t="n">
        <f aca="false">G36/H36</f>
        <v>6980131.80709044</v>
      </c>
      <c r="J36" s="19" t="n">
        <f aca="false">FORECAST(B36,$I$5:$I$28,$B$5:$B$28)</f>
        <v>6744199.70787814</v>
      </c>
      <c r="K36" s="19" t="n">
        <f aca="false">J36*H36*F36</f>
        <v>187670734.452001</v>
      </c>
      <c r="L36" s="21" t="n">
        <f aca="false">ABS(K36-E36)/E36</f>
        <v>0.0338005220721835</v>
      </c>
    </row>
    <row r="37" customFormat="false" ht="15" hidden="false" customHeight="false" outlineLevel="0" collapsed="false">
      <c r="A37" s="17" t="n">
        <v>41183</v>
      </c>
      <c r="B37" s="18" t="n">
        <v>33</v>
      </c>
      <c r="C37" s="18" t="n">
        <v>2013</v>
      </c>
      <c r="D37" s="18" t="n">
        <v>9</v>
      </c>
      <c r="F37" s="18" t="n">
        <f aca="false">DAY(EOMONTH(A37,0))</f>
        <v>31</v>
      </c>
      <c r="H37" s="20" t="n">
        <f aca="false">INDEX($P$5:$P$16,D37)</f>
        <v>0.953203248037402</v>
      </c>
      <c r="J37" s="19" t="n">
        <f aca="false">FORECAST(B37,$I$5:$I$28,$B$5:$B$28)</f>
        <v>6744569.05934344</v>
      </c>
    </row>
    <row r="38" customFormat="false" ht="15" hidden="false" customHeight="false" outlineLevel="0" collapsed="false">
      <c r="A38" s="17" t="n">
        <v>41214</v>
      </c>
      <c r="B38" s="18" t="n">
        <v>34</v>
      </c>
      <c r="C38" s="18" t="n">
        <v>2013</v>
      </c>
      <c r="D38" s="18" t="n">
        <v>10</v>
      </c>
      <c r="F38" s="18" t="n">
        <f aca="false">DAY(EOMONTH(A38,0))</f>
        <v>30</v>
      </c>
      <c r="H38" s="20" t="n">
        <f aca="false">INDEX($P$5:$P$16,D38)</f>
        <v>1.09563931396288</v>
      </c>
      <c r="J38" s="19" t="n">
        <f aca="false">FORECAST(B38,$I$5:$I$28,$B$5:$B$28)</f>
        <v>6744938.41080875</v>
      </c>
    </row>
    <row r="39" customFormat="false" ht="15" hidden="false" customHeight="false" outlineLevel="0" collapsed="false">
      <c r="A39" s="17" t="n">
        <v>41244</v>
      </c>
      <c r="B39" s="18" t="n">
        <v>35</v>
      </c>
      <c r="C39" s="18" t="n">
        <v>2013</v>
      </c>
      <c r="D39" s="18" t="n">
        <v>11</v>
      </c>
      <c r="F39" s="18" t="n">
        <f aca="false">DAY(EOMONTH(A39,0))</f>
        <v>31</v>
      </c>
      <c r="H39" s="20" t="n">
        <f aca="false">INDEX($P$5:$P$16,D39)</f>
        <v>1.24364498141614</v>
      </c>
      <c r="J39" s="19" t="n">
        <f aca="false">FORECAST(B39,$I$5:$I$28,$B$5:$B$28)</f>
        <v>6745307.76227405</v>
      </c>
    </row>
    <row r="40" customFormat="false" ht="15" hidden="false" customHeight="false" outlineLevel="0" collapsed="false">
      <c r="A40" s="17" t="n">
        <v>41275</v>
      </c>
      <c r="B40" s="18" t="n">
        <v>36</v>
      </c>
      <c r="C40" s="18" t="n">
        <v>2013</v>
      </c>
      <c r="D40" s="18" t="n">
        <v>12</v>
      </c>
      <c r="F40" s="18" t="n">
        <f aca="false">DAY(EOMONTH(A40,0))</f>
        <v>31</v>
      </c>
      <c r="H40" s="20" t="n">
        <f aca="false">INDEX($P$5:$P$16,D40)</f>
        <v>0.891296472722127</v>
      </c>
      <c r="J40" s="19" t="n">
        <f aca="false">FORECAST(B40,$I$5:$I$28,$B$5:$B$28)</f>
        <v>6745677.11373936</v>
      </c>
    </row>
  </sheetData>
  <conditionalFormatting sqref="P5:P16">
    <cfRule type="colorScale" priority="2">
      <colorScale>
        <cfvo type="min" val="0"/>
        <cfvo type="max" val="0"/>
        <color rgb="FFFFFFFF"/>
        <color rgb="FFEB6834"/>
      </colorScale>
    </cfRule>
  </conditionalFormatting>
  <conditionalFormatting sqref="P23:P25">
    <cfRule type="colorScale" priority="3">
      <colorScale>
        <cfvo type="min" val="0"/>
        <cfvo type="max" val="0"/>
        <color rgb="FF1BAF7A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31.5" hidden="false" customHeight="true" outlineLevel="0" collapsed="false">
      <c r="A4" s="11" t="s">
        <v>160</v>
      </c>
      <c r="B4" s="11" t="s">
        <v>161</v>
      </c>
      <c r="C4" s="11" t="s">
        <v>162</v>
      </c>
      <c r="D4" s="11" t="s">
        <v>163</v>
      </c>
    </row>
    <row r="5" customFormat="false" ht="15" hidden="false" customHeight="false" outlineLevel="0" collapsed="false">
      <c r="A5" s="15" t="s">
        <v>164</v>
      </c>
      <c r="B5" s="18" t="n">
        <f aca="false">COUNTIF(Weekly_Total!$C$2:$C$144,0)</f>
        <v>133</v>
      </c>
      <c r="C5" s="19" t="n">
        <f aca="false">AVERAGEIF(Weekly_Total!$C$2:$C$144,0,Weekly_Total!$B$2:$B$144)</f>
        <v>46856537.1093985</v>
      </c>
      <c r="D5" s="27" t="n">
        <f aca="false">C5/$C$5-1</f>
        <v>0</v>
      </c>
    </row>
    <row r="6" customFormat="false" ht="15" hidden="false" customHeight="false" outlineLevel="0" collapsed="false">
      <c r="A6" s="15" t="s">
        <v>165</v>
      </c>
      <c r="B6" s="18" t="n">
        <f aca="false">COUNTIF(Weekly_Total!$C$2:$C$144,1)</f>
        <v>10</v>
      </c>
      <c r="C6" s="19" t="n">
        <f aca="false">AVERAGEIF(Weekly_Total!$C$2:$C$144,1,Weekly_Total!$B$2:$B$144)</f>
        <v>50529955.156</v>
      </c>
      <c r="D6" s="27" t="n">
        <f aca="false">C6/$C$5-1</f>
        <v>0.0783971303305018</v>
      </c>
    </row>
    <row r="9" customFormat="false" ht="31.5" hidden="false" customHeight="true" outlineLevel="0" collapsed="false">
      <c r="A9" s="11" t="s">
        <v>166</v>
      </c>
      <c r="B9" s="11" t="s">
        <v>167</v>
      </c>
      <c r="C9" s="11" t="s">
        <v>168</v>
      </c>
      <c r="D9" s="11" t="s">
        <v>169</v>
      </c>
    </row>
    <row r="10" customFormat="false" ht="15" hidden="false" customHeight="false" outlineLevel="0" collapsed="false">
      <c r="A10" s="18" t="n">
        <v>1</v>
      </c>
      <c r="B10" s="35" t="n">
        <f aca="false">INDEX(Weekly_Total!$A$2:$A$144,MATCH(C10,Weekly_Total!$B$2:$B$144,0))</f>
        <v>40536</v>
      </c>
      <c r="C10" s="19" t="n">
        <f aca="false">LARGE(Weekly_Total!$B$2:$B$144,A10)</f>
        <v>80931415.6</v>
      </c>
      <c r="D10" s="22" t="str">
        <f aca="false">IF(INDEX(Weekly_Total!$C$2:$C$144,MATCH(C10,Weekly_Total!$B$2:$B$144,0))=1,"Yes","No")</f>
        <v>No</v>
      </c>
    </row>
    <row r="11" customFormat="false" ht="15" hidden="false" customHeight="false" outlineLevel="0" collapsed="false">
      <c r="A11" s="18" t="n">
        <v>2</v>
      </c>
      <c r="B11" s="35" t="n">
        <f aca="false">INDEX(Weekly_Total!$A$2:$A$144,MATCH(C11,Weekly_Total!$B$2:$B$144,0))</f>
        <v>40900</v>
      </c>
      <c r="C11" s="19" t="n">
        <f aca="false">LARGE(Weekly_Total!$B$2:$B$144,A11)</f>
        <v>76998241.31</v>
      </c>
      <c r="D11" s="22" t="str">
        <f aca="false">IF(INDEX(Weekly_Total!$C$2:$C$144,MATCH(C11,Weekly_Total!$B$2:$B$144,0))=1,"Yes","No")</f>
        <v>No</v>
      </c>
    </row>
    <row r="12" customFormat="false" ht="15" hidden="false" customHeight="false" outlineLevel="0" collapsed="false">
      <c r="A12" s="18" t="n">
        <v>3</v>
      </c>
      <c r="B12" s="35" t="n">
        <f aca="false">INDEX(Weekly_Total!$A$2:$A$144,MATCH(C12,Weekly_Total!$B$2:$B$144,0))</f>
        <v>40872</v>
      </c>
      <c r="C12" s="19" t="n">
        <f aca="false">LARGE(Weekly_Total!$B$2:$B$144,A12)</f>
        <v>66593605.26</v>
      </c>
      <c r="D12" s="22" t="str">
        <f aca="false">IF(INDEX(Weekly_Total!$C$2:$C$144,MATCH(C12,Weekly_Total!$B$2:$B$144,0))=1,"Yes","No")</f>
        <v>Yes</v>
      </c>
    </row>
    <row r="13" customFormat="false" ht="15" hidden="false" customHeight="false" outlineLevel="0" collapsed="false">
      <c r="A13" s="18" t="n">
        <v>4</v>
      </c>
      <c r="B13" s="35" t="n">
        <f aca="false">INDEX(Weekly_Total!$A$2:$A$144,MATCH(C13,Weekly_Total!$B$2:$B$144,0))</f>
        <v>40508</v>
      </c>
      <c r="C13" s="19" t="n">
        <f aca="false">LARGE(Weekly_Total!$B$2:$B$144,A13)</f>
        <v>65821003.24</v>
      </c>
      <c r="D13" s="22" t="str">
        <f aca="false">IF(INDEX(Weekly_Total!$C$2:$C$144,MATCH(C13,Weekly_Total!$B$2:$B$144,0))=1,"Yes","No")</f>
        <v>Yes</v>
      </c>
    </row>
    <row r="14" customFormat="false" ht="15" hidden="false" customHeight="false" outlineLevel="0" collapsed="false">
      <c r="A14" s="18" t="n">
        <v>5</v>
      </c>
      <c r="B14" s="35" t="n">
        <f aca="false">INDEX(Weekly_Total!$A$2:$A$144,MATCH(C14,Weekly_Total!$B$2:$B$144,0))</f>
        <v>40529</v>
      </c>
      <c r="C14" s="19" t="n">
        <f aca="false">LARGE(Weekly_Total!$B$2:$B$144,A14)</f>
        <v>61820799.85</v>
      </c>
      <c r="D14" s="22" t="str">
        <f aca="false">IF(INDEX(Weekly_Total!$C$2:$C$144,MATCH(C14,Weekly_Total!$B$2:$B$144,0))=1,"Yes","No")</f>
        <v>No</v>
      </c>
    </row>
    <row r="16" customFormat="false" ht="15" hidden="false" customHeight="false" outlineLevel="0" collapsed="false">
      <c r="A16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1" t="s">
        <v>171</v>
      </c>
      <c r="B1" s="11" t="s">
        <v>172</v>
      </c>
      <c r="C1" s="11" t="s">
        <v>173</v>
      </c>
      <c r="D1" s="11" t="s">
        <v>174</v>
      </c>
      <c r="E1" s="11" t="s">
        <v>175</v>
      </c>
      <c r="F1" s="11" t="s">
        <v>176</v>
      </c>
      <c r="G1" s="11" t="s">
        <v>177</v>
      </c>
    </row>
    <row r="2" customFormat="false" ht="15" hidden="false" customHeight="false" outlineLevel="0" collapsed="false">
      <c r="A2" s="0" t="n">
        <v>1</v>
      </c>
      <c r="B2" s="0" t="s">
        <v>60</v>
      </c>
      <c r="C2" s="36" t="n">
        <v>151315</v>
      </c>
      <c r="D2" s="37" t="n">
        <v>40210</v>
      </c>
      <c r="E2" s="0" t="n">
        <v>2011</v>
      </c>
      <c r="F2" s="0" t="n">
        <v>1</v>
      </c>
      <c r="G2" s="38" t="n">
        <v>6281948.59</v>
      </c>
    </row>
    <row r="3" customFormat="false" ht="15" hidden="false" customHeight="false" outlineLevel="0" collapsed="false">
      <c r="A3" s="0" t="n">
        <v>2</v>
      </c>
      <c r="B3" s="0" t="s">
        <v>60</v>
      </c>
      <c r="C3" s="36" t="n">
        <v>202307</v>
      </c>
      <c r="D3" s="37" t="n">
        <v>40210</v>
      </c>
      <c r="E3" s="0" t="n">
        <v>2011</v>
      </c>
      <c r="F3" s="0" t="n">
        <v>1</v>
      </c>
      <c r="G3" s="38" t="n">
        <v>8222640.23</v>
      </c>
    </row>
    <row r="4" customFormat="false" ht="15" hidden="false" customHeight="false" outlineLevel="0" collapsed="false">
      <c r="A4" s="0" t="n">
        <v>3</v>
      </c>
      <c r="B4" s="0" t="s">
        <v>62</v>
      </c>
      <c r="C4" s="36" t="n">
        <v>37392</v>
      </c>
      <c r="D4" s="37" t="n">
        <v>40210</v>
      </c>
      <c r="E4" s="0" t="n">
        <v>2011</v>
      </c>
      <c r="F4" s="0" t="n">
        <v>1</v>
      </c>
      <c r="G4" s="38" t="n">
        <v>1697935.32</v>
      </c>
    </row>
    <row r="5" customFormat="false" ht="15" hidden="false" customHeight="false" outlineLevel="0" collapsed="false">
      <c r="A5" s="0" t="n">
        <v>4</v>
      </c>
      <c r="B5" s="0" t="s">
        <v>60</v>
      </c>
      <c r="C5" s="36" t="n">
        <v>205863</v>
      </c>
      <c r="D5" s="37" t="n">
        <v>40210</v>
      </c>
      <c r="E5" s="0" t="n">
        <v>2011</v>
      </c>
      <c r="F5" s="0" t="n">
        <v>1</v>
      </c>
      <c r="G5" s="38" t="n">
        <v>8252158.52</v>
      </c>
    </row>
    <row r="6" customFormat="false" ht="15" hidden="false" customHeight="false" outlineLevel="0" collapsed="false">
      <c r="A6" s="0" t="n">
        <v>5</v>
      </c>
      <c r="B6" s="0" t="s">
        <v>62</v>
      </c>
      <c r="C6" s="36" t="n">
        <v>34875</v>
      </c>
      <c r="D6" s="37" t="n">
        <v>40210</v>
      </c>
      <c r="E6" s="0" t="n">
        <v>2011</v>
      </c>
      <c r="F6" s="0" t="n">
        <v>1</v>
      </c>
      <c r="G6" s="38" t="n">
        <v>1194637.34</v>
      </c>
    </row>
    <row r="7" customFormat="false" ht="15" hidden="false" customHeight="false" outlineLevel="0" collapsed="false">
      <c r="A7" s="0" t="n">
        <v>6</v>
      </c>
      <c r="B7" s="0" t="s">
        <v>60</v>
      </c>
      <c r="C7" s="36" t="n">
        <v>202505</v>
      </c>
      <c r="D7" s="37" t="n">
        <v>40210</v>
      </c>
      <c r="E7" s="0" t="n">
        <v>2011</v>
      </c>
      <c r="F7" s="0" t="n">
        <v>1</v>
      </c>
      <c r="G7" s="38" t="n">
        <v>6244357</v>
      </c>
    </row>
    <row r="8" customFormat="false" ht="15" hidden="false" customHeight="false" outlineLevel="0" collapsed="false">
      <c r="A8" s="0" t="n">
        <v>7</v>
      </c>
      <c r="B8" s="0" t="s">
        <v>62</v>
      </c>
      <c r="C8" s="36" t="n">
        <v>70713</v>
      </c>
      <c r="D8" s="37" t="n">
        <v>40210</v>
      </c>
      <c r="E8" s="0" t="n">
        <v>2011</v>
      </c>
      <c r="F8" s="0" t="n">
        <v>1</v>
      </c>
      <c r="G8" s="38" t="n">
        <v>2022158.2</v>
      </c>
    </row>
    <row r="9" customFormat="false" ht="15" hidden="false" customHeight="false" outlineLevel="0" collapsed="false">
      <c r="A9" s="0" t="n">
        <v>8</v>
      </c>
      <c r="B9" s="0" t="s">
        <v>60</v>
      </c>
      <c r="C9" s="36" t="n">
        <v>155078</v>
      </c>
      <c r="D9" s="37" t="n">
        <v>40210</v>
      </c>
      <c r="E9" s="0" t="n">
        <v>2011</v>
      </c>
      <c r="F9" s="0" t="n">
        <v>1</v>
      </c>
      <c r="G9" s="38" t="n">
        <v>3775452.92</v>
      </c>
    </row>
    <row r="10" customFormat="false" ht="15" hidden="false" customHeight="false" outlineLevel="0" collapsed="false">
      <c r="A10" s="0" t="n">
        <v>9</v>
      </c>
      <c r="B10" s="0" t="s">
        <v>62</v>
      </c>
      <c r="C10" s="36" t="n">
        <v>125833</v>
      </c>
      <c r="D10" s="37" t="n">
        <v>40210</v>
      </c>
      <c r="E10" s="0" t="n">
        <v>2011</v>
      </c>
      <c r="F10" s="0" t="n">
        <v>1</v>
      </c>
      <c r="G10" s="38" t="n">
        <v>2075224.86</v>
      </c>
    </row>
    <row r="11" customFormat="false" ht="15" hidden="false" customHeight="false" outlineLevel="0" collapsed="false">
      <c r="A11" s="0" t="n">
        <v>10</v>
      </c>
      <c r="B11" s="0" t="s">
        <v>62</v>
      </c>
      <c r="C11" s="36" t="n">
        <v>126512</v>
      </c>
      <c r="D11" s="37" t="n">
        <v>40210</v>
      </c>
      <c r="E11" s="0" t="n">
        <v>2011</v>
      </c>
      <c r="F11" s="0" t="n">
        <v>1</v>
      </c>
      <c r="G11" s="38" t="n">
        <v>8430439.46</v>
      </c>
    </row>
    <row r="12" customFormat="false" ht="15" hidden="false" customHeight="false" outlineLevel="0" collapsed="false">
      <c r="A12" s="0" t="n">
        <v>11</v>
      </c>
      <c r="B12" s="0" t="s">
        <v>60</v>
      </c>
      <c r="C12" s="36" t="n">
        <v>207499</v>
      </c>
      <c r="D12" s="37" t="n">
        <v>40210</v>
      </c>
      <c r="E12" s="0" t="n">
        <v>2011</v>
      </c>
      <c r="F12" s="0" t="n">
        <v>1</v>
      </c>
      <c r="G12" s="38" t="n">
        <v>5913428.64</v>
      </c>
    </row>
    <row r="13" customFormat="false" ht="15" hidden="false" customHeight="false" outlineLevel="0" collapsed="false">
      <c r="A13" s="0" t="n">
        <v>12</v>
      </c>
      <c r="B13" s="0" t="s">
        <v>62</v>
      </c>
      <c r="C13" s="36" t="n">
        <v>112238</v>
      </c>
      <c r="D13" s="37" t="n">
        <v>40210</v>
      </c>
      <c r="E13" s="0" t="n">
        <v>2011</v>
      </c>
      <c r="F13" s="0" t="n">
        <v>1</v>
      </c>
      <c r="G13" s="38" t="n">
        <v>4355369.06</v>
      </c>
    </row>
    <row r="14" customFormat="false" ht="15" hidden="false" customHeight="false" outlineLevel="0" collapsed="false">
      <c r="A14" s="0" t="n">
        <v>13</v>
      </c>
      <c r="B14" s="0" t="s">
        <v>60</v>
      </c>
      <c r="C14" s="36" t="n">
        <v>219622</v>
      </c>
      <c r="D14" s="37" t="n">
        <v>40210</v>
      </c>
      <c r="E14" s="0" t="n">
        <v>2011</v>
      </c>
      <c r="F14" s="0" t="n">
        <v>1</v>
      </c>
      <c r="G14" s="38" t="n">
        <v>7778496.08</v>
      </c>
    </row>
    <row r="15" customFormat="false" ht="15" hidden="false" customHeight="false" outlineLevel="0" collapsed="false">
      <c r="A15" s="0" t="n">
        <v>14</v>
      </c>
      <c r="B15" s="0" t="s">
        <v>60</v>
      </c>
      <c r="C15" s="36" t="n">
        <v>200898</v>
      </c>
      <c r="D15" s="37" t="n">
        <v>40210</v>
      </c>
      <c r="E15" s="0" t="n">
        <v>2011</v>
      </c>
      <c r="F15" s="0" t="n">
        <v>1</v>
      </c>
      <c r="G15" s="38" t="n">
        <v>8517572.76</v>
      </c>
    </row>
    <row r="16" customFormat="false" ht="15" hidden="false" customHeight="false" outlineLevel="0" collapsed="false">
      <c r="A16" s="0" t="n">
        <v>15</v>
      </c>
      <c r="B16" s="0" t="s">
        <v>62</v>
      </c>
      <c r="C16" s="36" t="n">
        <v>123737</v>
      </c>
      <c r="D16" s="37" t="n">
        <v>40210</v>
      </c>
      <c r="E16" s="0" t="n">
        <v>2011</v>
      </c>
      <c r="F16" s="0" t="n">
        <v>1</v>
      </c>
      <c r="G16" s="38" t="n">
        <v>2546920.89</v>
      </c>
    </row>
    <row r="17" customFormat="false" ht="15" hidden="false" customHeight="false" outlineLevel="0" collapsed="false">
      <c r="A17" s="0" t="n">
        <v>16</v>
      </c>
      <c r="B17" s="0" t="s">
        <v>62</v>
      </c>
      <c r="C17" s="36" t="n">
        <v>57197</v>
      </c>
      <c r="D17" s="37" t="n">
        <v>40210</v>
      </c>
      <c r="E17" s="0" t="n">
        <v>2011</v>
      </c>
      <c r="F17" s="0" t="n">
        <v>1</v>
      </c>
      <c r="G17" s="38" t="n">
        <v>1853070.93</v>
      </c>
    </row>
    <row r="18" customFormat="false" ht="15" hidden="false" customHeight="false" outlineLevel="0" collapsed="false">
      <c r="A18" s="0" t="n">
        <v>17</v>
      </c>
      <c r="B18" s="0" t="s">
        <v>62</v>
      </c>
      <c r="C18" s="36" t="n">
        <v>93188</v>
      </c>
      <c r="D18" s="37" t="n">
        <v>40210</v>
      </c>
      <c r="E18" s="0" t="n">
        <v>2011</v>
      </c>
      <c r="F18" s="0" t="n">
        <v>1</v>
      </c>
      <c r="G18" s="38" t="n">
        <v>3179612.61</v>
      </c>
    </row>
    <row r="19" customFormat="false" ht="15" hidden="false" customHeight="false" outlineLevel="0" collapsed="false">
      <c r="A19" s="0" t="n">
        <v>18</v>
      </c>
      <c r="B19" s="0" t="s">
        <v>62</v>
      </c>
      <c r="C19" s="36" t="n">
        <v>120653</v>
      </c>
      <c r="D19" s="37" t="n">
        <v>40210</v>
      </c>
      <c r="E19" s="0" t="n">
        <v>2011</v>
      </c>
      <c r="F19" s="0" t="n">
        <v>1</v>
      </c>
      <c r="G19" s="38" t="n">
        <v>4604703.64</v>
      </c>
    </row>
    <row r="20" customFormat="false" ht="15" hidden="false" customHeight="false" outlineLevel="0" collapsed="false">
      <c r="A20" s="0" t="n">
        <v>19</v>
      </c>
      <c r="B20" s="0" t="s">
        <v>60</v>
      </c>
      <c r="C20" s="36" t="n">
        <v>203819</v>
      </c>
      <c r="D20" s="37" t="n">
        <v>40210</v>
      </c>
      <c r="E20" s="0" t="n">
        <v>2011</v>
      </c>
      <c r="F20" s="0" t="n">
        <v>1</v>
      </c>
      <c r="G20" s="38" t="n">
        <v>5930064.01</v>
      </c>
    </row>
    <row r="21" customFormat="false" ht="15" hidden="false" customHeight="false" outlineLevel="0" collapsed="false">
      <c r="A21" s="0" t="n">
        <v>20</v>
      </c>
      <c r="B21" s="0" t="s">
        <v>60</v>
      </c>
      <c r="C21" s="36" t="n">
        <v>203742</v>
      </c>
      <c r="D21" s="37" t="n">
        <v>40210</v>
      </c>
      <c r="E21" s="0" t="n">
        <v>2011</v>
      </c>
      <c r="F21" s="0" t="n">
        <v>1</v>
      </c>
      <c r="G21" s="38" t="n">
        <v>8489623.74</v>
      </c>
    </row>
    <row r="22" customFormat="false" ht="15" hidden="false" customHeight="false" outlineLevel="0" collapsed="false">
      <c r="A22" s="0" t="n">
        <v>21</v>
      </c>
      <c r="B22" s="0" t="s">
        <v>62</v>
      </c>
      <c r="C22" s="36" t="n">
        <v>140167</v>
      </c>
      <c r="D22" s="37" t="n">
        <v>40210</v>
      </c>
      <c r="E22" s="0" t="n">
        <v>2011</v>
      </c>
      <c r="F22" s="0" t="n">
        <v>1</v>
      </c>
      <c r="G22" s="38" t="n">
        <v>3210181.64</v>
      </c>
    </row>
    <row r="23" customFormat="false" ht="15" hidden="false" customHeight="false" outlineLevel="0" collapsed="false">
      <c r="A23" s="0" t="n">
        <v>22</v>
      </c>
      <c r="B23" s="0" t="s">
        <v>62</v>
      </c>
      <c r="C23" s="36" t="n">
        <v>119557</v>
      </c>
      <c r="D23" s="37" t="n">
        <v>40210</v>
      </c>
      <c r="E23" s="0" t="n">
        <v>2011</v>
      </c>
      <c r="F23" s="0" t="n">
        <v>1</v>
      </c>
      <c r="G23" s="38" t="n">
        <v>3937013.1</v>
      </c>
    </row>
    <row r="24" customFormat="false" ht="15" hidden="false" customHeight="false" outlineLevel="0" collapsed="false">
      <c r="A24" s="0" t="n">
        <v>23</v>
      </c>
      <c r="B24" s="0" t="s">
        <v>62</v>
      </c>
      <c r="C24" s="36" t="n">
        <v>114533</v>
      </c>
      <c r="D24" s="37" t="n">
        <v>40210</v>
      </c>
      <c r="E24" s="0" t="n">
        <v>2011</v>
      </c>
      <c r="F24" s="0" t="n">
        <v>1</v>
      </c>
      <c r="G24" s="38" t="n">
        <v>5248612.63</v>
      </c>
    </row>
    <row r="25" customFormat="false" ht="15" hidden="false" customHeight="false" outlineLevel="0" collapsed="false">
      <c r="A25" s="0" t="n">
        <v>24</v>
      </c>
      <c r="B25" s="0" t="s">
        <v>60</v>
      </c>
      <c r="C25" s="36" t="n">
        <v>203819</v>
      </c>
      <c r="D25" s="37" t="n">
        <v>40210</v>
      </c>
      <c r="E25" s="0" t="n">
        <v>2011</v>
      </c>
      <c r="F25" s="0" t="n">
        <v>1</v>
      </c>
      <c r="G25" s="38" t="n">
        <v>5353678.48</v>
      </c>
    </row>
    <row r="26" customFormat="false" ht="15" hidden="false" customHeight="false" outlineLevel="0" collapsed="false">
      <c r="A26" s="0" t="n">
        <v>25</v>
      </c>
      <c r="B26" s="0" t="s">
        <v>62</v>
      </c>
      <c r="C26" s="36" t="n">
        <v>128107</v>
      </c>
      <c r="D26" s="37" t="n">
        <v>40210</v>
      </c>
      <c r="E26" s="0" t="n">
        <v>2011</v>
      </c>
      <c r="F26" s="0" t="n">
        <v>1</v>
      </c>
      <c r="G26" s="38" t="n">
        <v>2562092.42</v>
      </c>
    </row>
    <row r="27" customFormat="false" ht="15" hidden="false" customHeight="false" outlineLevel="0" collapsed="false">
      <c r="A27" s="0" t="n">
        <v>26</v>
      </c>
      <c r="B27" s="0" t="s">
        <v>60</v>
      </c>
      <c r="C27" s="36" t="n">
        <v>152513</v>
      </c>
      <c r="D27" s="37" t="n">
        <v>40210</v>
      </c>
      <c r="E27" s="0" t="n">
        <v>2011</v>
      </c>
      <c r="F27" s="0" t="n">
        <v>1</v>
      </c>
      <c r="G27" s="38" t="n">
        <v>3896408.4</v>
      </c>
    </row>
    <row r="28" customFormat="false" ht="15" hidden="false" customHeight="false" outlineLevel="0" collapsed="false">
      <c r="A28" s="0" t="n">
        <v>27</v>
      </c>
      <c r="B28" s="0" t="s">
        <v>60</v>
      </c>
      <c r="C28" s="36" t="n">
        <v>204184</v>
      </c>
      <c r="D28" s="37" t="n">
        <v>40210</v>
      </c>
      <c r="E28" s="0" t="n">
        <v>2011</v>
      </c>
      <c r="F28" s="0" t="n">
        <v>1</v>
      </c>
      <c r="G28" s="38" t="n">
        <v>6795497.13</v>
      </c>
    </row>
    <row r="29" customFormat="false" ht="15" hidden="false" customHeight="false" outlineLevel="0" collapsed="false">
      <c r="A29" s="0" t="n">
        <v>28</v>
      </c>
      <c r="B29" s="0" t="s">
        <v>60</v>
      </c>
      <c r="C29" s="36" t="n">
        <v>206302</v>
      </c>
      <c r="D29" s="37" t="n">
        <v>40210</v>
      </c>
      <c r="E29" s="0" t="n">
        <v>2011</v>
      </c>
      <c r="F29" s="0" t="n">
        <v>1</v>
      </c>
      <c r="G29" s="38" t="n">
        <v>6246532.55</v>
      </c>
    </row>
    <row r="30" customFormat="false" ht="15" hidden="false" customHeight="false" outlineLevel="0" collapsed="false">
      <c r="A30" s="0" t="n">
        <v>29</v>
      </c>
      <c r="B30" s="0" t="s">
        <v>62</v>
      </c>
      <c r="C30" s="36" t="n">
        <v>93638</v>
      </c>
      <c r="D30" s="37" t="n">
        <v>40210</v>
      </c>
      <c r="E30" s="0" t="n">
        <v>2011</v>
      </c>
      <c r="F30" s="0" t="n">
        <v>1</v>
      </c>
      <c r="G30" s="38" t="n">
        <v>2098110.81</v>
      </c>
    </row>
    <row r="31" customFormat="false" ht="15" hidden="false" customHeight="false" outlineLevel="0" collapsed="false">
      <c r="A31" s="0" t="n">
        <v>30</v>
      </c>
      <c r="B31" s="0" t="s">
        <v>64</v>
      </c>
      <c r="C31" s="36" t="n">
        <v>42988</v>
      </c>
      <c r="D31" s="37" t="n">
        <v>40210</v>
      </c>
      <c r="E31" s="0" t="n">
        <v>2011</v>
      </c>
      <c r="F31" s="0" t="n">
        <v>1</v>
      </c>
      <c r="G31" s="38" t="n">
        <v>1900464.92</v>
      </c>
    </row>
    <row r="32" customFormat="false" ht="15" hidden="false" customHeight="false" outlineLevel="0" collapsed="false">
      <c r="A32" s="0" t="n">
        <v>31</v>
      </c>
      <c r="B32" s="0" t="s">
        <v>60</v>
      </c>
      <c r="C32" s="36" t="n">
        <v>203750</v>
      </c>
      <c r="D32" s="37" t="n">
        <v>40210</v>
      </c>
      <c r="E32" s="0" t="n">
        <v>2011</v>
      </c>
      <c r="F32" s="0" t="n">
        <v>1</v>
      </c>
      <c r="G32" s="38" t="n">
        <v>5806831.41</v>
      </c>
    </row>
    <row r="33" customFormat="false" ht="15" hidden="false" customHeight="false" outlineLevel="0" collapsed="false">
      <c r="A33" s="0" t="n">
        <v>32</v>
      </c>
      <c r="B33" s="0" t="s">
        <v>60</v>
      </c>
      <c r="C33" s="36" t="n">
        <v>203007</v>
      </c>
      <c r="D33" s="37" t="n">
        <v>40210</v>
      </c>
      <c r="E33" s="0" t="n">
        <v>2011</v>
      </c>
      <c r="F33" s="0" t="n">
        <v>1</v>
      </c>
      <c r="G33" s="38" t="n">
        <v>4340974.33</v>
      </c>
    </row>
    <row r="34" customFormat="false" ht="15" hidden="false" customHeight="false" outlineLevel="0" collapsed="false">
      <c r="A34" s="0" t="n">
        <v>33</v>
      </c>
      <c r="B34" s="0" t="s">
        <v>60</v>
      </c>
      <c r="C34" s="36" t="n">
        <v>39690</v>
      </c>
      <c r="D34" s="37" t="n">
        <v>40210</v>
      </c>
      <c r="E34" s="0" t="n">
        <v>2011</v>
      </c>
      <c r="F34" s="0" t="n">
        <v>1</v>
      </c>
      <c r="G34" s="38" t="n">
        <v>1155205.99</v>
      </c>
    </row>
    <row r="35" customFormat="false" ht="15" hidden="false" customHeight="false" outlineLevel="0" collapsed="false">
      <c r="A35" s="0" t="n">
        <v>34</v>
      </c>
      <c r="B35" s="0" t="s">
        <v>60</v>
      </c>
      <c r="C35" s="36" t="n">
        <v>158114</v>
      </c>
      <c r="D35" s="37" t="n">
        <v>40210</v>
      </c>
      <c r="E35" s="0" t="n">
        <v>2011</v>
      </c>
      <c r="F35" s="0" t="n">
        <v>1</v>
      </c>
      <c r="G35" s="38" t="n">
        <v>3829721.05</v>
      </c>
    </row>
    <row r="36" customFormat="false" ht="15" hidden="false" customHeight="false" outlineLevel="0" collapsed="false">
      <c r="A36" s="0" t="n">
        <v>35</v>
      </c>
      <c r="B36" s="0" t="s">
        <v>62</v>
      </c>
      <c r="C36" s="36" t="n">
        <v>103681</v>
      </c>
      <c r="D36" s="37" t="n">
        <v>40210</v>
      </c>
      <c r="E36" s="0" t="n">
        <v>2011</v>
      </c>
      <c r="F36" s="0" t="n">
        <v>1</v>
      </c>
      <c r="G36" s="38" t="n">
        <v>4671309.72</v>
      </c>
    </row>
    <row r="37" customFormat="false" ht="15" hidden="false" customHeight="false" outlineLevel="0" collapsed="false">
      <c r="A37" s="0" t="n">
        <v>36</v>
      </c>
      <c r="B37" s="0" t="s">
        <v>60</v>
      </c>
      <c r="C37" s="36" t="n">
        <v>39910</v>
      </c>
      <c r="D37" s="37" t="n">
        <v>40210</v>
      </c>
      <c r="E37" s="0" t="n">
        <v>2011</v>
      </c>
      <c r="F37" s="0" t="n">
        <v>1</v>
      </c>
      <c r="G37" s="38" t="n">
        <v>1858527.11</v>
      </c>
    </row>
    <row r="38" customFormat="false" ht="15" hidden="false" customHeight="false" outlineLevel="0" collapsed="false">
      <c r="A38" s="0" t="n">
        <v>37</v>
      </c>
      <c r="B38" s="0" t="s">
        <v>64</v>
      </c>
      <c r="C38" s="36" t="n">
        <v>39910</v>
      </c>
      <c r="D38" s="37" t="n">
        <v>40210</v>
      </c>
      <c r="E38" s="0" t="n">
        <v>2011</v>
      </c>
      <c r="F38" s="0" t="n">
        <v>1</v>
      </c>
      <c r="G38" s="38" t="n">
        <v>2085071.73</v>
      </c>
    </row>
    <row r="39" customFormat="false" ht="15" hidden="false" customHeight="false" outlineLevel="0" collapsed="false">
      <c r="A39" s="0" t="n">
        <v>38</v>
      </c>
      <c r="B39" s="0" t="s">
        <v>64</v>
      </c>
      <c r="C39" s="36" t="n">
        <v>39690</v>
      </c>
      <c r="D39" s="37" t="n">
        <v>40210</v>
      </c>
      <c r="E39" s="0" t="n">
        <v>2011</v>
      </c>
      <c r="F39" s="0" t="n">
        <v>1</v>
      </c>
      <c r="G39" s="38" t="n">
        <v>1366098.47</v>
      </c>
    </row>
    <row r="40" customFormat="false" ht="15" hidden="false" customHeight="false" outlineLevel="0" collapsed="false">
      <c r="A40" s="0" t="n">
        <v>39</v>
      </c>
      <c r="B40" s="0" t="s">
        <v>60</v>
      </c>
      <c r="C40" s="36" t="n">
        <v>184109</v>
      </c>
      <c r="D40" s="37" t="n">
        <v>40210</v>
      </c>
      <c r="E40" s="0" t="n">
        <v>2011</v>
      </c>
      <c r="F40" s="0" t="n">
        <v>1</v>
      </c>
      <c r="G40" s="38" t="n">
        <v>4906187.68</v>
      </c>
    </row>
    <row r="41" customFormat="false" ht="15" hidden="false" customHeight="false" outlineLevel="0" collapsed="false">
      <c r="A41" s="0" t="n">
        <v>40</v>
      </c>
      <c r="B41" s="0" t="s">
        <v>60</v>
      </c>
      <c r="C41" s="36" t="n">
        <v>155083</v>
      </c>
      <c r="D41" s="37" t="n">
        <v>40210</v>
      </c>
      <c r="E41" s="0" t="n">
        <v>2011</v>
      </c>
      <c r="F41" s="0" t="n">
        <v>1</v>
      </c>
      <c r="G41" s="38" t="n">
        <v>3734119.7</v>
      </c>
    </row>
    <row r="42" customFormat="false" ht="15" hidden="false" customHeight="false" outlineLevel="0" collapsed="false">
      <c r="A42" s="0" t="n">
        <v>41</v>
      </c>
      <c r="B42" s="0" t="s">
        <v>60</v>
      </c>
      <c r="C42" s="36" t="n">
        <v>196321</v>
      </c>
      <c r="D42" s="37" t="n">
        <v>40210</v>
      </c>
      <c r="E42" s="0" t="n">
        <v>2011</v>
      </c>
      <c r="F42" s="0" t="n">
        <v>1</v>
      </c>
      <c r="G42" s="38" t="n">
        <v>4199601.54</v>
      </c>
    </row>
    <row r="43" customFormat="false" ht="15" hidden="false" customHeight="false" outlineLevel="0" collapsed="false">
      <c r="A43" s="0" t="n">
        <v>42</v>
      </c>
      <c r="B43" s="0" t="s">
        <v>64</v>
      </c>
      <c r="C43" s="36" t="n">
        <v>39690</v>
      </c>
      <c r="D43" s="37" t="n">
        <v>40210</v>
      </c>
      <c r="E43" s="0" t="n">
        <v>2011</v>
      </c>
      <c r="F43" s="0" t="n">
        <v>1</v>
      </c>
      <c r="G43" s="38" t="n">
        <v>2122710.39</v>
      </c>
    </row>
    <row r="44" customFormat="false" ht="15" hidden="false" customHeight="false" outlineLevel="0" collapsed="false">
      <c r="A44" s="0" t="n">
        <v>43</v>
      </c>
      <c r="B44" s="0" t="s">
        <v>64</v>
      </c>
      <c r="C44" s="36" t="n">
        <v>41062</v>
      </c>
      <c r="D44" s="37" t="n">
        <v>40210</v>
      </c>
      <c r="E44" s="0" t="n">
        <v>2011</v>
      </c>
      <c r="F44" s="0" t="n">
        <v>1</v>
      </c>
      <c r="G44" s="38" t="n">
        <v>2610954.57</v>
      </c>
    </row>
    <row r="45" customFormat="false" ht="15" hidden="false" customHeight="false" outlineLevel="0" collapsed="false">
      <c r="A45" s="0" t="n">
        <v>44</v>
      </c>
      <c r="B45" s="0" t="s">
        <v>64</v>
      </c>
      <c r="C45" s="36" t="n">
        <v>39910</v>
      </c>
      <c r="D45" s="37" t="n">
        <v>40210</v>
      </c>
      <c r="E45" s="0" t="n">
        <v>2011</v>
      </c>
      <c r="F45" s="0" t="n">
        <v>1</v>
      </c>
      <c r="G45" s="38" t="n">
        <v>1109990.97</v>
      </c>
    </row>
    <row r="46" customFormat="false" ht="15" hidden="false" customHeight="false" outlineLevel="0" collapsed="false">
      <c r="A46" s="0" t="n">
        <v>45</v>
      </c>
      <c r="B46" s="0" t="s">
        <v>62</v>
      </c>
      <c r="C46" s="36" t="n">
        <v>118221</v>
      </c>
      <c r="D46" s="37" t="n">
        <v>40210</v>
      </c>
      <c r="E46" s="0" t="n">
        <v>2011</v>
      </c>
      <c r="F46" s="0" t="n">
        <v>1</v>
      </c>
      <c r="G46" s="38" t="n">
        <v>3098622.89</v>
      </c>
    </row>
    <row r="47" customFormat="false" ht="15" hidden="false" customHeight="false" outlineLevel="0" collapsed="false">
      <c r="A47" s="0" t="n">
        <v>1</v>
      </c>
      <c r="B47" s="0" t="s">
        <v>60</v>
      </c>
      <c r="C47" s="36" t="n">
        <v>151315</v>
      </c>
      <c r="D47" s="37" t="n">
        <v>40238</v>
      </c>
      <c r="E47" s="0" t="n">
        <v>2011</v>
      </c>
      <c r="F47" s="0" t="n">
        <v>2</v>
      </c>
      <c r="G47" s="38" t="n">
        <v>6566326.53</v>
      </c>
    </row>
    <row r="48" customFormat="false" ht="15" hidden="false" customHeight="false" outlineLevel="0" collapsed="false">
      <c r="A48" s="0" t="n">
        <v>2</v>
      </c>
      <c r="B48" s="0" t="s">
        <v>60</v>
      </c>
      <c r="C48" s="36" t="n">
        <v>202307</v>
      </c>
      <c r="D48" s="37" t="n">
        <v>40238</v>
      </c>
      <c r="E48" s="0" t="n">
        <v>2011</v>
      </c>
      <c r="F48" s="0" t="n">
        <v>2</v>
      </c>
      <c r="G48" s="38" t="n">
        <v>8584753.1</v>
      </c>
    </row>
    <row r="49" customFormat="false" ht="15" hidden="false" customHeight="false" outlineLevel="0" collapsed="false">
      <c r="A49" s="0" t="n">
        <v>3</v>
      </c>
      <c r="B49" s="0" t="s">
        <v>62</v>
      </c>
      <c r="C49" s="36" t="n">
        <v>37392</v>
      </c>
      <c r="D49" s="37" t="n">
        <v>40238</v>
      </c>
      <c r="E49" s="0" t="n">
        <v>2011</v>
      </c>
      <c r="F49" s="0" t="n">
        <v>2</v>
      </c>
      <c r="G49" s="38" t="n">
        <v>1718404.6</v>
      </c>
    </row>
    <row r="50" customFormat="false" ht="15" hidden="false" customHeight="false" outlineLevel="0" collapsed="false">
      <c r="A50" s="0" t="n">
        <v>4</v>
      </c>
      <c r="B50" s="0" t="s">
        <v>60</v>
      </c>
      <c r="C50" s="36" t="n">
        <v>205863</v>
      </c>
      <c r="D50" s="37" t="n">
        <v>40238</v>
      </c>
      <c r="E50" s="0" t="n">
        <v>2011</v>
      </c>
      <c r="F50" s="0" t="n">
        <v>2</v>
      </c>
      <c r="G50" s="38" t="n">
        <v>8375938.86</v>
      </c>
    </row>
    <row r="51" customFormat="false" ht="15" hidden="false" customHeight="false" outlineLevel="0" collapsed="false">
      <c r="A51" s="0" t="n">
        <v>5</v>
      </c>
      <c r="B51" s="0" t="s">
        <v>62</v>
      </c>
      <c r="C51" s="36" t="n">
        <v>34875</v>
      </c>
      <c r="D51" s="37" t="n">
        <v>40238</v>
      </c>
      <c r="E51" s="0" t="n">
        <v>2011</v>
      </c>
      <c r="F51" s="0" t="n">
        <v>2</v>
      </c>
      <c r="G51" s="38" t="n">
        <v>1295327.01</v>
      </c>
    </row>
    <row r="52" customFormat="false" ht="15" hidden="false" customHeight="false" outlineLevel="0" collapsed="false">
      <c r="A52" s="0" t="n">
        <v>6</v>
      </c>
      <c r="B52" s="0" t="s">
        <v>60</v>
      </c>
      <c r="C52" s="36" t="n">
        <v>202505</v>
      </c>
      <c r="D52" s="37" t="n">
        <v>40238</v>
      </c>
      <c r="E52" s="0" t="n">
        <v>2011</v>
      </c>
      <c r="F52" s="0" t="n">
        <v>2</v>
      </c>
      <c r="G52" s="38" t="n">
        <v>7132058.47</v>
      </c>
    </row>
    <row r="53" customFormat="false" ht="15" hidden="false" customHeight="false" outlineLevel="0" collapsed="false">
      <c r="A53" s="0" t="n">
        <v>7</v>
      </c>
      <c r="B53" s="0" t="s">
        <v>62</v>
      </c>
      <c r="C53" s="36" t="n">
        <v>70713</v>
      </c>
      <c r="D53" s="37" t="n">
        <v>40238</v>
      </c>
      <c r="E53" s="0" t="n">
        <v>2011</v>
      </c>
      <c r="F53" s="0" t="n">
        <v>2</v>
      </c>
      <c r="G53" s="38" t="n">
        <v>2321465.86</v>
      </c>
    </row>
    <row r="54" customFormat="false" ht="15" hidden="false" customHeight="false" outlineLevel="0" collapsed="false">
      <c r="A54" s="0" t="n">
        <v>8</v>
      </c>
      <c r="B54" s="0" t="s">
        <v>60</v>
      </c>
      <c r="C54" s="36" t="n">
        <v>155078</v>
      </c>
      <c r="D54" s="37" t="n">
        <v>40238</v>
      </c>
      <c r="E54" s="0" t="n">
        <v>2011</v>
      </c>
      <c r="F54" s="0" t="n">
        <v>2</v>
      </c>
      <c r="G54" s="38" t="n">
        <v>3755646.95</v>
      </c>
    </row>
    <row r="55" customFormat="false" ht="15" hidden="false" customHeight="false" outlineLevel="0" collapsed="false">
      <c r="A55" s="0" t="n">
        <v>9</v>
      </c>
      <c r="B55" s="0" t="s">
        <v>62</v>
      </c>
      <c r="C55" s="36" t="n">
        <v>125833</v>
      </c>
      <c r="D55" s="37" t="n">
        <v>40238</v>
      </c>
      <c r="E55" s="0" t="n">
        <v>2011</v>
      </c>
      <c r="F55" s="0" t="n">
        <v>2</v>
      </c>
      <c r="G55" s="38" t="n">
        <v>2216625.72</v>
      </c>
    </row>
    <row r="56" customFormat="false" ht="15" hidden="false" customHeight="false" outlineLevel="0" collapsed="false">
      <c r="A56" s="0" t="n">
        <v>10</v>
      </c>
      <c r="B56" s="0" t="s">
        <v>62</v>
      </c>
      <c r="C56" s="36" t="n">
        <v>126512</v>
      </c>
      <c r="D56" s="37" t="n">
        <v>40238</v>
      </c>
      <c r="E56" s="0" t="n">
        <v>2011</v>
      </c>
      <c r="F56" s="0" t="n">
        <v>2</v>
      </c>
      <c r="G56" s="38" t="n">
        <v>8728712.24</v>
      </c>
    </row>
    <row r="57" customFormat="false" ht="15" hidden="false" customHeight="false" outlineLevel="0" collapsed="false">
      <c r="A57" s="0" t="n">
        <v>11</v>
      </c>
      <c r="B57" s="0" t="s">
        <v>60</v>
      </c>
      <c r="C57" s="36" t="n">
        <v>207499</v>
      </c>
      <c r="D57" s="37" t="n">
        <v>40238</v>
      </c>
      <c r="E57" s="0" t="n">
        <v>2011</v>
      </c>
      <c r="F57" s="0" t="n">
        <v>2</v>
      </c>
      <c r="G57" s="38" t="n">
        <v>5993737.95</v>
      </c>
    </row>
    <row r="58" customFormat="false" ht="15" hidden="false" customHeight="false" outlineLevel="0" collapsed="false">
      <c r="A58" s="0" t="n">
        <v>12</v>
      </c>
      <c r="B58" s="0" t="s">
        <v>62</v>
      </c>
      <c r="C58" s="36" t="n">
        <v>112238</v>
      </c>
      <c r="D58" s="37" t="n">
        <v>40238</v>
      </c>
      <c r="E58" s="0" t="n">
        <v>2011</v>
      </c>
      <c r="F58" s="0" t="n">
        <v>2</v>
      </c>
      <c r="G58" s="38" t="n">
        <v>4431327.33</v>
      </c>
    </row>
    <row r="59" customFormat="false" ht="15" hidden="false" customHeight="false" outlineLevel="0" collapsed="false">
      <c r="A59" s="0" t="n">
        <v>13</v>
      </c>
      <c r="B59" s="0" t="s">
        <v>60</v>
      </c>
      <c r="C59" s="36" t="n">
        <v>219622</v>
      </c>
      <c r="D59" s="37" t="n">
        <v>40238</v>
      </c>
      <c r="E59" s="0" t="n">
        <v>2011</v>
      </c>
      <c r="F59" s="0" t="n">
        <v>2</v>
      </c>
      <c r="G59" s="38" t="n">
        <v>8518622.51</v>
      </c>
    </row>
    <row r="60" customFormat="false" ht="15" hidden="false" customHeight="false" outlineLevel="0" collapsed="false">
      <c r="A60" s="0" t="n">
        <v>14</v>
      </c>
      <c r="B60" s="0" t="s">
        <v>60</v>
      </c>
      <c r="C60" s="36" t="n">
        <v>200898</v>
      </c>
      <c r="D60" s="37" t="n">
        <v>40238</v>
      </c>
      <c r="E60" s="0" t="n">
        <v>2011</v>
      </c>
      <c r="F60" s="0" t="n">
        <v>2</v>
      </c>
      <c r="G60" s="38" t="n">
        <v>9653490.14</v>
      </c>
    </row>
    <row r="61" customFormat="false" ht="15" hidden="false" customHeight="false" outlineLevel="0" collapsed="false">
      <c r="A61" s="0" t="n">
        <v>15</v>
      </c>
      <c r="B61" s="0" t="s">
        <v>62</v>
      </c>
      <c r="C61" s="36" t="n">
        <v>123737</v>
      </c>
      <c r="D61" s="37" t="n">
        <v>40238</v>
      </c>
      <c r="E61" s="0" t="n">
        <v>2011</v>
      </c>
      <c r="F61" s="0" t="n">
        <v>2</v>
      </c>
      <c r="G61" s="38" t="n">
        <v>2735564.43</v>
      </c>
    </row>
    <row r="62" customFormat="false" ht="15" hidden="false" customHeight="false" outlineLevel="0" collapsed="false">
      <c r="A62" s="0" t="n">
        <v>16</v>
      </c>
      <c r="B62" s="0" t="s">
        <v>62</v>
      </c>
      <c r="C62" s="36" t="n">
        <v>57197</v>
      </c>
      <c r="D62" s="37" t="n">
        <v>40238</v>
      </c>
      <c r="E62" s="0" t="n">
        <v>2011</v>
      </c>
      <c r="F62" s="0" t="n">
        <v>2</v>
      </c>
      <c r="G62" s="38" t="n">
        <v>2100510.79</v>
      </c>
    </row>
    <row r="63" customFormat="false" ht="15" hidden="false" customHeight="false" outlineLevel="0" collapsed="false">
      <c r="A63" s="0" t="n">
        <v>17</v>
      </c>
      <c r="B63" s="0" t="s">
        <v>62</v>
      </c>
      <c r="C63" s="36" t="n">
        <v>93188</v>
      </c>
      <c r="D63" s="37" t="n">
        <v>40238</v>
      </c>
      <c r="E63" s="0" t="n">
        <v>2011</v>
      </c>
      <c r="F63" s="0" t="n">
        <v>2</v>
      </c>
      <c r="G63" s="38" t="n">
        <v>3474680.57</v>
      </c>
    </row>
    <row r="64" customFormat="false" ht="15" hidden="false" customHeight="false" outlineLevel="0" collapsed="false">
      <c r="A64" s="0" t="n">
        <v>18</v>
      </c>
      <c r="B64" s="0" t="s">
        <v>62</v>
      </c>
      <c r="C64" s="36" t="n">
        <v>120653</v>
      </c>
      <c r="D64" s="37" t="n">
        <v>40238</v>
      </c>
      <c r="E64" s="0" t="n">
        <v>2011</v>
      </c>
      <c r="F64" s="0" t="n">
        <v>2</v>
      </c>
      <c r="G64" s="38" t="n">
        <v>5057473.6</v>
      </c>
    </row>
    <row r="65" customFormat="false" ht="15" hidden="false" customHeight="false" outlineLevel="0" collapsed="false">
      <c r="A65" s="0" t="n">
        <v>19</v>
      </c>
      <c r="B65" s="0" t="s">
        <v>60</v>
      </c>
      <c r="C65" s="36" t="n">
        <v>203819</v>
      </c>
      <c r="D65" s="37" t="n">
        <v>40238</v>
      </c>
      <c r="E65" s="0" t="n">
        <v>2011</v>
      </c>
      <c r="F65" s="0" t="n">
        <v>2</v>
      </c>
      <c r="G65" s="38" t="n">
        <v>6469863.57</v>
      </c>
    </row>
    <row r="66" customFormat="false" ht="15" hidden="false" customHeight="false" outlineLevel="0" collapsed="false">
      <c r="A66" s="0" t="n">
        <v>20</v>
      </c>
      <c r="B66" s="0" t="s">
        <v>60</v>
      </c>
      <c r="C66" s="36" t="n">
        <v>203742</v>
      </c>
      <c r="D66" s="37" t="n">
        <v>40238</v>
      </c>
      <c r="E66" s="0" t="n">
        <v>2011</v>
      </c>
      <c r="F66" s="0" t="n">
        <v>2</v>
      </c>
      <c r="G66" s="38" t="n">
        <v>9089429.75</v>
      </c>
    </row>
    <row r="67" customFormat="false" ht="15" hidden="false" customHeight="false" outlineLevel="0" collapsed="false">
      <c r="A67" s="0" t="n">
        <v>21</v>
      </c>
      <c r="B67" s="0" t="s">
        <v>62</v>
      </c>
      <c r="C67" s="36" t="n">
        <v>140167</v>
      </c>
      <c r="D67" s="37" t="n">
        <v>40238</v>
      </c>
      <c r="E67" s="0" t="n">
        <v>2011</v>
      </c>
      <c r="F67" s="0" t="n">
        <v>2</v>
      </c>
      <c r="G67" s="38" t="n">
        <v>3198100.77</v>
      </c>
    </row>
    <row r="68" customFormat="false" ht="15" hidden="false" customHeight="false" outlineLevel="0" collapsed="false">
      <c r="A68" s="0" t="n">
        <v>22</v>
      </c>
      <c r="B68" s="0" t="s">
        <v>62</v>
      </c>
      <c r="C68" s="36" t="n">
        <v>119557</v>
      </c>
      <c r="D68" s="37" t="n">
        <v>40238</v>
      </c>
      <c r="E68" s="0" t="n">
        <v>2011</v>
      </c>
      <c r="F68" s="0" t="n">
        <v>2</v>
      </c>
      <c r="G68" s="38" t="n">
        <v>4507223.45</v>
      </c>
    </row>
    <row r="69" customFormat="false" ht="15" hidden="false" customHeight="false" outlineLevel="0" collapsed="false">
      <c r="A69" s="0" t="n">
        <v>23</v>
      </c>
      <c r="B69" s="0" t="s">
        <v>62</v>
      </c>
      <c r="C69" s="36" t="n">
        <v>114533</v>
      </c>
      <c r="D69" s="37" t="n">
        <v>40238</v>
      </c>
      <c r="E69" s="0" t="n">
        <v>2011</v>
      </c>
      <c r="F69" s="0" t="n">
        <v>2</v>
      </c>
      <c r="G69" s="38" t="n">
        <v>5996224.2</v>
      </c>
    </row>
    <row r="70" customFormat="false" ht="15" hidden="false" customHeight="false" outlineLevel="0" collapsed="false">
      <c r="A70" s="0" t="n">
        <v>24</v>
      </c>
      <c r="B70" s="0" t="s">
        <v>60</v>
      </c>
      <c r="C70" s="36" t="n">
        <v>203819</v>
      </c>
      <c r="D70" s="37" t="n">
        <v>40238</v>
      </c>
      <c r="E70" s="0" t="n">
        <v>2011</v>
      </c>
      <c r="F70" s="0" t="n">
        <v>2</v>
      </c>
      <c r="G70" s="38" t="n">
        <v>5854954.88</v>
      </c>
    </row>
    <row r="71" customFormat="false" ht="15" hidden="false" customHeight="false" outlineLevel="0" collapsed="false">
      <c r="A71" s="0" t="n">
        <v>25</v>
      </c>
      <c r="B71" s="0" t="s">
        <v>62</v>
      </c>
      <c r="C71" s="36" t="n">
        <v>128107</v>
      </c>
      <c r="D71" s="37" t="n">
        <v>40238</v>
      </c>
      <c r="E71" s="0" t="n">
        <v>2011</v>
      </c>
      <c r="F71" s="0" t="n">
        <v>2</v>
      </c>
      <c r="G71" s="38" t="n">
        <v>3080129.44</v>
      </c>
    </row>
    <row r="72" customFormat="false" ht="15" hidden="false" customHeight="false" outlineLevel="0" collapsed="false">
      <c r="A72" s="0" t="n">
        <v>26</v>
      </c>
      <c r="B72" s="0" t="s">
        <v>60</v>
      </c>
      <c r="C72" s="36" t="n">
        <v>152513</v>
      </c>
      <c r="D72" s="37" t="n">
        <v>40238</v>
      </c>
      <c r="E72" s="0" t="n">
        <v>2011</v>
      </c>
      <c r="F72" s="0" t="n">
        <v>2</v>
      </c>
      <c r="G72" s="38" t="n">
        <v>4214303.59</v>
      </c>
    </row>
    <row r="73" customFormat="false" ht="15" hidden="false" customHeight="false" outlineLevel="0" collapsed="false">
      <c r="A73" s="0" t="n">
        <v>27</v>
      </c>
      <c r="B73" s="0" t="s">
        <v>60</v>
      </c>
      <c r="C73" s="36" t="n">
        <v>204184</v>
      </c>
      <c r="D73" s="37" t="n">
        <v>40238</v>
      </c>
      <c r="E73" s="0" t="n">
        <v>2011</v>
      </c>
      <c r="F73" s="0" t="n">
        <v>2</v>
      </c>
      <c r="G73" s="38" t="n">
        <v>7867943.59</v>
      </c>
    </row>
    <row r="74" customFormat="false" ht="15" hidden="false" customHeight="false" outlineLevel="0" collapsed="false">
      <c r="A74" s="0" t="n">
        <v>28</v>
      </c>
      <c r="B74" s="0" t="s">
        <v>60</v>
      </c>
      <c r="C74" s="36" t="n">
        <v>206302</v>
      </c>
      <c r="D74" s="37" t="n">
        <v>40238</v>
      </c>
      <c r="E74" s="0" t="n">
        <v>2011</v>
      </c>
      <c r="F74" s="0" t="n">
        <v>2</v>
      </c>
      <c r="G74" s="38" t="n">
        <v>6030533.09</v>
      </c>
    </row>
    <row r="75" customFormat="false" ht="15" hidden="false" customHeight="false" outlineLevel="0" collapsed="false">
      <c r="A75" s="0" t="n">
        <v>29</v>
      </c>
      <c r="B75" s="0" t="s">
        <v>62</v>
      </c>
      <c r="C75" s="36" t="n">
        <v>93638</v>
      </c>
      <c r="D75" s="37" t="n">
        <v>40238</v>
      </c>
      <c r="E75" s="0" t="n">
        <v>2011</v>
      </c>
      <c r="F75" s="0" t="n">
        <v>2</v>
      </c>
      <c r="G75" s="38" t="n">
        <v>2379391.69</v>
      </c>
    </row>
    <row r="76" customFormat="false" ht="15" hidden="false" customHeight="false" outlineLevel="0" collapsed="false">
      <c r="A76" s="0" t="n">
        <v>30</v>
      </c>
      <c r="B76" s="0" t="s">
        <v>64</v>
      </c>
      <c r="C76" s="36" t="n">
        <v>42988</v>
      </c>
      <c r="D76" s="37" t="n">
        <v>40238</v>
      </c>
      <c r="E76" s="0" t="n">
        <v>2011</v>
      </c>
      <c r="F76" s="0" t="n">
        <v>2</v>
      </c>
      <c r="G76" s="38" t="n">
        <v>2021008.7</v>
      </c>
    </row>
    <row r="77" customFormat="false" ht="15" hidden="false" customHeight="false" outlineLevel="0" collapsed="false">
      <c r="A77" s="0" t="n">
        <v>31</v>
      </c>
      <c r="B77" s="0" t="s">
        <v>60</v>
      </c>
      <c r="C77" s="36" t="n">
        <v>203750</v>
      </c>
      <c r="D77" s="37" t="n">
        <v>40238</v>
      </c>
      <c r="E77" s="0" t="n">
        <v>2011</v>
      </c>
      <c r="F77" s="0" t="n">
        <v>2</v>
      </c>
      <c r="G77" s="38" t="n">
        <v>5886998.1</v>
      </c>
    </row>
    <row r="78" customFormat="false" ht="15" hidden="false" customHeight="false" outlineLevel="0" collapsed="false">
      <c r="A78" s="0" t="n">
        <v>32</v>
      </c>
      <c r="B78" s="0" t="s">
        <v>60</v>
      </c>
      <c r="C78" s="36" t="n">
        <v>203007</v>
      </c>
      <c r="D78" s="37" t="n">
        <v>40238</v>
      </c>
      <c r="E78" s="0" t="n">
        <v>2011</v>
      </c>
      <c r="F78" s="0" t="n">
        <v>2</v>
      </c>
      <c r="G78" s="38" t="n">
        <v>4799336.79</v>
      </c>
    </row>
    <row r="79" customFormat="false" ht="15" hidden="false" customHeight="false" outlineLevel="0" collapsed="false">
      <c r="A79" s="0" t="n">
        <v>33</v>
      </c>
      <c r="B79" s="0" t="s">
        <v>60</v>
      </c>
      <c r="C79" s="36" t="n">
        <v>39690</v>
      </c>
      <c r="D79" s="37" t="n">
        <v>40238</v>
      </c>
      <c r="E79" s="0" t="n">
        <v>2011</v>
      </c>
      <c r="F79" s="0" t="n">
        <v>2</v>
      </c>
      <c r="G79" s="38" t="n">
        <v>1261661.49</v>
      </c>
    </row>
    <row r="80" customFormat="false" ht="15" hidden="false" customHeight="false" outlineLevel="0" collapsed="false">
      <c r="A80" s="0" t="n">
        <v>34</v>
      </c>
      <c r="B80" s="0" t="s">
        <v>60</v>
      </c>
      <c r="C80" s="36" t="n">
        <v>158114</v>
      </c>
      <c r="D80" s="37" t="n">
        <v>40238</v>
      </c>
      <c r="E80" s="0" t="n">
        <v>2011</v>
      </c>
      <c r="F80" s="0" t="n">
        <v>2</v>
      </c>
      <c r="G80" s="38" t="n">
        <v>4049578.47</v>
      </c>
    </row>
    <row r="81" customFormat="false" ht="15" hidden="false" customHeight="false" outlineLevel="0" collapsed="false">
      <c r="A81" s="0" t="n">
        <v>35</v>
      </c>
      <c r="B81" s="0" t="s">
        <v>62</v>
      </c>
      <c r="C81" s="36" t="n">
        <v>103681</v>
      </c>
      <c r="D81" s="37" t="n">
        <v>40238</v>
      </c>
      <c r="E81" s="0" t="n">
        <v>2011</v>
      </c>
      <c r="F81" s="0" t="n">
        <v>2</v>
      </c>
      <c r="G81" s="38" t="n">
        <v>5026899.99</v>
      </c>
    </row>
    <row r="82" customFormat="false" ht="15" hidden="false" customHeight="false" outlineLevel="0" collapsed="false">
      <c r="A82" s="0" t="n">
        <v>36</v>
      </c>
      <c r="B82" s="0" t="s">
        <v>60</v>
      </c>
      <c r="C82" s="36" t="n">
        <v>39910</v>
      </c>
      <c r="D82" s="37" t="n">
        <v>40238</v>
      </c>
      <c r="E82" s="0" t="n">
        <v>2011</v>
      </c>
      <c r="F82" s="0" t="n">
        <v>2</v>
      </c>
      <c r="G82" s="38" t="n">
        <v>1929136.3</v>
      </c>
    </row>
    <row r="83" customFormat="false" ht="15" hidden="false" customHeight="false" outlineLevel="0" collapsed="false">
      <c r="A83" s="0" t="n">
        <v>37</v>
      </c>
      <c r="B83" s="0" t="s">
        <v>64</v>
      </c>
      <c r="C83" s="36" t="n">
        <v>39910</v>
      </c>
      <c r="D83" s="37" t="n">
        <v>40238</v>
      </c>
      <c r="E83" s="0" t="n">
        <v>2011</v>
      </c>
      <c r="F83" s="0" t="n">
        <v>2</v>
      </c>
      <c r="G83" s="38" t="n">
        <v>2245560.77</v>
      </c>
    </row>
    <row r="84" customFormat="false" ht="15" hidden="false" customHeight="false" outlineLevel="0" collapsed="false">
      <c r="A84" s="0" t="n">
        <v>38</v>
      </c>
      <c r="B84" s="0" t="s">
        <v>64</v>
      </c>
      <c r="C84" s="36" t="n">
        <v>39690</v>
      </c>
      <c r="D84" s="37" t="n">
        <v>40238</v>
      </c>
      <c r="E84" s="0" t="n">
        <v>2011</v>
      </c>
      <c r="F84" s="0" t="n">
        <v>2</v>
      </c>
      <c r="G84" s="38" t="n">
        <v>1540314.25</v>
      </c>
    </row>
    <row r="85" customFormat="false" ht="15" hidden="false" customHeight="false" outlineLevel="0" collapsed="false">
      <c r="A85" s="0" t="n">
        <v>39</v>
      </c>
      <c r="B85" s="0" t="s">
        <v>60</v>
      </c>
      <c r="C85" s="36" t="n">
        <v>184109</v>
      </c>
      <c r="D85" s="37" t="n">
        <v>40238</v>
      </c>
      <c r="E85" s="0" t="n">
        <v>2011</v>
      </c>
      <c r="F85" s="0" t="n">
        <v>2</v>
      </c>
      <c r="G85" s="38" t="n">
        <v>5731217.2</v>
      </c>
    </row>
    <row r="86" customFormat="false" ht="15" hidden="false" customHeight="false" outlineLevel="0" collapsed="false">
      <c r="A86" s="0" t="n">
        <v>40</v>
      </c>
      <c r="B86" s="0" t="s">
        <v>60</v>
      </c>
      <c r="C86" s="36" t="n">
        <v>155083</v>
      </c>
      <c r="D86" s="37" t="n">
        <v>40238</v>
      </c>
      <c r="E86" s="0" t="n">
        <v>2011</v>
      </c>
      <c r="F86" s="0" t="n">
        <v>2</v>
      </c>
      <c r="G86" s="38" t="n">
        <v>4118539.72</v>
      </c>
    </row>
    <row r="87" customFormat="false" ht="15" hidden="false" customHeight="false" outlineLevel="0" collapsed="false">
      <c r="A87" s="0" t="n">
        <v>41</v>
      </c>
      <c r="B87" s="0" t="s">
        <v>60</v>
      </c>
      <c r="C87" s="36" t="n">
        <v>196321</v>
      </c>
      <c r="D87" s="37" t="n">
        <v>40238</v>
      </c>
      <c r="E87" s="0" t="n">
        <v>2011</v>
      </c>
      <c r="F87" s="0" t="n">
        <v>2</v>
      </c>
      <c r="G87" s="38" t="n">
        <v>4640351.79</v>
      </c>
    </row>
    <row r="88" customFormat="false" ht="15" hidden="false" customHeight="false" outlineLevel="0" collapsed="false">
      <c r="A88" s="0" t="n">
        <v>42</v>
      </c>
      <c r="B88" s="0" t="s">
        <v>64</v>
      </c>
      <c r="C88" s="36" t="n">
        <v>39690</v>
      </c>
      <c r="D88" s="37" t="n">
        <v>40238</v>
      </c>
      <c r="E88" s="0" t="n">
        <v>2011</v>
      </c>
      <c r="F88" s="0" t="n">
        <v>2</v>
      </c>
      <c r="G88" s="38" t="n">
        <v>2344070.72</v>
      </c>
    </row>
    <row r="89" customFormat="false" ht="15" hidden="false" customHeight="false" outlineLevel="0" collapsed="false">
      <c r="A89" s="0" t="n">
        <v>43</v>
      </c>
      <c r="B89" s="0" t="s">
        <v>64</v>
      </c>
      <c r="C89" s="36" t="n">
        <v>41062</v>
      </c>
      <c r="D89" s="37" t="n">
        <v>40238</v>
      </c>
      <c r="E89" s="0" t="n">
        <v>2011</v>
      </c>
      <c r="F89" s="0" t="n">
        <v>2</v>
      </c>
      <c r="G89" s="38" t="n">
        <v>2871371.14</v>
      </c>
    </row>
    <row r="90" customFormat="false" ht="15" hidden="false" customHeight="false" outlineLevel="0" collapsed="false">
      <c r="A90" s="0" t="n">
        <v>44</v>
      </c>
      <c r="B90" s="0" t="s">
        <v>64</v>
      </c>
      <c r="C90" s="36" t="n">
        <v>39910</v>
      </c>
      <c r="D90" s="37" t="n">
        <v>40238</v>
      </c>
      <c r="E90" s="0" t="n">
        <v>2011</v>
      </c>
      <c r="F90" s="0" t="n">
        <v>2</v>
      </c>
      <c r="G90" s="38" t="n">
        <v>1225819.33</v>
      </c>
    </row>
    <row r="91" customFormat="false" ht="15" hidden="false" customHeight="false" outlineLevel="0" collapsed="false">
      <c r="A91" s="0" t="n">
        <v>45</v>
      </c>
      <c r="B91" s="0" t="s">
        <v>62</v>
      </c>
      <c r="C91" s="36" t="n">
        <v>118221</v>
      </c>
      <c r="D91" s="37" t="n">
        <v>40238</v>
      </c>
      <c r="E91" s="0" t="n">
        <v>2011</v>
      </c>
      <c r="F91" s="0" t="n">
        <v>2</v>
      </c>
      <c r="G91" s="38" t="n">
        <v>3504346.83</v>
      </c>
    </row>
    <row r="92" customFormat="false" ht="15" hidden="false" customHeight="false" outlineLevel="0" collapsed="false">
      <c r="A92" s="0" t="n">
        <v>1</v>
      </c>
      <c r="B92" s="0" t="s">
        <v>60</v>
      </c>
      <c r="C92" s="36" t="n">
        <v>151315</v>
      </c>
      <c r="D92" s="37" t="n">
        <v>40269</v>
      </c>
      <c r="E92" s="0" t="n">
        <v>2011</v>
      </c>
      <c r="F92" s="0" t="n">
        <v>3</v>
      </c>
      <c r="G92" s="38" t="n">
        <v>6283538.87</v>
      </c>
    </row>
    <row r="93" customFormat="false" ht="15" hidden="false" customHeight="false" outlineLevel="0" collapsed="false">
      <c r="A93" s="0" t="n">
        <v>2</v>
      </c>
      <c r="B93" s="0" t="s">
        <v>60</v>
      </c>
      <c r="C93" s="36" t="n">
        <v>202307</v>
      </c>
      <c r="D93" s="37" t="n">
        <v>40269</v>
      </c>
      <c r="E93" s="0" t="n">
        <v>2011</v>
      </c>
      <c r="F93" s="0" t="n">
        <v>3</v>
      </c>
      <c r="G93" s="38" t="n">
        <v>8044427.69</v>
      </c>
    </row>
    <row r="94" customFormat="false" ht="15" hidden="false" customHeight="false" outlineLevel="0" collapsed="false">
      <c r="A94" s="0" t="n">
        <v>3</v>
      </c>
      <c r="B94" s="0" t="s">
        <v>62</v>
      </c>
      <c r="C94" s="36" t="n">
        <v>37392</v>
      </c>
      <c r="D94" s="37" t="n">
        <v>40269</v>
      </c>
      <c r="E94" s="0" t="n">
        <v>2011</v>
      </c>
      <c r="F94" s="0" t="n">
        <v>3</v>
      </c>
      <c r="G94" s="38" t="n">
        <v>1593029.86</v>
      </c>
    </row>
    <row r="95" customFormat="false" ht="15" hidden="false" customHeight="false" outlineLevel="0" collapsed="false">
      <c r="A95" s="0" t="n">
        <v>4</v>
      </c>
      <c r="B95" s="0" t="s">
        <v>60</v>
      </c>
      <c r="C95" s="36" t="n">
        <v>205863</v>
      </c>
      <c r="D95" s="37" t="n">
        <v>40269</v>
      </c>
      <c r="E95" s="0" t="n">
        <v>2011</v>
      </c>
      <c r="F95" s="0" t="n">
        <v>3</v>
      </c>
      <c r="G95" s="38" t="n">
        <v>7855422.8</v>
      </c>
    </row>
    <row r="96" customFormat="false" ht="15" hidden="false" customHeight="false" outlineLevel="0" collapsed="false">
      <c r="A96" s="0" t="n">
        <v>5</v>
      </c>
      <c r="B96" s="0" t="s">
        <v>62</v>
      </c>
      <c r="C96" s="36" t="n">
        <v>34875</v>
      </c>
      <c r="D96" s="37" t="n">
        <v>40269</v>
      </c>
      <c r="E96" s="0" t="n">
        <v>2011</v>
      </c>
      <c r="F96" s="0" t="n">
        <v>3</v>
      </c>
      <c r="G96" s="38" t="n">
        <v>1317104.15</v>
      </c>
    </row>
    <row r="97" customFormat="false" ht="15" hidden="false" customHeight="false" outlineLevel="0" collapsed="false">
      <c r="A97" s="0" t="n">
        <v>6</v>
      </c>
      <c r="B97" s="0" t="s">
        <v>60</v>
      </c>
      <c r="C97" s="36" t="n">
        <v>202505</v>
      </c>
      <c r="D97" s="37" t="n">
        <v>40269</v>
      </c>
      <c r="E97" s="0" t="n">
        <v>2011</v>
      </c>
      <c r="F97" s="0" t="n">
        <v>3</v>
      </c>
      <c r="G97" s="38" t="n">
        <v>6731354.01</v>
      </c>
    </row>
    <row r="98" customFormat="false" ht="15" hidden="false" customHeight="false" outlineLevel="0" collapsed="false">
      <c r="A98" s="0" t="n">
        <v>7</v>
      </c>
      <c r="B98" s="0" t="s">
        <v>62</v>
      </c>
      <c r="C98" s="36" t="n">
        <v>70713</v>
      </c>
      <c r="D98" s="37" t="n">
        <v>40269</v>
      </c>
      <c r="E98" s="0" t="n">
        <v>2011</v>
      </c>
      <c r="F98" s="0" t="n">
        <v>3</v>
      </c>
      <c r="G98" s="38" t="n">
        <v>1829225.47</v>
      </c>
    </row>
    <row r="99" customFormat="false" ht="15" hidden="false" customHeight="false" outlineLevel="0" collapsed="false">
      <c r="A99" s="0" t="n">
        <v>8</v>
      </c>
      <c r="B99" s="0" t="s">
        <v>60</v>
      </c>
      <c r="C99" s="36" t="n">
        <v>155078</v>
      </c>
      <c r="D99" s="37" t="n">
        <v>40269</v>
      </c>
      <c r="E99" s="0" t="n">
        <v>2011</v>
      </c>
      <c r="F99" s="0" t="n">
        <v>3</v>
      </c>
      <c r="G99" s="38" t="n">
        <v>3689349.92</v>
      </c>
    </row>
    <row r="100" customFormat="false" ht="15" hidden="false" customHeight="false" outlineLevel="0" collapsed="false">
      <c r="A100" s="0" t="n">
        <v>9</v>
      </c>
      <c r="B100" s="0" t="s">
        <v>62</v>
      </c>
      <c r="C100" s="36" t="n">
        <v>125833</v>
      </c>
      <c r="D100" s="37" t="n">
        <v>40269</v>
      </c>
      <c r="E100" s="0" t="n">
        <v>2011</v>
      </c>
      <c r="F100" s="0" t="n">
        <v>3</v>
      </c>
      <c r="G100" s="38" t="n">
        <v>2151328.86</v>
      </c>
    </row>
    <row r="101" customFormat="false" ht="15" hidden="false" customHeight="false" outlineLevel="0" collapsed="false">
      <c r="A101" s="0" t="n">
        <v>10</v>
      </c>
      <c r="B101" s="0" t="s">
        <v>62</v>
      </c>
      <c r="C101" s="36" t="n">
        <v>126512</v>
      </c>
      <c r="D101" s="37" t="n">
        <v>40269</v>
      </c>
      <c r="E101" s="0" t="n">
        <v>2011</v>
      </c>
      <c r="F101" s="0" t="n">
        <v>3</v>
      </c>
      <c r="G101" s="38" t="n">
        <v>8098570.63</v>
      </c>
    </row>
    <row r="102" customFormat="false" ht="15" hidden="false" customHeight="false" outlineLevel="0" collapsed="false">
      <c r="A102" s="0" t="n">
        <v>11</v>
      </c>
      <c r="B102" s="0" t="s">
        <v>60</v>
      </c>
      <c r="C102" s="36" t="n">
        <v>207499</v>
      </c>
      <c r="D102" s="37" t="n">
        <v>40269</v>
      </c>
      <c r="E102" s="0" t="n">
        <v>2011</v>
      </c>
      <c r="F102" s="0" t="n">
        <v>3</v>
      </c>
      <c r="G102" s="38" t="n">
        <v>5730288.05</v>
      </c>
    </row>
    <row r="103" customFormat="false" ht="15" hidden="false" customHeight="false" outlineLevel="0" collapsed="false">
      <c r="A103" s="0" t="n">
        <v>12</v>
      </c>
      <c r="B103" s="0" t="s">
        <v>62</v>
      </c>
      <c r="C103" s="36" t="n">
        <v>112238</v>
      </c>
      <c r="D103" s="37" t="n">
        <v>40269</v>
      </c>
      <c r="E103" s="0" t="n">
        <v>2011</v>
      </c>
      <c r="F103" s="0" t="n">
        <v>3</v>
      </c>
      <c r="G103" s="38" t="n">
        <v>4236382.11</v>
      </c>
    </row>
    <row r="104" customFormat="false" ht="15" hidden="false" customHeight="false" outlineLevel="0" collapsed="false">
      <c r="A104" s="0" t="n">
        <v>13</v>
      </c>
      <c r="B104" s="0" t="s">
        <v>60</v>
      </c>
      <c r="C104" s="36" t="n">
        <v>219622</v>
      </c>
      <c r="D104" s="37" t="n">
        <v>40269</v>
      </c>
      <c r="E104" s="0" t="n">
        <v>2011</v>
      </c>
      <c r="F104" s="0" t="n">
        <v>3</v>
      </c>
      <c r="G104" s="38" t="n">
        <v>8025273.7</v>
      </c>
    </row>
    <row r="105" customFormat="false" ht="15" hidden="false" customHeight="false" outlineLevel="0" collapsed="false">
      <c r="A105" s="0" t="n">
        <v>14</v>
      </c>
      <c r="B105" s="0" t="s">
        <v>60</v>
      </c>
      <c r="C105" s="36" t="n">
        <v>200898</v>
      </c>
      <c r="D105" s="37" t="n">
        <v>40269</v>
      </c>
      <c r="E105" s="0" t="n">
        <v>2011</v>
      </c>
      <c r="F105" s="0" t="n">
        <v>3</v>
      </c>
      <c r="G105" s="38" t="n">
        <v>9314107.19</v>
      </c>
    </row>
    <row r="106" customFormat="false" ht="15" hidden="false" customHeight="false" outlineLevel="0" collapsed="false">
      <c r="A106" s="0" t="n">
        <v>15</v>
      </c>
      <c r="B106" s="0" t="s">
        <v>62</v>
      </c>
      <c r="C106" s="36" t="n">
        <v>123737</v>
      </c>
      <c r="D106" s="37" t="n">
        <v>40269</v>
      </c>
      <c r="E106" s="0" t="n">
        <v>2011</v>
      </c>
      <c r="F106" s="0" t="n">
        <v>3</v>
      </c>
      <c r="G106" s="38" t="n">
        <v>2694980.45</v>
      </c>
    </row>
    <row r="107" customFormat="false" ht="15" hidden="false" customHeight="false" outlineLevel="0" collapsed="false">
      <c r="A107" s="0" t="n">
        <v>16</v>
      </c>
      <c r="B107" s="0" t="s">
        <v>62</v>
      </c>
      <c r="C107" s="36" t="n">
        <v>57197</v>
      </c>
      <c r="D107" s="37" t="n">
        <v>40269</v>
      </c>
      <c r="E107" s="0" t="n">
        <v>2011</v>
      </c>
      <c r="F107" s="0" t="n">
        <v>3</v>
      </c>
      <c r="G107" s="38" t="n">
        <v>1754322.2</v>
      </c>
    </row>
    <row r="108" customFormat="false" ht="15" hidden="false" customHeight="false" outlineLevel="0" collapsed="false">
      <c r="A108" s="0" t="n">
        <v>17</v>
      </c>
      <c r="B108" s="0" t="s">
        <v>62</v>
      </c>
      <c r="C108" s="36" t="n">
        <v>93188</v>
      </c>
      <c r="D108" s="37" t="n">
        <v>40269</v>
      </c>
      <c r="E108" s="0" t="n">
        <v>2011</v>
      </c>
      <c r="F108" s="0" t="n">
        <v>3</v>
      </c>
      <c r="G108" s="38" t="n">
        <v>3555990.99</v>
      </c>
    </row>
    <row r="109" customFormat="false" ht="15" hidden="false" customHeight="false" outlineLevel="0" collapsed="false">
      <c r="A109" s="0" t="n">
        <v>18</v>
      </c>
      <c r="B109" s="0" t="s">
        <v>62</v>
      </c>
      <c r="C109" s="36" t="n">
        <v>120653</v>
      </c>
      <c r="D109" s="37" t="n">
        <v>40269</v>
      </c>
      <c r="E109" s="0" t="n">
        <v>2011</v>
      </c>
      <c r="F109" s="0" t="n">
        <v>3</v>
      </c>
      <c r="G109" s="38" t="n">
        <v>4861221.44</v>
      </c>
    </row>
    <row r="110" customFormat="false" ht="15" hidden="false" customHeight="false" outlineLevel="0" collapsed="false">
      <c r="A110" s="0" t="n">
        <v>19</v>
      </c>
      <c r="B110" s="0" t="s">
        <v>60</v>
      </c>
      <c r="C110" s="36" t="n">
        <v>203819</v>
      </c>
      <c r="D110" s="37" t="n">
        <v>40269</v>
      </c>
      <c r="E110" s="0" t="n">
        <v>2011</v>
      </c>
      <c r="F110" s="0" t="n">
        <v>3</v>
      </c>
      <c r="G110" s="38" t="n">
        <v>6281246.95</v>
      </c>
    </row>
    <row r="111" customFormat="false" ht="15" hidden="false" customHeight="false" outlineLevel="0" collapsed="false">
      <c r="A111" s="0" t="n">
        <v>20</v>
      </c>
      <c r="B111" s="0" t="s">
        <v>60</v>
      </c>
      <c r="C111" s="36" t="n">
        <v>203742</v>
      </c>
      <c r="D111" s="37" t="n">
        <v>40269</v>
      </c>
      <c r="E111" s="0" t="n">
        <v>2011</v>
      </c>
      <c r="F111" s="0" t="n">
        <v>3</v>
      </c>
      <c r="G111" s="38" t="n">
        <v>8478752.23</v>
      </c>
    </row>
    <row r="112" customFormat="false" ht="15" hidden="false" customHeight="false" outlineLevel="0" collapsed="false">
      <c r="A112" s="0" t="n">
        <v>21</v>
      </c>
      <c r="B112" s="0" t="s">
        <v>62</v>
      </c>
      <c r="C112" s="36" t="n">
        <v>140167</v>
      </c>
      <c r="D112" s="37" t="n">
        <v>40269</v>
      </c>
      <c r="E112" s="0" t="n">
        <v>2011</v>
      </c>
      <c r="F112" s="0" t="n">
        <v>3</v>
      </c>
      <c r="G112" s="38" t="n">
        <v>3081853.8</v>
      </c>
    </row>
    <row r="113" customFormat="false" ht="15" hidden="false" customHeight="false" outlineLevel="0" collapsed="false">
      <c r="A113" s="0" t="n">
        <v>22</v>
      </c>
      <c r="B113" s="0" t="s">
        <v>62</v>
      </c>
      <c r="C113" s="36" t="n">
        <v>119557</v>
      </c>
      <c r="D113" s="37" t="n">
        <v>40269</v>
      </c>
      <c r="E113" s="0" t="n">
        <v>2011</v>
      </c>
      <c r="F113" s="0" t="n">
        <v>3</v>
      </c>
      <c r="G113" s="38" t="n">
        <v>4317800.41</v>
      </c>
    </row>
    <row r="114" customFormat="false" ht="15" hidden="false" customHeight="false" outlineLevel="0" collapsed="false">
      <c r="A114" s="0" t="n">
        <v>23</v>
      </c>
      <c r="B114" s="0" t="s">
        <v>62</v>
      </c>
      <c r="C114" s="36" t="n">
        <v>114533</v>
      </c>
      <c r="D114" s="37" t="n">
        <v>40269</v>
      </c>
      <c r="E114" s="0" t="n">
        <v>2011</v>
      </c>
      <c r="F114" s="0" t="n">
        <v>3</v>
      </c>
      <c r="G114" s="38" t="n">
        <v>5572446.8</v>
      </c>
    </row>
    <row r="115" customFormat="false" ht="15" hidden="false" customHeight="false" outlineLevel="0" collapsed="false">
      <c r="A115" s="0" t="n">
        <v>24</v>
      </c>
      <c r="B115" s="0" t="s">
        <v>60</v>
      </c>
      <c r="C115" s="36" t="n">
        <v>203819</v>
      </c>
      <c r="D115" s="37" t="n">
        <v>40269</v>
      </c>
      <c r="E115" s="0" t="n">
        <v>2011</v>
      </c>
      <c r="F115" s="0" t="n">
        <v>3</v>
      </c>
      <c r="G115" s="38" t="n">
        <v>5594218.03</v>
      </c>
    </row>
    <row r="116" customFormat="false" ht="15" hidden="false" customHeight="false" outlineLevel="0" collapsed="false">
      <c r="A116" s="0" t="n">
        <v>25</v>
      </c>
      <c r="B116" s="0" t="s">
        <v>62</v>
      </c>
      <c r="C116" s="36" t="n">
        <v>128107</v>
      </c>
      <c r="D116" s="37" t="n">
        <v>40269</v>
      </c>
      <c r="E116" s="0" t="n">
        <v>2011</v>
      </c>
      <c r="F116" s="0" t="n">
        <v>3</v>
      </c>
      <c r="G116" s="38" t="n">
        <v>3064411.44</v>
      </c>
    </row>
    <row r="117" customFormat="false" ht="15" hidden="false" customHeight="false" outlineLevel="0" collapsed="false">
      <c r="A117" s="0" t="n">
        <v>26</v>
      </c>
      <c r="B117" s="0" t="s">
        <v>60</v>
      </c>
      <c r="C117" s="36" t="n">
        <v>152513</v>
      </c>
      <c r="D117" s="37" t="n">
        <v>40269</v>
      </c>
      <c r="E117" s="0" t="n">
        <v>2011</v>
      </c>
      <c r="F117" s="0" t="n">
        <v>3</v>
      </c>
      <c r="G117" s="38" t="n">
        <v>4008519.52</v>
      </c>
    </row>
    <row r="118" customFormat="false" ht="15" hidden="false" customHeight="false" outlineLevel="0" collapsed="false">
      <c r="A118" s="0" t="n">
        <v>27</v>
      </c>
      <c r="B118" s="0" t="s">
        <v>60</v>
      </c>
      <c r="C118" s="36" t="n">
        <v>204184</v>
      </c>
      <c r="D118" s="37" t="n">
        <v>40269</v>
      </c>
      <c r="E118" s="0" t="n">
        <v>2011</v>
      </c>
      <c r="F118" s="0" t="n">
        <v>3</v>
      </c>
      <c r="G118" s="38" t="n">
        <v>8056249.34</v>
      </c>
    </row>
    <row r="119" customFormat="false" ht="15" hidden="false" customHeight="false" outlineLevel="0" collapsed="false">
      <c r="A119" s="0" t="n">
        <v>28</v>
      </c>
      <c r="B119" s="0" t="s">
        <v>60</v>
      </c>
      <c r="C119" s="36" t="n">
        <v>206302</v>
      </c>
      <c r="D119" s="37" t="n">
        <v>40269</v>
      </c>
      <c r="E119" s="0" t="n">
        <v>2011</v>
      </c>
      <c r="F119" s="0" t="n">
        <v>3</v>
      </c>
      <c r="G119" s="38" t="n">
        <v>5493622.15</v>
      </c>
    </row>
    <row r="120" customFormat="false" ht="15" hidden="false" customHeight="false" outlineLevel="0" collapsed="false">
      <c r="A120" s="0" t="n">
        <v>29</v>
      </c>
      <c r="B120" s="0" t="s">
        <v>62</v>
      </c>
      <c r="C120" s="36" t="n">
        <v>93638</v>
      </c>
      <c r="D120" s="37" t="n">
        <v>40269</v>
      </c>
      <c r="E120" s="0" t="n">
        <v>2011</v>
      </c>
      <c r="F120" s="0" t="n">
        <v>3</v>
      </c>
      <c r="G120" s="38" t="n">
        <v>2256703.8</v>
      </c>
    </row>
    <row r="121" customFormat="false" ht="15" hidden="false" customHeight="false" outlineLevel="0" collapsed="false">
      <c r="A121" s="0" t="n">
        <v>30</v>
      </c>
      <c r="B121" s="0" t="s">
        <v>64</v>
      </c>
      <c r="C121" s="36" t="n">
        <v>42988</v>
      </c>
      <c r="D121" s="37" t="n">
        <v>40269</v>
      </c>
      <c r="E121" s="0" t="n">
        <v>2011</v>
      </c>
      <c r="F121" s="0" t="n">
        <v>3</v>
      </c>
      <c r="G121" s="38" t="n">
        <v>1975273.85</v>
      </c>
    </row>
    <row r="122" customFormat="false" ht="15" hidden="false" customHeight="false" outlineLevel="0" collapsed="false">
      <c r="A122" s="0" t="n">
        <v>31</v>
      </c>
      <c r="B122" s="0" t="s">
        <v>60</v>
      </c>
      <c r="C122" s="36" t="n">
        <v>203750</v>
      </c>
      <c r="D122" s="37" t="n">
        <v>40269</v>
      </c>
      <c r="E122" s="0" t="n">
        <v>2011</v>
      </c>
      <c r="F122" s="0" t="n">
        <v>3</v>
      </c>
      <c r="G122" s="38" t="n">
        <v>5674710.34</v>
      </c>
    </row>
    <row r="123" customFormat="false" ht="15" hidden="false" customHeight="false" outlineLevel="0" collapsed="false">
      <c r="A123" s="0" t="n">
        <v>32</v>
      </c>
      <c r="B123" s="0" t="s">
        <v>60</v>
      </c>
      <c r="C123" s="36" t="n">
        <v>203007</v>
      </c>
      <c r="D123" s="37" t="n">
        <v>40269</v>
      </c>
      <c r="E123" s="0" t="n">
        <v>2011</v>
      </c>
      <c r="F123" s="0" t="n">
        <v>3</v>
      </c>
      <c r="G123" s="38" t="n">
        <v>4641272.22</v>
      </c>
    </row>
    <row r="124" customFormat="false" ht="15" hidden="false" customHeight="false" outlineLevel="0" collapsed="false">
      <c r="A124" s="0" t="n">
        <v>33</v>
      </c>
      <c r="B124" s="0" t="s">
        <v>60</v>
      </c>
      <c r="C124" s="36" t="n">
        <v>39690</v>
      </c>
      <c r="D124" s="37" t="n">
        <v>40269</v>
      </c>
      <c r="E124" s="0" t="n">
        <v>2011</v>
      </c>
      <c r="F124" s="0" t="n">
        <v>3</v>
      </c>
      <c r="G124" s="38" t="n">
        <v>1250593.97</v>
      </c>
    </row>
    <row r="125" customFormat="false" ht="15" hidden="false" customHeight="false" outlineLevel="0" collapsed="false">
      <c r="A125" s="0" t="n">
        <v>34</v>
      </c>
      <c r="B125" s="0" t="s">
        <v>60</v>
      </c>
      <c r="C125" s="36" t="n">
        <v>158114</v>
      </c>
      <c r="D125" s="37" t="n">
        <v>40269</v>
      </c>
      <c r="E125" s="0" t="n">
        <v>2011</v>
      </c>
      <c r="F125" s="0" t="n">
        <v>3</v>
      </c>
      <c r="G125" s="38" t="n">
        <v>3924028.38</v>
      </c>
    </row>
    <row r="126" customFormat="false" ht="15" hidden="false" customHeight="false" outlineLevel="0" collapsed="false">
      <c r="A126" s="0" t="n">
        <v>35</v>
      </c>
      <c r="B126" s="0" t="s">
        <v>62</v>
      </c>
      <c r="C126" s="36" t="n">
        <v>103681</v>
      </c>
      <c r="D126" s="37" t="n">
        <v>40269</v>
      </c>
      <c r="E126" s="0" t="n">
        <v>2011</v>
      </c>
      <c r="F126" s="0" t="n">
        <v>3</v>
      </c>
      <c r="G126" s="38" t="n">
        <v>4830133.89</v>
      </c>
    </row>
    <row r="127" customFormat="false" ht="15" hidden="false" customHeight="false" outlineLevel="0" collapsed="false">
      <c r="A127" s="0" t="n">
        <v>36</v>
      </c>
      <c r="B127" s="0" t="s">
        <v>60</v>
      </c>
      <c r="C127" s="36" t="n">
        <v>39910</v>
      </c>
      <c r="D127" s="37" t="n">
        <v>40269</v>
      </c>
      <c r="E127" s="0" t="n">
        <v>2011</v>
      </c>
      <c r="F127" s="0" t="n">
        <v>3</v>
      </c>
      <c r="G127" s="38" t="n">
        <v>1953296.59</v>
      </c>
    </row>
    <row r="128" customFormat="false" ht="15" hidden="false" customHeight="false" outlineLevel="0" collapsed="false">
      <c r="A128" s="0" t="n">
        <v>37</v>
      </c>
      <c r="B128" s="0" t="s">
        <v>64</v>
      </c>
      <c r="C128" s="36" t="n">
        <v>39910</v>
      </c>
      <c r="D128" s="37" t="n">
        <v>40269</v>
      </c>
      <c r="E128" s="0" t="n">
        <v>2011</v>
      </c>
      <c r="F128" s="0" t="n">
        <v>3</v>
      </c>
      <c r="G128" s="38" t="n">
        <v>2237082.91</v>
      </c>
    </row>
    <row r="129" customFormat="false" ht="15" hidden="false" customHeight="false" outlineLevel="0" collapsed="false">
      <c r="A129" s="0" t="n">
        <v>38</v>
      </c>
      <c r="B129" s="0" t="s">
        <v>64</v>
      </c>
      <c r="C129" s="36" t="n">
        <v>39690</v>
      </c>
      <c r="D129" s="37" t="n">
        <v>40269</v>
      </c>
      <c r="E129" s="0" t="n">
        <v>2011</v>
      </c>
      <c r="F129" s="0" t="n">
        <v>3</v>
      </c>
      <c r="G129" s="38" t="n">
        <v>1457863.88</v>
      </c>
    </row>
    <row r="130" customFormat="false" ht="15" hidden="false" customHeight="false" outlineLevel="0" collapsed="false">
      <c r="A130" s="0" t="n">
        <v>39</v>
      </c>
      <c r="B130" s="0" t="s">
        <v>60</v>
      </c>
      <c r="C130" s="36" t="n">
        <v>184109</v>
      </c>
      <c r="D130" s="37" t="n">
        <v>40269</v>
      </c>
      <c r="E130" s="0" t="n">
        <v>2011</v>
      </c>
      <c r="F130" s="0" t="n">
        <v>3</v>
      </c>
      <c r="G130" s="38" t="n">
        <v>5532248</v>
      </c>
    </row>
    <row r="131" customFormat="false" ht="15" hidden="false" customHeight="false" outlineLevel="0" collapsed="false">
      <c r="A131" s="0" t="n">
        <v>40</v>
      </c>
      <c r="B131" s="0" t="s">
        <v>60</v>
      </c>
      <c r="C131" s="36" t="n">
        <v>155083</v>
      </c>
      <c r="D131" s="37" t="n">
        <v>40269</v>
      </c>
      <c r="E131" s="0" t="n">
        <v>2011</v>
      </c>
      <c r="F131" s="0" t="n">
        <v>3</v>
      </c>
      <c r="G131" s="38" t="n">
        <v>3761759.26</v>
      </c>
    </row>
    <row r="132" customFormat="false" ht="15" hidden="false" customHeight="false" outlineLevel="0" collapsed="false">
      <c r="A132" s="0" t="n">
        <v>41</v>
      </c>
      <c r="B132" s="0" t="s">
        <v>60</v>
      </c>
      <c r="C132" s="36" t="n">
        <v>196321</v>
      </c>
      <c r="D132" s="37" t="n">
        <v>40269</v>
      </c>
      <c r="E132" s="0" t="n">
        <v>2011</v>
      </c>
      <c r="F132" s="0" t="n">
        <v>3</v>
      </c>
      <c r="G132" s="38" t="n">
        <v>4590798.27</v>
      </c>
    </row>
    <row r="133" customFormat="false" ht="15" hidden="false" customHeight="false" outlineLevel="0" collapsed="false">
      <c r="A133" s="0" t="n">
        <v>42</v>
      </c>
      <c r="B133" s="0" t="s">
        <v>64</v>
      </c>
      <c r="C133" s="36" t="n">
        <v>39690</v>
      </c>
      <c r="D133" s="37" t="n">
        <v>40269</v>
      </c>
      <c r="E133" s="0" t="n">
        <v>2011</v>
      </c>
      <c r="F133" s="0" t="n">
        <v>3</v>
      </c>
      <c r="G133" s="38" t="n">
        <v>2246606.03</v>
      </c>
    </row>
    <row r="134" customFormat="false" ht="15" hidden="false" customHeight="false" outlineLevel="0" collapsed="false">
      <c r="A134" s="0" t="n">
        <v>43</v>
      </c>
      <c r="B134" s="0" t="s">
        <v>64</v>
      </c>
      <c r="C134" s="36" t="n">
        <v>41062</v>
      </c>
      <c r="D134" s="37" t="n">
        <v>40269</v>
      </c>
      <c r="E134" s="0" t="n">
        <v>2011</v>
      </c>
      <c r="F134" s="0" t="n">
        <v>3</v>
      </c>
      <c r="G134" s="38" t="n">
        <v>2823781.64</v>
      </c>
    </row>
    <row r="135" customFormat="false" ht="15" hidden="false" customHeight="false" outlineLevel="0" collapsed="false">
      <c r="A135" s="0" t="n">
        <v>44</v>
      </c>
      <c r="B135" s="0" t="s">
        <v>64</v>
      </c>
      <c r="C135" s="36" t="n">
        <v>39910</v>
      </c>
      <c r="D135" s="37" t="n">
        <v>40269</v>
      </c>
      <c r="E135" s="0" t="n">
        <v>2011</v>
      </c>
      <c r="F135" s="0" t="n">
        <v>3</v>
      </c>
      <c r="G135" s="38" t="n">
        <v>1170465.44</v>
      </c>
    </row>
    <row r="136" customFormat="false" ht="15" hidden="false" customHeight="false" outlineLevel="0" collapsed="false">
      <c r="A136" s="0" t="n">
        <v>45</v>
      </c>
      <c r="B136" s="0" t="s">
        <v>62</v>
      </c>
      <c r="C136" s="36" t="n">
        <v>118221</v>
      </c>
      <c r="D136" s="37" t="n">
        <v>40269</v>
      </c>
      <c r="E136" s="0" t="n">
        <v>2011</v>
      </c>
      <c r="F136" s="0" t="n">
        <v>3</v>
      </c>
      <c r="G136" s="38" t="n">
        <v>3353688.19</v>
      </c>
    </row>
    <row r="137" customFormat="false" ht="15" hidden="false" customHeight="false" outlineLevel="0" collapsed="false">
      <c r="A137" s="0" t="n">
        <v>1</v>
      </c>
      <c r="B137" s="0" t="s">
        <v>60</v>
      </c>
      <c r="C137" s="36" t="n">
        <v>151315</v>
      </c>
      <c r="D137" s="37" t="n">
        <v>40299</v>
      </c>
      <c r="E137" s="0" t="n">
        <v>2011</v>
      </c>
      <c r="F137" s="0" t="n">
        <v>4</v>
      </c>
      <c r="G137" s="38" t="n">
        <v>6622306.37</v>
      </c>
    </row>
    <row r="138" customFormat="false" ht="15" hidden="false" customHeight="false" outlineLevel="0" collapsed="false">
      <c r="A138" s="0" t="n">
        <v>2</v>
      </c>
      <c r="B138" s="0" t="s">
        <v>60</v>
      </c>
      <c r="C138" s="36" t="n">
        <v>202307</v>
      </c>
      <c r="D138" s="37" t="n">
        <v>40299</v>
      </c>
      <c r="E138" s="0" t="n">
        <v>2011</v>
      </c>
      <c r="F138" s="0" t="n">
        <v>4</v>
      </c>
      <c r="G138" s="38" t="n">
        <v>8678473.61</v>
      </c>
    </row>
    <row r="139" customFormat="false" ht="15" hidden="false" customHeight="false" outlineLevel="0" collapsed="false">
      <c r="A139" s="0" t="n">
        <v>3</v>
      </c>
      <c r="B139" s="0" t="s">
        <v>62</v>
      </c>
      <c r="C139" s="36" t="n">
        <v>37392</v>
      </c>
      <c r="D139" s="37" t="n">
        <v>40299</v>
      </c>
      <c r="E139" s="0" t="n">
        <v>2011</v>
      </c>
      <c r="F139" s="0" t="n">
        <v>4</v>
      </c>
      <c r="G139" s="38" t="n">
        <v>1647663.68</v>
      </c>
    </row>
    <row r="140" customFormat="false" ht="15" hidden="false" customHeight="false" outlineLevel="0" collapsed="false">
      <c r="A140" s="0" t="n">
        <v>4</v>
      </c>
      <c r="B140" s="0" t="s">
        <v>60</v>
      </c>
      <c r="C140" s="36" t="n">
        <v>205863</v>
      </c>
      <c r="D140" s="37" t="n">
        <v>40299</v>
      </c>
      <c r="E140" s="0" t="n">
        <v>2011</v>
      </c>
      <c r="F140" s="0" t="n">
        <v>4</v>
      </c>
      <c r="G140" s="38" t="n">
        <v>8453205.7</v>
      </c>
    </row>
    <row r="141" customFormat="false" ht="15" hidden="false" customHeight="false" outlineLevel="0" collapsed="false">
      <c r="A141" s="0" t="n">
        <v>5</v>
      </c>
      <c r="B141" s="0" t="s">
        <v>62</v>
      </c>
      <c r="C141" s="36" t="n">
        <v>34875</v>
      </c>
      <c r="D141" s="37" t="n">
        <v>40299</v>
      </c>
      <c r="E141" s="0" t="n">
        <v>2011</v>
      </c>
      <c r="F141" s="0" t="n">
        <v>4</v>
      </c>
      <c r="G141" s="38" t="n">
        <v>1386607.52</v>
      </c>
    </row>
    <row r="142" customFormat="false" ht="15" hidden="false" customHeight="false" outlineLevel="0" collapsed="false">
      <c r="A142" s="0" t="n">
        <v>6</v>
      </c>
      <c r="B142" s="0" t="s">
        <v>60</v>
      </c>
      <c r="C142" s="36" t="n">
        <v>202505</v>
      </c>
      <c r="D142" s="37" t="n">
        <v>40299</v>
      </c>
      <c r="E142" s="0" t="n">
        <v>2011</v>
      </c>
      <c r="F142" s="0" t="n">
        <v>4</v>
      </c>
      <c r="G142" s="38" t="n">
        <v>7116408.56</v>
      </c>
    </row>
    <row r="143" customFormat="false" ht="15" hidden="false" customHeight="false" outlineLevel="0" collapsed="false">
      <c r="A143" s="0" t="n">
        <v>7</v>
      </c>
      <c r="B143" s="0" t="s">
        <v>62</v>
      </c>
      <c r="C143" s="36" t="n">
        <v>70713</v>
      </c>
      <c r="D143" s="37" t="n">
        <v>40299</v>
      </c>
      <c r="E143" s="0" t="n">
        <v>2011</v>
      </c>
      <c r="F143" s="0" t="n">
        <v>4</v>
      </c>
      <c r="G143" s="38" t="n">
        <v>1824279.03</v>
      </c>
    </row>
    <row r="144" customFormat="false" ht="15" hidden="false" customHeight="false" outlineLevel="0" collapsed="false">
      <c r="A144" s="0" t="n">
        <v>8</v>
      </c>
      <c r="B144" s="0" t="s">
        <v>60</v>
      </c>
      <c r="C144" s="36" t="n">
        <v>155078</v>
      </c>
      <c r="D144" s="37" t="n">
        <v>40299</v>
      </c>
      <c r="E144" s="0" t="n">
        <v>2011</v>
      </c>
      <c r="F144" s="0" t="n">
        <v>4</v>
      </c>
      <c r="G144" s="38" t="n">
        <v>3887201.61</v>
      </c>
    </row>
    <row r="145" customFormat="false" ht="15" hidden="false" customHeight="false" outlineLevel="0" collapsed="false">
      <c r="A145" s="0" t="n">
        <v>9</v>
      </c>
      <c r="B145" s="0" t="s">
        <v>62</v>
      </c>
      <c r="C145" s="36" t="n">
        <v>125833</v>
      </c>
      <c r="D145" s="37" t="n">
        <v>40299</v>
      </c>
      <c r="E145" s="0" t="n">
        <v>2011</v>
      </c>
      <c r="F145" s="0" t="n">
        <v>4</v>
      </c>
      <c r="G145" s="38" t="n">
        <v>2334509.1</v>
      </c>
    </row>
    <row r="146" customFormat="false" ht="15" hidden="false" customHeight="false" outlineLevel="0" collapsed="false">
      <c r="A146" s="0" t="n">
        <v>10</v>
      </c>
      <c r="B146" s="0" t="s">
        <v>62</v>
      </c>
      <c r="C146" s="36" t="n">
        <v>126512</v>
      </c>
      <c r="D146" s="37" t="n">
        <v>40299</v>
      </c>
      <c r="E146" s="0" t="n">
        <v>2011</v>
      </c>
      <c r="F146" s="0" t="n">
        <v>4</v>
      </c>
      <c r="G146" s="38" t="n">
        <v>8309465.9</v>
      </c>
    </row>
    <row r="147" customFormat="false" ht="15" hidden="false" customHeight="false" outlineLevel="0" collapsed="false">
      <c r="A147" s="0" t="n">
        <v>11</v>
      </c>
      <c r="B147" s="0" t="s">
        <v>60</v>
      </c>
      <c r="C147" s="36" t="n">
        <v>207499</v>
      </c>
      <c r="D147" s="37" t="n">
        <v>40299</v>
      </c>
      <c r="E147" s="0" t="n">
        <v>2011</v>
      </c>
      <c r="F147" s="0" t="n">
        <v>4</v>
      </c>
      <c r="G147" s="38" t="n">
        <v>5713468.88</v>
      </c>
    </row>
    <row r="148" customFormat="false" ht="15" hidden="false" customHeight="false" outlineLevel="0" collapsed="false">
      <c r="A148" s="0" t="n">
        <v>12</v>
      </c>
      <c r="B148" s="0" t="s">
        <v>62</v>
      </c>
      <c r="C148" s="36" t="n">
        <v>112238</v>
      </c>
      <c r="D148" s="37" t="n">
        <v>40299</v>
      </c>
      <c r="E148" s="0" t="n">
        <v>2011</v>
      </c>
      <c r="F148" s="0" t="n">
        <v>4</v>
      </c>
      <c r="G148" s="38" t="n">
        <v>4372845.51</v>
      </c>
    </row>
    <row r="149" customFormat="false" ht="15" hidden="false" customHeight="false" outlineLevel="0" collapsed="false">
      <c r="A149" s="0" t="n">
        <v>13</v>
      </c>
      <c r="B149" s="0" t="s">
        <v>60</v>
      </c>
      <c r="C149" s="36" t="n">
        <v>219622</v>
      </c>
      <c r="D149" s="37" t="n">
        <v>40299</v>
      </c>
      <c r="E149" s="0" t="n">
        <v>2011</v>
      </c>
      <c r="F149" s="0" t="n">
        <v>4</v>
      </c>
      <c r="G149" s="38" t="n">
        <v>8493642.02</v>
      </c>
    </row>
    <row r="150" customFormat="false" ht="15" hidden="false" customHeight="false" outlineLevel="0" collapsed="false">
      <c r="A150" s="0" t="n">
        <v>14</v>
      </c>
      <c r="B150" s="0" t="s">
        <v>60</v>
      </c>
      <c r="C150" s="36" t="n">
        <v>200898</v>
      </c>
      <c r="D150" s="37" t="n">
        <v>40299</v>
      </c>
      <c r="E150" s="0" t="n">
        <v>2011</v>
      </c>
      <c r="F150" s="0" t="n">
        <v>4</v>
      </c>
      <c r="G150" s="38" t="n">
        <v>9848198.95</v>
      </c>
    </row>
    <row r="151" customFormat="false" ht="15" hidden="false" customHeight="false" outlineLevel="0" collapsed="false">
      <c r="A151" s="0" t="n">
        <v>15</v>
      </c>
      <c r="B151" s="0" t="s">
        <v>62</v>
      </c>
      <c r="C151" s="36" t="n">
        <v>123737</v>
      </c>
      <c r="D151" s="37" t="n">
        <v>40299</v>
      </c>
      <c r="E151" s="0" t="n">
        <v>2011</v>
      </c>
      <c r="F151" s="0" t="n">
        <v>4</v>
      </c>
      <c r="G151" s="38" t="n">
        <v>2914187.55</v>
      </c>
    </row>
    <row r="152" customFormat="false" ht="15" hidden="false" customHeight="false" outlineLevel="0" collapsed="false">
      <c r="A152" s="0" t="n">
        <v>16</v>
      </c>
      <c r="B152" s="0" t="s">
        <v>62</v>
      </c>
      <c r="C152" s="36" t="n">
        <v>57197</v>
      </c>
      <c r="D152" s="37" t="n">
        <v>40299</v>
      </c>
      <c r="E152" s="0" t="n">
        <v>2011</v>
      </c>
      <c r="F152" s="0" t="n">
        <v>4</v>
      </c>
      <c r="G152" s="38" t="n">
        <v>1940988.25</v>
      </c>
    </row>
    <row r="153" customFormat="false" ht="15" hidden="false" customHeight="false" outlineLevel="0" collapsed="false">
      <c r="A153" s="0" t="n">
        <v>17</v>
      </c>
      <c r="B153" s="0" t="s">
        <v>62</v>
      </c>
      <c r="C153" s="36" t="n">
        <v>93188</v>
      </c>
      <c r="D153" s="37" t="n">
        <v>40299</v>
      </c>
      <c r="E153" s="0" t="n">
        <v>2011</v>
      </c>
      <c r="F153" s="0" t="n">
        <v>4</v>
      </c>
      <c r="G153" s="38" t="n">
        <v>3732864.39</v>
      </c>
    </row>
    <row r="154" customFormat="false" ht="15" hidden="false" customHeight="false" outlineLevel="0" collapsed="false">
      <c r="A154" s="0" t="n">
        <v>18</v>
      </c>
      <c r="B154" s="0" t="s">
        <v>62</v>
      </c>
      <c r="C154" s="36" t="n">
        <v>120653</v>
      </c>
      <c r="D154" s="37" t="n">
        <v>40299</v>
      </c>
      <c r="E154" s="0" t="n">
        <v>2011</v>
      </c>
      <c r="F154" s="0" t="n">
        <v>4</v>
      </c>
      <c r="G154" s="38" t="n">
        <v>5217624.05</v>
      </c>
    </row>
    <row r="155" customFormat="false" ht="15" hidden="false" customHeight="false" outlineLevel="0" collapsed="false">
      <c r="A155" s="0" t="n">
        <v>19</v>
      </c>
      <c r="B155" s="0" t="s">
        <v>60</v>
      </c>
      <c r="C155" s="36" t="n">
        <v>203819</v>
      </c>
      <c r="D155" s="37" t="n">
        <v>40299</v>
      </c>
      <c r="E155" s="0" t="n">
        <v>2011</v>
      </c>
      <c r="F155" s="0" t="n">
        <v>4</v>
      </c>
      <c r="G155" s="38" t="n">
        <v>6681143.77</v>
      </c>
    </row>
    <row r="156" customFormat="false" ht="15" hidden="false" customHeight="false" outlineLevel="0" collapsed="false">
      <c r="A156" s="0" t="n">
        <v>20</v>
      </c>
      <c r="B156" s="0" t="s">
        <v>60</v>
      </c>
      <c r="C156" s="36" t="n">
        <v>203742</v>
      </c>
      <c r="D156" s="37" t="n">
        <v>40299</v>
      </c>
      <c r="E156" s="0" t="n">
        <v>2011</v>
      </c>
      <c r="F156" s="0" t="n">
        <v>4</v>
      </c>
      <c r="G156" s="38" t="n">
        <v>9074544.16</v>
      </c>
    </row>
    <row r="157" customFormat="false" ht="15" hidden="false" customHeight="false" outlineLevel="0" collapsed="false">
      <c r="A157" s="0" t="n">
        <v>21</v>
      </c>
      <c r="B157" s="0" t="s">
        <v>62</v>
      </c>
      <c r="C157" s="36" t="n">
        <v>140167</v>
      </c>
      <c r="D157" s="37" t="n">
        <v>40299</v>
      </c>
      <c r="E157" s="0" t="n">
        <v>2011</v>
      </c>
      <c r="F157" s="0" t="n">
        <v>4</v>
      </c>
      <c r="G157" s="38" t="n">
        <v>3322539.17</v>
      </c>
    </row>
    <row r="158" customFormat="false" ht="15" hidden="false" customHeight="false" outlineLevel="0" collapsed="false">
      <c r="A158" s="0" t="n">
        <v>22</v>
      </c>
      <c r="B158" s="0" t="s">
        <v>62</v>
      </c>
      <c r="C158" s="36" t="n">
        <v>119557</v>
      </c>
      <c r="D158" s="37" t="n">
        <v>40299</v>
      </c>
      <c r="E158" s="0" t="n">
        <v>2011</v>
      </c>
      <c r="F158" s="0" t="n">
        <v>4</v>
      </c>
      <c r="G158" s="38" t="n">
        <v>4579793.64</v>
      </c>
    </row>
    <row r="159" customFormat="false" ht="15" hidden="false" customHeight="false" outlineLevel="0" collapsed="false">
      <c r="A159" s="0" t="n">
        <v>23</v>
      </c>
      <c r="B159" s="0" t="s">
        <v>62</v>
      </c>
      <c r="C159" s="36" t="n">
        <v>114533</v>
      </c>
      <c r="D159" s="37" t="n">
        <v>40299</v>
      </c>
      <c r="E159" s="0" t="n">
        <v>2011</v>
      </c>
      <c r="F159" s="0" t="n">
        <v>4</v>
      </c>
      <c r="G159" s="38" t="n">
        <v>6216233.99</v>
      </c>
    </row>
    <row r="160" customFormat="false" ht="15" hidden="false" customHeight="false" outlineLevel="0" collapsed="false">
      <c r="A160" s="0" t="n">
        <v>24</v>
      </c>
      <c r="B160" s="0" t="s">
        <v>60</v>
      </c>
      <c r="C160" s="36" t="n">
        <v>203819</v>
      </c>
      <c r="D160" s="37" t="n">
        <v>40299</v>
      </c>
      <c r="E160" s="0" t="n">
        <v>2011</v>
      </c>
      <c r="F160" s="0" t="n">
        <v>4</v>
      </c>
      <c r="G160" s="38" t="n">
        <v>6185268.87</v>
      </c>
    </row>
    <row r="161" customFormat="false" ht="15" hidden="false" customHeight="false" outlineLevel="0" collapsed="false">
      <c r="A161" s="0" t="n">
        <v>25</v>
      </c>
      <c r="B161" s="0" t="s">
        <v>62</v>
      </c>
      <c r="C161" s="36" t="n">
        <v>128107</v>
      </c>
      <c r="D161" s="37" t="n">
        <v>40299</v>
      </c>
      <c r="E161" s="0" t="n">
        <v>2011</v>
      </c>
      <c r="F161" s="0" t="n">
        <v>4</v>
      </c>
      <c r="G161" s="38" t="n">
        <v>3246593.88</v>
      </c>
    </row>
    <row r="162" customFormat="false" ht="15" hidden="false" customHeight="false" outlineLevel="0" collapsed="false">
      <c r="A162" s="0" t="n">
        <v>26</v>
      </c>
      <c r="B162" s="0" t="s">
        <v>60</v>
      </c>
      <c r="C162" s="36" t="n">
        <v>152513</v>
      </c>
      <c r="D162" s="37" t="n">
        <v>40299</v>
      </c>
      <c r="E162" s="0" t="n">
        <v>2011</v>
      </c>
      <c r="F162" s="0" t="n">
        <v>4</v>
      </c>
      <c r="G162" s="38" t="n">
        <v>4533703.87</v>
      </c>
    </row>
    <row r="163" customFormat="false" ht="15" hidden="false" customHeight="false" outlineLevel="0" collapsed="false">
      <c r="A163" s="0" t="n">
        <v>27</v>
      </c>
      <c r="B163" s="0" t="s">
        <v>60</v>
      </c>
      <c r="C163" s="36" t="n">
        <v>204184</v>
      </c>
      <c r="D163" s="37" t="n">
        <v>40299</v>
      </c>
      <c r="E163" s="0" t="n">
        <v>2011</v>
      </c>
      <c r="F163" s="0" t="n">
        <v>4</v>
      </c>
      <c r="G163" s="38" t="n">
        <v>8469461.37</v>
      </c>
    </row>
    <row r="164" customFormat="false" ht="15" hidden="false" customHeight="false" outlineLevel="0" collapsed="false">
      <c r="A164" s="0" t="n">
        <v>28</v>
      </c>
      <c r="B164" s="0" t="s">
        <v>60</v>
      </c>
      <c r="C164" s="36" t="n">
        <v>206302</v>
      </c>
      <c r="D164" s="37" t="n">
        <v>40299</v>
      </c>
      <c r="E164" s="0" t="n">
        <v>2011</v>
      </c>
      <c r="F164" s="0" t="n">
        <v>4</v>
      </c>
      <c r="G164" s="38" t="n">
        <v>5834880.22</v>
      </c>
    </row>
    <row r="165" customFormat="false" ht="15" hidden="false" customHeight="false" outlineLevel="0" collapsed="false">
      <c r="A165" s="0" t="n">
        <v>29</v>
      </c>
      <c r="B165" s="0" t="s">
        <v>62</v>
      </c>
      <c r="C165" s="36" t="n">
        <v>93638</v>
      </c>
      <c r="D165" s="37" t="n">
        <v>40299</v>
      </c>
      <c r="E165" s="0" t="n">
        <v>2011</v>
      </c>
      <c r="F165" s="0" t="n">
        <v>4</v>
      </c>
      <c r="G165" s="38" t="n">
        <v>2419095.28</v>
      </c>
    </row>
    <row r="166" customFormat="false" ht="15" hidden="false" customHeight="false" outlineLevel="0" collapsed="false">
      <c r="A166" s="0" t="n">
        <v>30</v>
      </c>
      <c r="B166" s="0" t="s">
        <v>64</v>
      </c>
      <c r="C166" s="36" t="n">
        <v>42988</v>
      </c>
      <c r="D166" s="37" t="n">
        <v>40299</v>
      </c>
      <c r="E166" s="0" t="n">
        <v>2011</v>
      </c>
      <c r="F166" s="0" t="n">
        <v>4</v>
      </c>
      <c r="G166" s="38" t="n">
        <v>2034411.01</v>
      </c>
    </row>
    <row r="167" customFormat="false" ht="15" hidden="false" customHeight="false" outlineLevel="0" collapsed="false">
      <c r="A167" s="0" t="n">
        <v>31</v>
      </c>
      <c r="B167" s="0" t="s">
        <v>60</v>
      </c>
      <c r="C167" s="36" t="n">
        <v>203750</v>
      </c>
      <c r="D167" s="37" t="n">
        <v>40299</v>
      </c>
      <c r="E167" s="0" t="n">
        <v>2011</v>
      </c>
      <c r="F167" s="0" t="n">
        <v>4</v>
      </c>
      <c r="G167" s="38" t="n">
        <v>5927767.21</v>
      </c>
    </row>
    <row r="168" customFormat="false" ht="15" hidden="false" customHeight="false" outlineLevel="0" collapsed="false">
      <c r="A168" s="0" t="n">
        <v>32</v>
      </c>
      <c r="B168" s="0" t="s">
        <v>60</v>
      </c>
      <c r="C168" s="36" t="n">
        <v>203007</v>
      </c>
      <c r="D168" s="37" t="n">
        <v>40299</v>
      </c>
      <c r="E168" s="0" t="n">
        <v>2011</v>
      </c>
      <c r="F168" s="0" t="n">
        <v>4</v>
      </c>
      <c r="G168" s="38" t="n">
        <v>5054983.56</v>
      </c>
    </row>
    <row r="169" customFormat="false" ht="15" hidden="false" customHeight="false" outlineLevel="0" collapsed="false">
      <c r="A169" s="0" t="n">
        <v>33</v>
      </c>
      <c r="B169" s="0" t="s">
        <v>60</v>
      </c>
      <c r="C169" s="36" t="n">
        <v>39690</v>
      </c>
      <c r="D169" s="37" t="n">
        <v>40299</v>
      </c>
      <c r="E169" s="0" t="n">
        <v>2011</v>
      </c>
      <c r="F169" s="0" t="n">
        <v>4</v>
      </c>
      <c r="G169" s="38" t="n">
        <v>1353739.9</v>
      </c>
    </row>
    <row r="170" customFormat="false" ht="15" hidden="false" customHeight="false" outlineLevel="0" collapsed="false">
      <c r="A170" s="0" t="n">
        <v>34</v>
      </c>
      <c r="B170" s="0" t="s">
        <v>60</v>
      </c>
      <c r="C170" s="36" t="n">
        <v>158114</v>
      </c>
      <c r="D170" s="37" t="n">
        <v>40299</v>
      </c>
      <c r="E170" s="0" t="n">
        <v>2011</v>
      </c>
      <c r="F170" s="0" t="n">
        <v>4</v>
      </c>
      <c r="G170" s="38" t="n">
        <v>4157984.94</v>
      </c>
    </row>
    <row r="171" customFormat="false" ht="15" hidden="false" customHeight="false" outlineLevel="0" collapsed="false">
      <c r="A171" s="0" t="n">
        <v>35</v>
      </c>
      <c r="B171" s="0" t="s">
        <v>62</v>
      </c>
      <c r="C171" s="36" t="n">
        <v>103681</v>
      </c>
      <c r="D171" s="37" t="n">
        <v>40299</v>
      </c>
      <c r="E171" s="0" t="n">
        <v>2011</v>
      </c>
      <c r="F171" s="0" t="n">
        <v>4</v>
      </c>
      <c r="G171" s="38" t="n">
        <v>5137927.99</v>
      </c>
    </row>
    <row r="172" customFormat="false" ht="15" hidden="false" customHeight="false" outlineLevel="0" collapsed="false">
      <c r="A172" s="0" t="n">
        <v>36</v>
      </c>
      <c r="B172" s="0" t="s">
        <v>60</v>
      </c>
      <c r="C172" s="36" t="n">
        <v>39910</v>
      </c>
      <c r="D172" s="37" t="n">
        <v>40299</v>
      </c>
      <c r="E172" s="0" t="n">
        <v>2011</v>
      </c>
      <c r="F172" s="0" t="n">
        <v>4</v>
      </c>
      <c r="G172" s="38" t="n">
        <v>2089969.42</v>
      </c>
    </row>
    <row r="173" customFormat="false" ht="15" hidden="false" customHeight="false" outlineLevel="0" collapsed="false">
      <c r="A173" s="0" t="n">
        <v>37</v>
      </c>
      <c r="B173" s="0" t="s">
        <v>64</v>
      </c>
      <c r="C173" s="36" t="n">
        <v>39910</v>
      </c>
      <c r="D173" s="37" t="n">
        <v>40299</v>
      </c>
      <c r="E173" s="0" t="n">
        <v>2011</v>
      </c>
      <c r="F173" s="0" t="n">
        <v>4</v>
      </c>
      <c r="G173" s="38" t="n">
        <v>2296536.08</v>
      </c>
    </row>
    <row r="174" customFormat="false" ht="15" hidden="false" customHeight="false" outlineLevel="0" collapsed="false">
      <c r="A174" s="0" t="n">
        <v>38</v>
      </c>
      <c r="B174" s="0" t="s">
        <v>64</v>
      </c>
      <c r="C174" s="36" t="n">
        <v>39690</v>
      </c>
      <c r="D174" s="37" t="n">
        <v>40299</v>
      </c>
      <c r="E174" s="0" t="n">
        <v>2011</v>
      </c>
      <c r="F174" s="0" t="n">
        <v>4</v>
      </c>
      <c r="G174" s="38" t="n">
        <v>1558020.35</v>
      </c>
    </row>
    <row r="175" customFormat="false" ht="15" hidden="false" customHeight="false" outlineLevel="0" collapsed="false">
      <c r="A175" s="0" t="n">
        <v>39</v>
      </c>
      <c r="B175" s="0" t="s">
        <v>60</v>
      </c>
      <c r="C175" s="36" t="n">
        <v>184109</v>
      </c>
      <c r="D175" s="37" t="n">
        <v>40299</v>
      </c>
      <c r="E175" s="0" t="n">
        <v>2011</v>
      </c>
      <c r="F175" s="0" t="n">
        <v>4</v>
      </c>
      <c r="G175" s="38" t="n">
        <v>5947006.63</v>
      </c>
    </row>
    <row r="176" customFormat="false" ht="15" hidden="false" customHeight="false" outlineLevel="0" collapsed="false">
      <c r="A176" s="0" t="n">
        <v>40</v>
      </c>
      <c r="B176" s="0" t="s">
        <v>60</v>
      </c>
      <c r="C176" s="36" t="n">
        <v>155083</v>
      </c>
      <c r="D176" s="37" t="n">
        <v>40299</v>
      </c>
      <c r="E176" s="0" t="n">
        <v>2011</v>
      </c>
      <c r="F176" s="0" t="n">
        <v>4</v>
      </c>
      <c r="G176" s="38" t="n">
        <v>4262197.53</v>
      </c>
    </row>
    <row r="177" customFormat="false" ht="15" hidden="false" customHeight="false" outlineLevel="0" collapsed="false">
      <c r="A177" s="0" t="n">
        <v>41</v>
      </c>
      <c r="B177" s="0" t="s">
        <v>60</v>
      </c>
      <c r="C177" s="36" t="n">
        <v>196321</v>
      </c>
      <c r="D177" s="37" t="n">
        <v>40299</v>
      </c>
      <c r="E177" s="0" t="n">
        <v>2011</v>
      </c>
      <c r="F177" s="0" t="n">
        <v>4</v>
      </c>
      <c r="G177" s="38" t="n">
        <v>5261380.77</v>
      </c>
    </row>
    <row r="178" customFormat="false" ht="15" hidden="false" customHeight="false" outlineLevel="0" collapsed="false">
      <c r="A178" s="0" t="n">
        <v>42</v>
      </c>
      <c r="B178" s="0" t="s">
        <v>64</v>
      </c>
      <c r="C178" s="36" t="n">
        <v>39690</v>
      </c>
      <c r="D178" s="37" t="n">
        <v>40299</v>
      </c>
      <c r="E178" s="0" t="n">
        <v>2011</v>
      </c>
      <c r="F178" s="0" t="n">
        <v>4</v>
      </c>
      <c r="G178" s="38" t="n">
        <v>2373997.45</v>
      </c>
    </row>
    <row r="179" customFormat="false" ht="15" hidden="false" customHeight="false" outlineLevel="0" collapsed="false">
      <c r="A179" s="0" t="n">
        <v>43</v>
      </c>
      <c r="B179" s="0" t="s">
        <v>64</v>
      </c>
      <c r="C179" s="36" t="n">
        <v>41062</v>
      </c>
      <c r="D179" s="37" t="n">
        <v>40299</v>
      </c>
      <c r="E179" s="0" t="n">
        <v>2011</v>
      </c>
      <c r="F179" s="0" t="n">
        <v>4</v>
      </c>
      <c r="G179" s="38" t="n">
        <v>2977019.12</v>
      </c>
    </row>
    <row r="180" customFormat="false" ht="15" hidden="false" customHeight="false" outlineLevel="0" collapsed="false">
      <c r="A180" s="0" t="n">
        <v>44</v>
      </c>
      <c r="B180" s="0" t="s">
        <v>64</v>
      </c>
      <c r="C180" s="36" t="n">
        <v>39910</v>
      </c>
      <c r="D180" s="37" t="n">
        <v>40299</v>
      </c>
      <c r="E180" s="0" t="n">
        <v>2011</v>
      </c>
      <c r="F180" s="0" t="n">
        <v>4</v>
      </c>
      <c r="G180" s="38" t="n">
        <v>1251860.06</v>
      </c>
    </row>
    <row r="181" customFormat="false" ht="15" hidden="false" customHeight="false" outlineLevel="0" collapsed="false">
      <c r="A181" s="0" t="n">
        <v>45</v>
      </c>
      <c r="B181" s="0" t="s">
        <v>62</v>
      </c>
      <c r="C181" s="36" t="n">
        <v>118221</v>
      </c>
      <c r="D181" s="37" t="n">
        <v>40299</v>
      </c>
      <c r="E181" s="0" t="n">
        <v>2011</v>
      </c>
      <c r="F181" s="0" t="n">
        <v>4</v>
      </c>
      <c r="G181" s="38" t="n">
        <v>3478309.03</v>
      </c>
    </row>
    <row r="182" customFormat="false" ht="15" hidden="false" customHeight="false" outlineLevel="0" collapsed="false">
      <c r="A182" s="0" t="n">
        <v>1</v>
      </c>
      <c r="B182" s="0" t="s">
        <v>60</v>
      </c>
      <c r="C182" s="36" t="n">
        <v>151315</v>
      </c>
      <c r="D182" s="37" t="n">
        <v>40330</v>
      </c>
      <c r="E182" s="0" t="n">
        <v>2011</v>
      </c>
      <c r="F182" s="0" t="n">
        <v>5</v>
      </c>
      <c r="G182" s="38" t="n">
        <v>6457726.67</v>
      </c>
    </row>
    <row r="183" customFormat="false" ht="15" hidden="false" customHeight="false" outlineLevel="0" collapsed="false">
      <c r="A183" s="0" t="n">
        <v>2</v>
      </c>
      <c r="B183" s="0" t="s">
        <v>60</v>
      </c>
      <c r="C183" s="36" t="n">
        <v>202307</v>
      </c>
      <c r="D183" s="37" t="n">
        <v>40330</v>
      </c>
      <c r="E183" s="0" t="n">
        <v>2011</v>
      </c>
      <c r="F183" s="0" t="n">
        <v>5</v>
      </c>
      <c r="G183" s="38" t="n">
        <v>8599940.39</v>
      </c>
    </row>
    <row r="184" customFormat="false" ht="15" hidden="false" customHeight="false" outlineLevel="0" collapsed="false">
      <c r="A184" s="0" t="n">
        <v>3</v>
      </c>
      <c r="B184" s="0" t="s">
        <v>62</v>
      </c>
      <c r="C184" s="36" t="n">
        <v>37392</v>
      </c>
      <c r="D184" s="37" t="n">
        <v>40330</v>
      </c>
      <c r="E184" s="0" t="n">
        <v>2011</v>
      </c>
      <c r="F184" s="0" t="n">
        <v>5</v>
      </c>
      <c r="G184" s="38" t="n">
        <v>1575530.9</v>
      </c>
    </row>
    <row r="185" customFormat="false" ht="15" hidden="false" customHeight="false" outlineLevel="0" collapsed="false">
      <c r="A185" s="0" t="n">
        <v>4</v>
      </c>
      <c r="B185" s="0" t="s">
        <v>60</v>
      </c>
      <c r="C185" s="36" t="n">
        <v>205863</v>
      </c>
      <c r="D185" s="37" t="n">
        <v>40330</v>
      </c>
      <c r="E185" s="0" t="n">
        <v>2011</v>
      </c>
      <c r="F185" s="0" t="n">
        <v>5</v>
      </c>
      <c r="G185" s="38" t="n">
        <v>8078414.46</v>
      </c>
    </row>
    <row r="186" customFormat="false" ht="15" hidden="false" customHeight="false" outlineLevel="0" collapsed="false">
      <c r="A186" s="0" t="n">
        <v>5</v>
      </c>
      <c r="B186" s="0" t="s">
        <v>62</v>
      </c>
      <c r="C186" s="36" t="n">
        <v>34875</v>
      </c>
      <c r="D186" s="37" t="n">
        <v>40330</v>
      </c>
      <c r="E186" s="0" t="n">
        <v>2011</v>
      </c>
      <c r="F186" s="0" t="n">
        <v>5</v>
      </c>
      <c r="G186" s="38" t="n">
        <v>1317304.83</v>
      </c>
    </row>
    <row r="187" customFormat="false" ht="15" hidden="false" customHeight="false" outlineLevel="0" collapsed="false">
      <c r="A187" s="0" t="n">
        <v>6</v>
      </c>
      <c r="B187" s="0" t="s">
        <v>60</v>
      </c>
      <c r="C187" s="36" t="n">
        <v>202505</v>
      </c>
      <c r="D187" s="37" t="n">
        <v>40330</v>
      </c>
      <c r="E187" s="0" t="n">
        <v>2011</v>
      </c>
      <c r="F187" s="0" t="n">
        <v>5</v>
      </c>
      <c r="G187" s="38" t="n">
        <v>7321926.29</v>
      </c>
    </row>
    <row r="188" customFormat="false" ht="15" hidden="false" customHeight="false" outlineLevel="0" collapsed="false">
      <c r="A188" s="0" t="n">
        <v>7</v>
      </c>
      <c r="B188" s="0" t="s">
        <v>62</v>
      </c>
      <c r="C188" s="36" t="n">
        <v>70713</v>
      </c>
      <c r="D188" s="37" t="n">
        <v>40330</v>
      </c>
      <c r="E188" s="0" t="n">
        <v>2011</v>
      </c>
      <c r="F188" s="0" t="n">
        <v>5</v>
      </c>
      <c r="G188" s="38" t="n">
        <v>2235523.63</v>
      </c>
    </row>
    <row r="189" customFormat="false" ht="15" hidden="false" customHeight="false" outlineLevel="0" collapsed="false">
      <c r="A189" s="0" t="n">
        <v>8</v>
      </c>
      <c r="B189" s="0" t="s">
        <v>60</v>
      </c>
      <c r="C189" s="36" t="n">
        <v>155078</v>
      </c>
      <c r="D189" s="37" t="n">
        <v>40330</v>
      </c>
      <c r="E189" s="0" t="n">
        <v>2011</v>
      </c>
      <c r="F189" s="0" t="n">
        <v>5</v>
      </c>
      <c r="G189" s="38" t="n">
        <v>3756044.75</v>
      </c>
    </row>
    <row r="190" customFormat="false" ht="15" hidden="false" customHeight="false" outlineLevel="0" collapsed="false">
      <c r="A190" s="0" t="n">
        <v>9</v>
      </c>
      <c r="B190" s="0" t="s">
        <v>62</v>
      </c>
      <c r="C190" s="36" t="n">
        <v>125833</v>
      </c>
      <c r="D190" s="37" t="n">
        <v>40330</v>
      </c>
      <c r="E190" s="0" t="n">
        <v>2011</v>
      </c>
      <c r="F190" s="0" t="n">
        <v>5</v>
      </c>
      <c r="G190" s="38" t="n">
        <v>2257682.65</v>
      </c>
    </row>
    <row r="191" customFormat="false" ht="15" hidden="false" customHeight="false" outlineLevel="0" collapsed="false">
      <c r="A191" s="0" t="n">
        <v>10</v>
      </c>
      <c r="B191" s="0" t="s">
        <v>62</v>
      </c>
      <c r="C191" s="36" t="n">
        <v>126512</v>
      </c>
      <c r="D191" s="37" t="n">
        <v>40330</v>
      </c>
      <c r="E191" s="0" t="n">
        <v>2011</v>
      </c>
      <c r="F191" s="0" t="n">
        <v>5</v>
      </c>
      <c r="G191" s="38" t="n">
        <v>7855486.6</v>
      </c>
    </row>
    <row r="192" customFormat="false" ht="15" hidden="false" customHeight="false" outlineLevel="0" collapsed="false">
      <c r="A192" s="0" t="n">
        <v>11</v>
      </c>
      <c r="B192" s="0" t="s">
        <v>60</v>
      </c>
      <c r="C192" s="36" t="n">
        <v>207499</v>
      </c>
      <c r="D192" s="37" t="n">
        <v>40330</v>
      </c>
      <c r="E192" s="0" t="n">
        <v>2011</v>
      </c>
      <c r="F192" s="0" t="n">
        <v>5</v>
      </c>
      <c r="G192" s="38" t="n">
        <v>5666445.93</v>
      </c>
    </row>
    <row r="193" customFormat="false" ht="15" hidden="false" customHeight="false" outlineLevel="0" collapsed="false">
      <c r="A193" s="0" t="n">
        <v>12</v>
      </c>
      <c r="B193" s="0" t="s">
        <v>62</v>
      </c>
      <c r="C193" s="36" t="n">
        <v>112238</v>
      </c>
      <c r="D193" s="37" t="n">
        <v>40330</v>
      </c>
      <c r="E193" s="0" t="n">
        <v>2011</v>
      </c>
      <c r="F193" s="0" t="n">
        <v>5</v>
      </c>
      <c r="G193" s="38" t="n">
        <v>4209860.89</v>
      </c>
    </row>
    <row r="194" customFormat="false" ht="15" hidden="false" customHeight="false" outlineLevel="0" collapsed="false">
      <c r="A194" s="0" t="n">
        <v>13</v>
      </c>
      <c r="B194" s="0" t="s">
        <v>60</v>
      </c>
      <c r="C194" s="36" t="n">
        <v>219622</v>
      </c>
      <c r="D194" s="37" t="n">
        <v>40330</v>
      </c>
      <c r="E194" s="0" t="n">
        <v>2011</v>
      </c>
      <c r="F194" s="0" t="n">
        <v>5</v>
      </c>
      <c r="G194" s="38" t="n">
        <v>8609141.42</v>
      </c>
    </row>
    <row r="195" customFormat="false" ht="15" hidden="false" customHeight="false" outlineLevel="0" collapsed="false">
      <c r="A195" s="0" t="n">
        <v>14</v>
      </c>
      <c r="B195" s="0" t="s">
        <v>60</v>
      </c>
      <c r="C195" s="36" t="n">
        <v>200898</v>
      </c>
      <c r="D195" s="37" t="n">
        <v>40330</v>
      </c>
      <c r="E195" s="0" t="n">
        <v>2011</v>
      </c>
      <c r="F195" s="0" t="n">
        <v>5</v>
      </c>
      <c r="G195" s="38" t="n">
        <v>9762731</v>
      </c>
    </row>
    <row r="196" customFormat="false" ht="15" hidden="false" customHeight="false" outlineLevel="0" collapsed="false">
      <c r="A196" s="0" t="n">
        <v>15</v>
      </c>
      <c r="B196" s="0" t="s">
        <v>62</v>
      </c>
      <c r="C196" s="36" t="n">
        <v>123737</v>
      </c>
      <c r="D196" s="37" t="n">
        <v>40330</v>
      </c>
      <c r="E196" s="0" t="n">
        <v>2011</v>
      </c>
      <c r="F196" s="0" t="n">
        <v>5</v>
      </c>
      <c r="G196" s="38" t="n">
        <v>2846640.23</v>
      </c>
    </row>
    <row r="197" customFormat="false" ht="15" hidden="false" customHeight="false" outlineLevel="0" collapsed="false">
      <c r="A197" s="0" t="n">
        <v>16</v>
      </c>
      <c r="B197" s="0" t="s">
        <v>62</v>
      </c>
      <c r="C197" s="36" t="n">
        <v>57197</v>
      </c>
      <c r="D197" s="37" t="n">
        <v>40330</v>
      </c>
      <c r="E197" s="0" t="n">
        <v>2011</v>
      </c>
      <c r="F197" s="0" t="n">
        <v>5</v>
      </c>
      <c r="G197" s="38" t="n">
        <v>2353490.72</v>
      </c>
    </row>
    <row r="198" customFormat="false" ht="15" hidden="false" customHeight="false" outlineLevel="0" collapsed="false">
      <c r="A198" s="0" t="n">
        <v>17</v>
      </c>
      <c r="B198" s="0" t="s">
        <v>62</v>
      </c>
      <c r="C198" s="36" t="n">
        <v>93188</v>
      </c>
      <c r="D198" s="37" t="n">
        <v>40330</v>
      </c>
      <c r="E198" s="0" t="n">
        <v>2011</v>
      </c>
      <c r="F198" s="0" t="n">
        <v>5</v>
      </c>
      <c r="G198" s="38" t="n">
        <v>3803242.23</v>
      </c>
    </row>
    <row r="199" customFormat="false" ht="15" hidden="false" customHeight="false" outlineLevel="0" collapsed="false">
      <c r="A199" s="0" t="n">
        <v>18</v>
      </c>
      <c r="B199" s="0" t="s">
        <v>62</v>
      </c>
      <c r="C199" s="36" t="n">
        <v>120653</v>
      </c>
      <c r="D199" s="37" t="n">
        <v>40330</v>
      </c>
      <c r="E199" s="0" t="n">
        <v>2011</v>
      </c>
      <c r="F199" s="0" t="n">
        <v>5</v>
      </c>
      <c r="G199" s="38" t="n">
        <v>5202715</v>
      </c>
    </row>
    <row r="200" customFormat="false" ht="15" hidden="false" customHeight="false" outlineLevel="0" collapsed="false">
      <c r="A200" s="0" t="n">
        <v>19</v>
      </c>
      <c r="B200" s="0" t="s">
        <v>60</v>
      </c>
      <c r="C200" s="36" t="n">
        <v>203819</v>
      </c>
      <c r="D200" s="37" t="n">
        <v>40330</v>
      </c>
      <c r="E200" s="0" t="n">
        <v>2011</v>
      </c>
      <c r="F200" s="0" t="n">
        <v>5</v>
      </c>
      <c r="G200" s="38" t="n">
        <v>6292855.28</v>
      </c>
    </row>
    <row r="201" customFormat="false" ht="15" hidden="false" customHeight="false" outlineLevel="0" collapsed="false">
      <c r="A201" s="0" t="n">
        <v>20</v>
      </c>
      <c r="B201" s="0" t="s">
        <v>60</v>
      </c>
      <c r="C201" s="36" t="n">
        <v>203742</v>
      </c>
      <c r="D201" s="37" t="n">
        <v>40330</v>
      </c>
      <c r="E201" s="0" t="n">
        <v>2011</v>
      </c>
      <c r="F201" s="0" t="n">
        <v>5</v>
      </c>
      <c r="G201" s="38" t="n">
        <v>8955938.03</v>
      </c>
    </row>
    <row r="202" customFormat="false" ht="15" hidden="false" customHeight="false" outlineLevel="0" collapsed="false">
      <c r="A202" s="0" t="n">
        <v>21</v>
      </c>
      <c r="B202" s="0" t="s">
        <v>62</v>
      </c>
      <c r="C202" s="36" t="n">
        <v>140167</v>
      </c>
      <c r="D202" s="37" t="n">
        <v>40330</v>
      </c>
      <c r="E202" s="0" t="n">
        <v>2011</v>
      </c>
      <c r="F202" s="0" t="n">
        <v>5</v>
      </c>
      <c r="G202" s="38" t="n">
        <v>3308030.56</v>
      </c>
    </row>
    <row r="203" customFormat="false" ht="15" hidden="false" customHeight="false" outlineLevel="0" collapsed="false">
      <c r="A203" s="0" t="n">
        <v>22</v>
      </c>
      <c r="B203" s="0" t="s">
        <v>62</v>
      </c>
      <c r="C203" s="36" t="n">
        <v>119557</v>
      </c>
      <c r="D203" s="37" t="n">
        <v>40330</v>
      </c>
      <c r="E203" s="0" t="n">
        <v>2011</v>
      </c>
      <c r="F203" s="0" t="n">
        <v>5</v>
      </c>
      <c r="G203" s="38" t="n">
        <v>4635319.88</v>
      </c>
    </row>
    <row r="204" customFormat="false" ht="15" hidden="false" customHeight="false" outlineLevel="0" collapsed="false">
      <c r="A204" s="0" t="n">
        <v>23</v>
      </c>
      <c r="B204" s="0" t="s">
        <v>62</v>
      </c>
      <c r="C204" s="36" t="n">
        <v>114533</v>
      </c>
      <c r="D204" s="37" t="n">
        <v>40330</v>
      </c>
      <c r="E204" s="0" t="n">
        <v>2011</v>
      </c>
      <c r="F204" s="0" t="n">
        <v>5</v>
      </c>
      <c r="G204" s="38" t="n">
        <v>6334247.02</v>
      </c>
    </row>
    <row r="205" customFormat="false" ht="15" hidden="false" customHeight="false" outlineLevel="0" collapsed="false">
      <c r="A205" s="0" t="n">
        <v>24</v>
      </c>
      <c r="B205" s="0" t="s">
        <v>60</v>
      </c>
      <c r="C205" s="36" t="n">
        <v>203819</v>
      </c>
      <c r="D205" s="37" t="n">
        <v>40330</v>
      </c>
      <c r="E205" s="0" t="n">
        <v>2011</v>
      </c>
      <c r="F205" s="0" t="n">
        <v>5</v>
      </c>
      <c r="G205" s="38" t="n">
        <v>6140645.22</v>
      </c>
    </row>
    <row r="206" customFormat="false" ht="15" hidden="false" customHeight="false" outlineLevel="0" collapsed="false">
      <c r="A206" s="0" t="n">
        <v>25</v>
      </c>
      <c r="B206" s="0" t="s">
        <v>62</v>
      </c>
      <c r="C206" s="36" t="n">
        <v>128107</v>
      </c>
      <c r="D206" s="37" t="n">
        <v>40330</v>
      </c>
      <c r="E206" s="0" t="n">
        <v>2011</v>
      </c>
      <c r="F206" s="0" t="n">
        <v>5</v>
      </c>
      <c r="G206" s="38" t="n">
        <v>3234271.71</v>
      </c>
    </row>
    <row r="207" customFormat="false" ht="15" hidden="false" customHeight="false" outlineLevel="0" collapsed="false">
      <c r="A207" s="0" t="n">
        <v>26</v>
      </c>
      <c r="B207" s="0" t="s">
        <v>60</v>
      </c>
      <c r="C207" s="36" t="n">
        <v>152513</v>
      </c>
      <c r="D207" s="37" t="n">
        <v>40330</v>
      </c>
      <c r="E207" s="0" t="n">
        <v>2011</v>
      </c>
      <c r="F207" s="0" t="n">
        <v>5</v>
      </c>
      <c r="G207" s="38" t="n">
        <v>4394975.33</v>
      </c>
    </row>
    <row r="208" customFormat="false" ht="15" hidden="false" customHeight="false" outlineLevel="0" collapsed="false">
      <c r="A208" s="0" t="n">
        <v>27</v>
      </c>
      <c r="B208" s="0" t="s">
        <v>60</v>
      </c>
      <c r="C208" s="36" t="n">
        <v>204184</v>
      </c>
      <c r="D208" s="37" t="n">
        <v>40330</v>
      </c>
      <c r="E208" s="0" t="n">
        <v>2011</v>
      </c>
      <c r="F208" s="0" t="n">
        <v>5</v>
      </c>
      <c r="G208" s="38" t="n">
        <v>8354360.35</v>
      </c>
    </row>
    <row r="209" customFormat="false" ht="15" hidden="false" customHeight="false" outlineLevel="0" collapsed="false">
      <c r="A209" s="0" t="n">
        <v>28</v>
      </c>
      <c r="B209" s="0" t="s">
        <v>60</v>
      </c>
      <c r="C209" s="36" t="n">
        <v>206302</v>
      </c>
      <c r="D209" s="37" t="n">
        <v>40330</v>
      </c>
      <c r="E209" s="0" t="n">
        <v>2011</v>
      </c>
      <c r="F209" s="0" t="n">
        <v>5</v>
      </c>
      <c r="G209" s="38" t="n">
        <v>5729712.51</v>
      </c>
    </row>
    <row r="210" customFormat="false" ht="15" hidden="false" customHeight="false" outlineLevel="0" collapsed="false">
      <c r="A210" s="0" t="n">
        <v>29</v>
      </c>
      <c r="B210" s="0" t="s">
        <v>62</v>
      </c>
      <c r="C210" s="36" t="n">
        <v>93638</v>
      </c>
      <c r="D210" s="37" t="n">
        <v>40330</v>
      </c>
      <c r="E210" s="0" t="n">
        <v>2011</v>
      </c>
      <c r="F210" s="0" t="n">
        <v>5</v>
      </c>
      <c r="G210" s="38" t="n">
        <v>2436345.51</v>
      </c>
    </row>
    <row r="211" customFormat="false" ht="15" hidden="false" customHeight="false" outlineLevel="0" collapsed="false">
      <c r="A211" s="0" t="n">
        <v>30</v>
      </c>
      <c r="B211" s="0" t="s">
        <v>64</v>
      </c>
      <c r="C211" s="36" t="n">
        <v>42988</v>
      </c>
      <c r="D211" s="37" t="n">
        <v>40330</v>
      </c>
      <c r="E211" s="0" t="n">
        <v>2011</v>
      </c>
      <c r="F211" s="0" t="n">
        <v>5</v>
      </c>
      <c r="G211" s="38" t="n">
        <v>1930048.2</v>
      </c>
    </row>
    <row r="212" customFormat="false" ht="15" hidden="false" customHeight="false" outlineLevel="0" collapsed="false">
      <c r="A212" s="0" t="n">
        <v>31</v>
      </c>
      <c r="B212" s="0" t="s">
        <v>60</v>
      </c>
      <c r="C212" s="36" t="n">
        <v>203750</v>
      </c>
      <c r="D212" s="37" t="n">
        <v>40330</v>
      </c>
      <c r="E212" s="0" t="n">
        <v>2011</v>
      </c>
      <c r="F212" s="0" t="n">
        <v>5</v>
      </c>
      <c r="G212" s="38" t="n">
        <v>5801423.65</v>
      </c>
    </row>
    <row r="213" customFormat="false" ht="15" hidden="false" customHeight="false" outlineLevel="0" collapsed="false">
      <c r="A213" s="0" t="n">
        <v>32</v>
      </c>
      <c r="B213" s="0" t="s">
        <v>60</v>
      </c>
      <c r="C213" s="36" t="n">
        <v>203007</v>
      </c>
      <c r="D213" s="37" t="n">
        <v>40330</v>
      </c>
      <c r="E213" s="0" t="n">
        <v>2011</v>
      </c>
      <c r="F213" s="0" t="n">
        <v>5</v>
      </c>
      <c r="G213" s="38" t="n">
        <v>4972298.6</v>
      </c>
    </row>
    <row r="214" customFormat="false" ht="15" hidden="false" customHeight="false" outlineLevel="0" collapsed="false">
      <c r="A214" s="0" t="n">
        <v>33</v>
      </c>
      <c r="B214" s="0" t="s">
        <v>60</v>
      </c>
      <c r="C214" s="36" t="n">
        <v>39690</v>
      </c>
      <c r="D214" s="37" t="n">
        <v>40330</v>
      </c>
      <c r="E214" s="0" t="n">
        <v>2011</v>
      </c>
      <c r="F214" s="0" t="n">
        <v>5</v>
      </c>
      <c r="G214" s="38" t="n">
        <v>1196602.48</v>
      </c>
    </row>
    <row r="215" customFormat="false" ht="15" hidden="false" customHeight="false" outlineLevel="0" collapsed="false">
      <c r="A215" s="0" t="n">
        <v>34</v>
      </c>
      <c r="B215" s="0" t="s">
        <v>60</v>
      </c>
      <c r="C215" s="36" t="n">
        <v>158114</v>
      </c>
      <c r="D215" s="37" t="n">
        <v>40330</v>
      </c>
      <c r="E215" s="0" t="n">
        <v>2011</v>
      </c>
      <c r="F215" s="0" t="n">
        <v>5</v>
      </c>
      <c r="G215" s="38" t="n">
        <v>4000793.22</v>
      </c>
    </row>
    <row r="216" customFormat="false" ht="15" hidden="false" customHeight="false" outlineLevel="0" collapsed="false">
      <c r="A216" s="0" t="n">
        <v>35</v>
      </c>
      <c r="B216" s="0" t="s">
        <v>62</v>
      </c>
      <c r="C216" s="36" t="n">
        <v>103681</v>
      </c>
      <c r="D216" s="37" t="n">
        <v>40330</v>
      </c>
      <c r="E216" s="0" t="n">
        <v>2011</v>
      </c>
      <c r="F216" s="0" t="n">
        <v>5</v>
      </c>
      <c r="G216" s="38" t="n">
        <v>5211348.52</v>
      </c>
    </row>
    <row r="217" customFormat="false" ht="15" hidden="false" customHeight="false" outlineLevel="0" collapsed="false">
      <c r="A217" s="0" t="n">
        <v>36</v>
      </c>
      <c r="B217" s="0" t="s">
        <v>60</v>
      </c>
      <c r="C217" s="36" t="n">
        <v>39910</v>
      </c>
      <c r="D217" s="37" t="n">
        <v>40330</v>
      </c>
      <c r="E217" s="0" t="n">
        <v>2011</v>
      </c>
      <c r="F217" s="0" t="n">
        <v>5</v>
      </c>
      <c r="G217" s="38" t="n">
        <v>1967659.52</v>
      </c>
    </row>
    <row r="218" customFormat="false" ht="15" hidden="false" customHeight="false" outlineLevel="0" collapsed="false">
      <c r="A218" s="0" t="n">
        <v>37</v>
      </c>
      <c r="B218" s="0" t="s">
        <v>64</v>
      </c>
      <c r="C218" s="36" t="n">
        <v>39910</v>
      </c>
      <c r="D218" s="37" t="n">
        <v>40330</v>
      </c>
      <c r="E218" s="0" t="n">
        <v>2011</v>
      </c>
      <c r="F218" s="0" t="n">
        <v>5</v>
      </c>
      <c r="G218" s="38" t="n">
        <v>2102845.1</v>
      </c>
    </row>
    <row r="219" customFormat="false" ht="15" hidden="false" customHeight="false" outlineLevel="0" collapsed="false">
      <c r="A219" s="0" t="n">
        <v>38</v>
      </c>
      <c r="B219" s="0" t="s">
        <v>64</v>
      </c>
      <c r="C219" s="36" t="n">
        <v>39690</v>
      </c>
      <c r="D219" s="37" t="n">
        <v>40330</v>
      </c>
      <c r="E219" s="0" t="n">
        <v>2011</v>
      </c>
      <c r="F219" s="0" t="n">
        <v>5</v>
      </c>
      <c r="G219" s="38" t="n">
        <v>1485516.82</v>
      </c>
    </row>
    <row r="220" customFormat="false" ht="15" hidden="false" customHeight="false" outlineLevel="0" collapsed="false">
      <c r="A220" s="0" t="n">
        <v>39</v>
      </c>
      <c r="B220" s="0" t="s">
        <v>60</v>
      </c>
      <c r="C220" s="36" t="n">
        <v>184109</v>
      </c>
      <c r="D220" s="37" t="n">
        <v>40330</v>
      </c>
      <c r="E220" s="0" t="n">
        <v>2011</v>
      </c>
      <c r="F220" s="0" t="n">
        <v>5</v>
      </c>
      <c r="G220" s="38" t="n">
        <v>5850356.88</v>
      </c>
    </row>
    <row r="221" customFormat="false" ht="15" hidden="false" customHeight="false" outlineLevel="0" collapsed="false">
      <c r="A221" s="0" t="n">
        <v>40</v>
      </c>
      <c r="B221" s="0" t="s">
        <v>60</v>
      </c>
      <c r="C221" s="36" t="n">
        <v>155083</v>
      </c>
      <c r="D221" s="37" t="n">
        <v>40330</v>
      </c>
      <c r="E221" s="0" t="n">
        <v>2011</v>
      </c>
      <c r="F221" s="0" t="n">
        <v>5</v>
      </c>
      <c r="G221" s="38" t="n">
        <v>4299315</v>
      </c>
    </row>
    <row r="222" customFormat="false" ht="15" hidden="false" customHeight="false" outlineLevel="0" collapsed="false">
      <c r="A222" s="0" t="n">
        <v>41</v>
      </c>
      <c r="B222" s="0" t="s">
        <v>60</v>
      </c>
      <c r="C222" s="36" t="n">
        <v>196321</v>
      </c>
      <c r="D222" s="37" t="n">
        <v>40330</v>
      </c>
      <c r="E222" s="0" t="n">
        <v>2011</v>
      </c>
      <c r="F222" s="0" t="n">
        <v>5</v>
      </c>
      <c r="G222" s="38" t="n">
        <v>5249610.71</v>
      </c>
    </row>
    <row r="223" customFormat="false" ht="15" hidden="false" customHeight="false" outlineLevel="0" collapsed="false">
      <c r="A223" s="0" t="n">
        <v>42</v>
      </c>
      <c r="B223" s="0" t="s">
        <v>64</v>
      </c>
      <c r="C223" s="36" t="n">
        <v>39690</v>
      </c>
      <c r="D223" s="37" t="n">
        <v>40330</v>
      </c>
      <c r="E223" s="0" t="n">
        <v>2011</v>
      </c>
      <c r="F223" s="0" t="n">
        <v>5</v>
      </c>
      <c r="G223" s="38" t="n">
        <v>2300968.85</v>
      </c>
    </row>
    <row r="224" customFormat="false" ht="15" hidden="false" customHeight="false" outlineLevel="0" collapsed="false">
      <c r="A224" s="0" t="n">
        <v>43</v>
      </c>
      <c r="B224" s="0" t="s">
        <v>64</v>
      </c>
      <c r="C224" s="36" t="n">
        <v>41062</v>
      </c>
      <c r="D224" s="37" t="n">
        <v>40330</v>
      </c>
      <c r="E224" s="0" t="n">
        <v>2011</v>
      </c>
      <c r="F224" s="0" t="n">
        <v>5</v>
      </c>
      <c r="G224" s="38" t="n">
        <v>2875632.58</v>
      </c>
    </row>
    <row r="225" customFormat="false" ht="15" hidden="false" customHeight="false" outlineLevel="0" collapsed="false">
      <c r="A225" s="0" t="n">
        <v>44</v>
      </c>
      <c r="B225" s="0" t="s">
        <v>64</v>
      </c>
      <c r="C225" s="36" t="n">
        <v>39910</v>
      </c>
      <c r="D225" s="37" t="n">
        <v>40330</v>
      </c>
      <c r="E225" s="0" t="n">
        <v>2011</v>
      </c>
      <c r="F225" s="0" t="n">
        <v>5</v>
      </c>
      <c r="G225" s="38" t="n">
        <v>1254625.1</v>
      </c>
    </row>
    <row r="226" customFormat="false" ht="15" hidden="false" customHeight="false" outlineLevel="0" collapsed="false">
      <c r="A226" s="0" t="n">
        <v>45</v>
      </c>
      <c r="B226" s="0" t="s">
        <v>62</v>
      </c>
      <c r="C226" s="36" t="n">
        <v>118221</v>
      </c>
      <c r="D226" s="37" t="n">
        <v>40330</v>
      </c>
      <c r="E226" s="0" t="n">
        <v>2011</v>
      </c>
      <c r="F226" s="0" t="n">
        <v>5</v>
      </c>
      <c r="G226" s="38" t="n">
        <v>3452261.82</v>
      </c>
    </row>
    <row r="227" customFormat="false" ht="15" hidden="false" customHeight="false" outlineLevel="0" collapsed="false">
      <c r="A227" s="0" t="n">
        <v>1</v>
      </c>
      <c r="B227" s="0" t="s">
        <v>60</v>
      </c>
      <c r="C227" s="36" t="n">
        <v>151315</v>
      </c>
      <c r="D227" s="37" t="n">
        <v>40360</v>
      </c>
      <c r="E227" s="0" t="n">
        <v>2011</v>
      </c>
      <c r="F227" s="0" t="n">
        <v>6</v>
      </c>
      <c r="G227" s="38" t="n">
        <v>6407826.02</v>
      </c>
    </row>
    <row r="228" customFormat="false" ht="15" hidden="false" customHeight="false" outlineLevel="0" collapsed="false">
      <c r="A228" s="0" t="n">
        <v>2</v>
      </c>
      <c r="B228" s="0" t="s">
        <v>60</v>
      </c>
      <c r="C228" s="36" t="n">
        <v>202307</v>
      </c>
      <c r="D228" s="37" t="n">
        <v>40360</v>
      </c>
      <c r="E228" s="0" t="n">
        <v>2011</v>
      </c>
      <c r="F228" s="0" t="n">
        <v>6</v>
      </c>
      <c r="G228" s="38" t="n">
        <v>8169859.32</v>
      </c>
    </row>
    <row r="229" customFormat="false" ht="15" hidden="false" customHeight="false" outlineLevel="0" collapsed="false">
      <c r="A229" s="0" t="n">
        <v>3</v>
      </c>
      <c r="B229" s="0" t="s">
        <v>62</v>
      </c>
      <c r="C229" s="36" t="n">
        <v>37392</v>
      </c>
      <c r="D229" s="37" t="n">
        <v>40360</v>
      </c>
      <c r="E229" s="0" t="n">
        <v>2011</v>
      </c>
      <c r="F229" s="0" t="n">
        <v>6</v>
      </c>
      <c r="G229" s="38" t="n">
        <v>1569182.41</v>
      </c>
    </row>
    <row r="230" customFormat="false" ht="15" hidden="false" customHeight="false" outlineLevel="0" collapsed="false">
      <c r="A230" s="0" t="n">
        <v>4</v>
      </c>
      <c r="B230" s="0" t="s">
        <v>60</v>
      </c>
      <c r="C230" s="36" t="n">
        <v>205863</v>
      </c>
      <c r="D230" s="37" t="n">
        <v>40360</v>
      </c>
      <c r="E230" s="0" t="n">
        <v>2011</v>
      </c>
      <c r="F230" s="0" t="n">
        <v>6</v>
      </c>
      <c r="G230" s="38" t="n">
        <v>8165744.93</v>
      </c>
    </row>
    <row r="231" customFormat="false" ht="15" hidden="false" customHeight="false" outlineLevel="0" collapsed="false">
      <c r="A231" s="0" t="n">
        <v>5</v>
      </c>
      <c r="B231" s="0" t="s">
        <v>62</v>
      </c>
      <c r="C231" s="36" t="n">
        <v>34875</v>
      </c>
      <c r="D231" s="37" t="n">
        <v>40360</v>
      </c>
      <c r="E231" s="0" t="n">
        <v>2011</v>
      </c>
      <c r="F231" s="0" t="n">
        <v>6</v>
      </c>
      <c r="G231" s="38" t="n">
        <v>1246900.67</v>
      </c>
    </row>
    <row r="232" customFormat="false" ht="15" hidden="false" customHeight="false" outlineLevel="0" collapsed="false">
      <c r="A232" s="0" t="n">
        <v>6</v>
      </c>
      <c r="B232" s="0" t="s">
        <v>60</v>
      </c>
      <c r="C232" s="36" t="n">
        <v>202505</v>
      </c>
      <c r="D232" s="37" t="n">
        <v>40360</v>
      </c>
      <c r="E232" s="0" t="n">
        <v>2011</v>
      </c>
      <c r="F232" s="0" t="n">
        <v>6</v>
      </c>
      <c r="G232" s="38" t="n">
        <v>7104102.19</v>
      </c>
    </row>
    <row r="233" customFormat="false" ht="15" hidden="false" customHeight="false" outlineLevel="0" collapsed="false">
      <c r="A233" s="0" t="n">
        <v>7</v>
      </c>
      <c r="B233" s="0" t="s">
        <v>62</v>
      </c>
      <c r="C233" s="36" t="n">
        <v>70713</v>
      </c>
      <c r="D233" s="37" t="n">
        <v>40360</v>
      </c>
      <c r="E233" s="0" t="n">
        <v>2011</v>
      </c>
      <c r="F233" s="0" t="n">
        <v>6</v>
      </c>
      <c r="G233" s="38" t="n">
        <v>2580835.03</v>
      </c>
    </row>
    <row r="234" customFormat="false" ht="15" hidden="false" customHeight="false" outlineLevel="0" collapsed="false">
      <c r="A234" s="0" t="n">
        <v>8</v>
      </c>
      <c r="B234" s="0" t="s">
        <v>60</v>
      </c>
      <c r="C234" s="36" t="n">
        <v>155078</v>
      </c>
      <c r="D234" s="37" t="n">
        <v>40360</v>
      </c>
      <c r="E234" s="0" t="n">
        <v>2011</v>
      </c>
      <c r="F234" s="0" t="n">
        <v>6</v>
      </c>
      <c r="G234" s="38" t="n">
        <v>3637883.8</v>
      </c>
    </row>
    <row r="235" customFormat="false" ht="15" hidden="false" customHeight="false" outlineLevel="0" collapsed="false">
      <c r="A235" s="0" t="n">
        <v>9</v>
      </c>
      <c r="B235" s="0" t="s">
        <v>62</v>
      </c>
      <c r="C235" s="36" t="n">
        <v>125833</v>
      </c>
      <c r="D235" s="37" t="n">
        <v>40360</v>
      </c>
      <c r="E235" s="0" t="n">
        <v>2011</v>
      </c>
      <c r="F235" s="0" t="n">
        <v>6</v>
      </c>
      <c r="G235" s="38" t="n">
        <v>2116554.24</v>
      </c>
    </row>
    <row r="236" customFormat="false" ht="15" hidden="false" customHeight="false" outlineLevel="0" collapsed="false">
      <c r="A236" s="0" t="n">
        <v>10</v>
      </c>
      <c r="B236" s="0" t="s">
        <v>62</v>
      </c>
      <c r="C236" s="36" t="n">
        <v>126512</v>
      </c>
      <c r="D236" s="37" t="n">
        <v>40360</v>
      </c>
      <c r="E236" s="0" t="n">
        <v>2011</v>
      </c>
      <c r="F236" s="0" t="n">
        <v>6</v>
      </c>
      <c r="G236" s="38" t="n">
        <v>8068046.42</v>
      </c>
    </row>
    <row r="237" customFormat="false" ht="15" hidden="false" customHeight="false" outlineLevel="0" collapsed="false">
      <c r="A237" s="0" t="n">
        <v>11</v>
      </c>
      <c r="B237" s="0" t="s">
        <v>60</v>
      </c>
      <c r="C237" s="36" t="n">
        <v>207499</v>
      </c>
      <c r="D237" s="37" t="n">
        <v>40360</v>
      </c>
      <c r="E237" s="0" t="n">
        <v>2011</v>
      </c>
      <c r="F237" s="0" t="n">
        <v>6</v>
      </c>
      <c r="G237" s="38" t="n">
        <v>5633168.6</v>
      </c>
    </row>
    <row r="238" customFormat="false" ht="15" hidden="false" customHeight="false" outlineLevel="0" collapsed="false">
      <c r="A238" s="0" t="n">
        <v>12</v>
      </c>
      <c r="B238" s="0" t="s">
        <v>62</v>
      </c>
      <c r="C238" s="36" t="n">
        <v>112238</v>
      </c>
      <c r="D238" s="37" t="n">
        <v>40360</v>
      </c>
      <c r="E238" s="0" t="n">
        <v>2011</v>
      </c>
      <c r="F238" s="0" t="n">
        <v>6</v>
      </c>
      <c r="G238" s="38" t="n">
        <v>4096074.04</v>
      </c>
    </row>
    <row r="239" customFormat="false" ht="15" hidden="false" customHeight="false" outlineLevel="0" collapsed="false">
      <c r="A239" s="0" t="n">
        <v>13</v>
      </c>
      <c r="B239" s="0" t="s">
        <v>60</v>
      </c>
      <c r="C239" s="36" t="n">
        <v>219622</v>
      </c>
      <c r="D239" s="37" t="n">
        <v>40360</v>
      </c>
      <c r="E239" s="0" t="n">
        <v>2011</v>
      </c>
      <c r="F239" s="0" t="n">
        <v>6</v>
      </c>
      <c r="G239" s="38" t="n">
        <v>8386277.8</v>
      </c>
    </row>
    <row r="240" customFormat="false" ht="15" hidden="false" customHeight="false" outlineLevel="0" collapsed="false">
      <c r="A240" s="0" t="n">
        <v>14</v>
      </c>
      <c r="B240" s="0" t="s">
        <v>60</v>
      </c>
      <c r="C240" s="36" t="n">
        <v>200898</v>
      </c>
      <c r="D240" s="37" t="n">
        <v>40360</v>
      </c>
      <c r="E240" s="0" t="n">
        <v>2011</v>
      </c>
      <c r="F240" s="0" t="n">
        <v>6</v>
      </c>
      <c r="G240" s="38" t="n">
        <v>9449693.69</v>
      </c>
    </row>
    <row r="241" customFormat="false" ht="15" hidden="false" customHeight="false" outlineLevel="0" collapsed="false">
      <c r="A241" s="0" t="n">
        <v>15</v>
      </c>
      <c r="B241" s="0" t="s">
        <v>62</v>
      </c>
      <c r="C241" s="36" t="n">
        <v>123737</v>
      </c>
      <c r="D241" s="37" t="n">
        <v>40360</v>
      </c>
      <c r="E241" s="0" t="n">
        <v>2011</v>
      </c>
      <c r="F241" s="0" t="n">
        <v>6</v>
      </c>
      <c r="G241" s="38" t="n">
        <v>2836525.27</v>
      </c>
    </row>
    <row r="242" customFormat="false" ht="15" hidden="false" customHeight="false" outlineLevel="0" collapsed="false">
      <c r="A242" s="0" t="n">
        <v>16</v>
      </c>
      <c r="B242" s="0" t="s">
        <v>62</v>
      </c>
      <c r="C242" s="36" t="n">
        <v>57197</v>
      </c>
      <c r="D242" s="37" t="n">
        <v>40360</v>
      </c>
      <c r="E242" s="0" t="n">
        <v>2011</v>
      </c>
      <c r="F242" s="0" t="n">
        <v>6</v>
      </c>
      <c r="G242" s="38" t="n">
        <v>2610131.9</v>
      </c>
    </row>
    <row r="243" customFormat="false" ht="15" hidden="false" customHeight="false" outlineLevel="0" collapsed="false">
      <c r="A243" s="0" t="n">
        <v>17</v>
      </c>
      <c r="B243" s="0" t="s">
        <v>62</v>
      </c>
      <c r="C243" s="36" t="n">
        <v>93188</v>
      </c>
      <c r="D243" s="37" t="n">
        <v>40360</v>
      </c>
      <c r="E243" s="0" t="n">
        <v>2011</v>
      </c>
      <c r="F243" s="0" t="n">
        <v>6</v>
      </c>
      <c r="G243" s="38" t="n">
        <v>3828108.23</v>
      </c>
    </row>
    <row r="244" customFormat="false" ht="15" hidden="false" customHeight="false" outlineLevel="0" collapsed="false">
      <c r="A244" s="0" t="n">
        <v>18</v>
      </c>
      <c r="B244" s="0" t="s">
        <v>62</v>
      </c>
      <c r="C244" s="36" t="n">
        <v>120653</v>
      </c>
      <c r="D244" s="37" t="n">
        <v>40360</v>
      </c>
      <c r="E244" s="0" t="n">
        <v>2011</v>
      </c>
      <c r="F244" s="0" t="n">
        <v>6</v>
      </c>
      <c r="G244" s="38" t="n">
        <v>4924368.25</v>
      </c>
    </row>
    <row r="245" customFormat="false" ht="15" hidden="false" customHeight="false" outlineLevel="0" collapsed="false">
      <c r="A245" s="0" t="n">
        <v>19</v>
      </c>
      <c r="B245" s="0" t="s">
        <v>60</v>
      </c>
      <c r="C245" s="36" t="n">
        <v>203819</v>
      </c>
      <c r="D245" s="37" t="n">
        <v>40360</v>
      </c>
      <c r="E245" s="0" t="n">
        <v>2011</v>
      </c>
      <c r="F245" s="0" t="n">
        <v>6</v>
      </c>
      <c r="G245" s="38" t="n">
        <v>6383866.24</v>
      </c>
    </row>
    <row r="246" customFormat="false" ht="15" hidden="false" customHeight="false" outlineLevel="0" collapsed="false">
      <c r="A246" s="0" t="n">
        <v>20</v>
      </c>
      <c r="B246" s="0" t="s">
        <v>60</v>
      </c>
      <c r="C246" s="36" t="n">
        <v>203742</v>
      </c>
      <c r="D246" s="37" t="n">
        <v>40360</v>
      </c>
      <c r="E246" s="0" t="n">
        <v>2011</v>
      </c>
      <c r="F246" s="0" t="n">
        <v>6</v>
      </c>
      <c r="G246" s="38" t="n">
        <v>8880932.03</v>
      </c>
    </row>
    <row r="247" customFormat="false" ht="15" hidden="false" customHeight="false" outlineLevel="0" collapsed="false">
      <c r="A247" s="0" t="n">
        <v>21</v>
      </c>
      <c r="B247" s="0" t="s">
        <v>62</v>
      </c>
      <c r="C247" s="36" t="n">
        <v>140167</v>
      </c>
      <c r="D247" s="37" t="n">
        <v>40360</v>
      </c>
      <c r="E247" s="0" t="n">
        <v>2011</v>
      </c>
      <c r="F247" s="0" t="n">
        <v>6</v>
      </c>
      <c r="G247" s="38" t="n">
        <v>3260364.33</v>
      </c>
    </row>
    <row r="248" customFormat="false" ht="15" hidden="false" customHeight="false" outlineLevel="0" collapsed="false">
      <c r="A248" s="0" t="n">
        <v>22</v>
      </c>
      <c r="B248" s="0" t="s">
        <v>62</v>
      </c>
      <c r="C248" s="36" t="n">
        <v>119557</v>
      </c>
      <c r="D248" s="37" t="n">
        <v>40360</v>
      </c>
      <c r="E248" s="0" t="n">
        <v>2011</v>
      </c>
      <c r="F248" s="0" t="n">
        <v>6</v>
      </c>
      <c r="G248" s="38" t="n">
        <v>4490350.59</v>
      </c>
    </row>
    <row r="249" customFormat="false" ht="15" hidden="false" customHeight="false" outlineLevel="0" collapsed="false">
      <c r="A249" s="0" t="n">
        <v>23</v>
      </c>
      <c r="B249" s="0" t="s">
        <v>62</v>
      </c>
      <c r="C249" s="36" t="n">
        <v>114533</v>
      </c>
      <c r="D249" s="37" t="n">
        <v>40360</v>
      </c>
      <c r="E249" s="0" t="n">
        <v>2011</v>
      </c>
      <c r="F249" s="0" t="n">
        <v>6</v>
      </c>
      <c r="G249" s="38" t="n">
        <v>6129102.09</v>
      </c>
    </row>
    <row r="250" customFormat="false" ht="15" hidden="false" customHeight="false" outlineLevel="0" collapsed="false">
      <c r="A250" s="0" t="n">
        <v>24</v>
      </c>
      <c r="B250" s="0" t="s">
        <v>60</v>
      </c>
      <c r="C250" s="36" t="n">
        <v>203819</v>
      </c>
      <c r="D250" s="37" t="n">
        <v>40360</v>
      </c>
      <c r="E250" s="0" t="n">
        <v>2011</v>
      </c>
      <c r="F250" s="0" t="n">
        <v>6</v>
      </c>
      <c r="G250" s="38" t="n">
        <v>6458256.92</v>
      </c>
    </row>
    <row r="251" customFormat="false" ht="15" hidden="false" customHeight="false" outlineLevel="0" collapsed="false">
      <c r="A251" s="0" t="n">
        <v>25</v>
      </c>
      <c r="B251" s="0" t="s">
        <v>62</v>
      </c>
      <c r="C251" s="36" t="n">
        <v>128107</v>
      </c>
      <c r="D251" s="37" t="n">
        <v>40360</v>
      </c>
      <c r="E251" s="0" t="n">
        <v>2011</v>
      </c>
      <c r="F251" s="0" t="n">
        <v>6</v>
      </c>
      <c r="G251" s="38" t="n">
        <v>3110901.41</v>
      </c>
    </row>
    <row r="252" customFormat="false" ht="15" hidden="false" customHeight="false" outlineLevel="0" collapsed="false">
      <c r="A252" s="0" t="n">
        <v>26</v>
      </c>
      <c r="B252" s="0" t="s">
        <v>60</v>
      </c>
      <c r="C252" s="36" t="n">
        <v>152513</v>
      </c>
      <c r="D252" s="37" t="n">
        <v>40360</v>
      </c>
      <c r="E252" s="0" t="n">
        <v>2011</v>
      </c>
      <c r="F252" s="0" t="n">
        <v>6</v>
      </c>
      <c r="G252" s="38" t="n">
        <v>4596339.72</v>
      </c>
    </row>
    <row r="253" customFormat="false" ht="15" hidden="false" customHeight="false" outlineLevel="0" collapsed="false">
      <c r="A253" s="0" t="n">
        <v>27</v>
      </c>
      <c r="B253" s="0" t="s">
        <v>60</v>
      </c>
      <c r="C253" s="36" t="n">
        <v>204184</v>
      </c>
      <c r="D253" s="37" t="n">
        <v>40360</v>
      </c>
      <c r="E253" s="0" t="n">
        <v>2011</v>
      </c>
      <c r="F253" s="0" t="n">
        <v>6</v>
      </c>
      <c r="G253" s="38" t="n">
        <v>8475615.58</v>
      </c>
    </row>
    <row r="254" customFormat="false" ht="15" hidden="false" customHeight="false" outlineLevel="0" collapsed="false">
      <c r="A254" s="0" t="n">
        <v>28</v>
      </c>
      <c r="B254" s="0" t="s">
        <v>60</v>
      </c>
      <c r="C254" s="36" t="n">
        <v>206302</v>
      </c>
      <c r="D254" s="37" t="n">
        <v>40360</v>
      </c>
      <c r="E254" s="0" t="n">
        <v>2011</v>
      </c>
      <c r="F254" s="0" t="n">
        <v>6</v>
      </c>
      <c r="G254" s="38" t="n">
        <v>5539294.49</v>
      </c>
    </row>
    <row r="255" customFormat="false" ht="15" hidden="false" customHeight="false" outlineLevel="0" collapsed="false">
      <c r="A255" s="0" t="n">
        <v>29</v>
      </c>
      <c r="B255" s="0" t="s">
        <v>62</v>
      </c>
      <c r="C255" s="36" t="n">
        <v>93638</v>
      </c>
      <c r="D255" s="37" t="n">
        <v>40360</v>
      </c>
      <c r="E255" s="0" t="n">
        <v>2011</v>
      </c>
      <c r="F255" s="0" t="n">
        <v>6</v>
      </c>
      <c r="G255" s="38" t="n">
        <v>2332507.01</v>
      </c>
    </row>
    <row r="256" customFormat="false" ht="15" hidden="false" customHeight="false" outlineLevel="0" collapsed="false">
      <c r="A256" s="0" t="n">
        <v>30</v>
      </c>
      <c r="B256" s="0" t="s">
        <v>64</v>
      </c>
      <c r="C256" s="36" t="n">
        <v>42988</v>
      </c>
      <c r="D256" s="37" t="n">
        <v>40360</v>
      </c>
      <c r="E256" s="0" t="n">
        <v>2011</v>
      </c>
      <c r="F256" s="0" t="n">
        <v>6</v>
      </c>
      <c r="G256" s="38" t="n">
        <v>1944473.23</v>
      </c>
    </row>
    <row r="257" customFormat="false" ht="15" hidden="false" customHeight="false" outlineLevel="0" collapsed="false">
      <c r="A257" s="0" t="n">
        <v>31</v>
      </c>
      <c r="B257" s="0" t="s">
        <v>60</v>
      </c>
      <c r="C257" s="36" t="n">
        <v>203750</v>
      </c>
      <c r="D257" s="37" t="n">
        <v>40360</v>
      </c>
      <c r="E257" s="0" t="n">
        <v>2011</v>
      </c>
      <c r="F257" s="0" t="n">
        <v>6</v>
      </c>
      <c r="G257" s="38" t="n">
        <v>5726550.13</v>
      </c>
    </row>
    <row r="258" customFormat="false" ht="15" hidden="false" customHeight="false" outlineLevel="0" collapsed="false">
      <c r="A258" s="0" t="n">
        <v>32</v>
      </c>
      <c r="B258" s="0" t="s">
        <v>60</v>
      </c>
      <c r="C258" s="36" t="n">
        <v>203007</v>
      </c>
      <c r="D258" s="37" t="n">
        <v>40360</v>
      </c>
      <c r="E258" s="0" t="n">
        <v>2011</v>
      </c>
      <c r="F258" s="0" t="n">
        <v>6</v>
      </c>
      <c r="G258" s="38" t="n">
        <v>4875283.33</v>
      </c>
    </row>
    <row r="259" customFormat="false" ht="15" hidden="false" customHeight="false" outlineLevel="0" collapsed="false">
      <c r="A259" s="0" t="n">
        <v>33</v>
      </c>
      <c r="B259" s="0" t="s">
        <v>60</v>
      </c>
      <c r="C259" s="36" t="n">
        <v>39690</v>
      </c>
      <c r="D259" s="37" t="n">
        <v>40360</v>
      </c>
      <c r="E259" s="0" t="n">
        <v>2011</v>
      </c>
      <c r="F259" s="0" t="n">
        <v>6</v>
      </c>
      <c r="G259" s="38" t="n">
        <v>1192111.9</v>
      </c>
    </row>
    <row r="260" customFormat="false" ht="15" hidden="false" customHeight="false" outlineLevel="0" collapsed="false">
      <c r="A260" s="0" t="n">
        <v>34</v>
      </c>
      <c r="B260" s="0" t="s">
        <v>60</v>
      </c>
      <c r="C260" s="36" t="n">
        <v>158114</v>
      </c>
      <c r="D260" s="37" t="n">
        <v>40360</v>
      </c>
      <c r="E260" s="0" t="n">
        <v>2011</v>
      </c>
      <c r="F260" s="0" t="n">
        <v>6</v>
      </c>
      <c r="G260" s="38" t="n">
        <v>4023207.54</v>
      </c>
    </row>
    <row r="261" customFormat="false" ht="15" hidden="false" customHeight="false" outlineLevel="0" collapsed="false">
      <c r="A261" s="0" t="n">
        <v>35</v>
      </c>
      <c r="B261" s="0" t="s">
        <v>62</v>
      </c>
      <c r="C261" s="36" t="n">
        <v>103681</v>
      </c>
      <c r="D261" s="37" t="n">
        <v>40360</v>
      </c>
      <c r="E261" s="0" t="n">
        <v>2011</v>
      </c>
      <c r="F261" s="0" t="n">
        <v>6</v>
      </c>
      <c r="G261" s="38" t="n">
        <v>5178618.06</v>
      </c>
    </row>
    <row r="262" customFormat="false" ht="15" hidden="false" customHeight="false" outlineLevel="0" collapsed="false">
      <c r="A262" s="0" t="n">
        <v>36</v>
      </c>
      <c r="B262" s="0" t="s">
        <v>60</v>
      </c>
      <c r="C262" s="36" t="n">
        <v>39910</v>
      </c>
      <c r="D262" s="37" t="n">
        <v>40360</v>
      </c>
      <c r="E262" s="0" t="n">
        <v>2011</v>
      </c>
      <c r="F262" s="0" t="n">
        <v>6</v>
      </c>
      <c r="G262" s="38" t="n">
        <v>2013998.34</v>
      </c>
    </row>
    <row r="263" customFormat="false" ht="15" hidden="false" customHeight="false" outlineLevel="0" collapsed="false">
      <c r="A263" s="0" t="n">
        <v>37</v>
      </c>
      <c r="B263" s="0" t="s">
        <v>64</v>
      </c>
      <c r="C263" s="36" t="n">
        <v>39910</v>
      </c>
      <c r="D263" s="37" t="n">
        <v>40360</v>
      </c>
      <c r="E263" s="0" t="n">
        <v>2011</v>
      </c>
      <c r="F263" s="0" t="n">
        <v>6</v>
      </c>
      <c r="G263" s="38" t="n">
        <v>2182540.22</v>
      </c>
    </row>
    <row r="264" customFormat="false" ht="15" hidden="false" customHeight="false" outlineLevel="0" collapsed="false">
      <c r="A264" s="0" t="n">
        <v>38</v>
      </c>
      <c r="B264" s="0" t="s">
        <v>64</v>
      </c>
      <c r="C264" s="36" t="n">
        <v>39690</v>
      </c>
      <c r="D264" s="37" t="n">
        <v>40360</v>
      </c>
      <c r="E264" s="0" t="n">
        <v>2011</v>
      </c>
      <c r="F264" s="0" t="n">
        <v>6</v>
      </c>
      <c r="G264" s="38" t="n">
        <v>1504120.08</v>
      </c>
    </row>
    <row r="265" customFormat="false" ht="15" hidden="false" customHeight="false" outlineLevel="0" collapsed="false">
      <c r="A265" s="0" t="n">
        <v>39</v>
      </c>
      <c r="B265" s="0" t="s">
        <v>60</v>
      </c>
      <c r="C265" s="36" t="n">
        <v>184109</v>
      </c>
      <c r="D265" s="37" t="n">
        <v>40360</v>
      </c>
      <c r="E265" s="0" t="n">
        <v>2011</v>
      </c>
      <c r="F265" s="0" t="n">
        <v>6</v>
      </c>
      <c r="G265" s="38" t="n">
        <v>5881028.52</v>
      </c>
    </row>
    <row r="266" customFormat="false" ht="15" hidden="false" customHeight="false" outlineLevel="0" collapsed="false">
      <c r="A266" s="0" t="n">
        <v>40</v>
      </c>
      <c r="B266" s="0" t="s">
        <v>60</v>
      </c>
      <c r="C266" s="36" t="n">
        <v>155083</v>
      </c>
      <c r="D266" s="37" t="n">
        <v>40360</v>
      </c>
      <c r="E266" s="0" t="n">
        <v>2011</v>
      </c>
      <c r="F266" s="0" t="n">
        <v>6</v>
      </c>
      <c r="G266" s="38" t="n">
        <v>4354993.89</v>
      </c>
    </row>
    <row r="267" customFormat="false" ht="15" hidden="false" customHeight="false" outlineLevel="0" collapsed="false">
      <c r="A267" s="0" t="n">
        <v>41</v>
      </c>
      <c r="B267" s="0" t="s">
        <v>60</v>
      </c>
      <c r="C267" s="36" t="n">
        <v>196321</v>
      </c>
      <c r="D267" s="37" t="n">
        <v>40360</v>
      </c>
      <c r="E267" s="0" t="n">
        <v>2011</v>
      </c>
      <c r="F267" s="0" t="n">
        <v>6</v>
      </c>
      <c r="G267" s="38" t="n">
        <v>5314174.5</v>
      </c>
    </row>
    <row r="268" customFormat="false" ht="15" hidden="false" customHeight="false" outlineLevel="0" collapsed="false">
      <c r="A268" s="0" t="n">
        <v>42</v>
      </c>
      <c r="B268" s="0" t="s">
        <v>64</v>
      </c>
      <c r="C268" s="36" t="n">
        <v>39690</v>
      </c>
      <c r="D268" s="37" t="n">
        <v>40360</v>
      </c>
      <c r="E268" s="0" t="n">
        <v>2011</v>
      </c>
      <c r="F268" s="0" t="n">
        <v>6</v>
      </c>
      <c r="G268" s="38" t="n">
        <v>2317318.56</v>
      </c>
    </row>
    <row r="269" customFormat="false" ht="15" hidden="false" customHeight="false" outlineLevel="0" collapsed="false">
      <c r="A269" s="0" t="n">
        <v>43</v>
      </c>
      <c r="B269" s="0" t="s">
        <v>64</v>
      </c>
      <c r="C269" s="36" t="n">
        <v>41062</v>
      </c>
      <c r="D269" s="37" t="n">
        <v>40360</v>
      </c>
      <c r="E269" s="0" t="n">
        <v>2011</v>
      </c>
      <c r="F269" s="0" t="n">
        <v>6</v>
      </c>
      <c r="G269" s="38" t="n">
        <v>2977203.8</v>
      </c>
    </row>
    <row r="270" customFormat="false" ht="15" hidden="false" customHeight="false" outlineLevel="0" collapsed="false">
      <c r="A270" s="0" t="n">
        <v>44</v>
      </c>
      <c r="B270" s="0" t="s">
        <v>64</v>
      </c>
      <c r="C270" s="36" t="n">
        <v>39910</v>
      </c>
      <c r="D270" s="37" t="n">
        <v>40360</v>
      </c>
      <c r="E270" s="0" t="n">
        <v>2011</v>
      </c>
      <c r="F270" s="0" t="n">
        <v>6</v>
      </c>
      <c r="G270" s="38" t="n">
        <v>1273568.24</v>
      </c>
    </row>
    <row r="271" customFormat="false" ht="15" hidden="false" customHeight="false" outlineLevel="0" collapsed="false">
      <c r="A271" s="0" t="n">
        <v>45</v>
      </c>
      <c r="B271" s="0" t="s">
        <v>62</v>
      </c>
      <c r="C271" s="36" t="n">
        <v>118221</v>
      </c>
      <c r="D271" s="37" t="n">
        <v>40360</v>
      </c>
      <c r="E271" s="0" t="n">
        <v>2011</v>
      </c>
      <c r="F271" s="0" t="n">
        <v>6</v>
      </c>
      <c r="G271" s="38" t="n">
        <v>3277490.35</v>
      </c>
    </row>
    <row r="272" customFormat="false" ht="15" hidden="false" customHeight="false" outlineLevel="0" collapsed="false">
      <c r="A272" s="0" t="n">
        <v>1</v>
      </c>
      <c r="B272" s="0" t="s">
        <v>60</v>
      </c>
      <c r="C272" s="36" t="n">
        <v>151315</v>
      </c>
      <c r="D272" s="37" t="n">
        <v>40391</v>
      </c>
      <c r="E272" s="0" t="n">
        <v>2011</v>
      </c>
      <c r="F272" s="0" t="n">
        <v>7</v>
      </c>
      <c r="G272" s="38" t="n">
        <v>6726690.42</v>
      </c>
    </row>
    <row r="273" customFormat="false" ht="15" hidden="false" customHeight="false" outlineLevel="0" collapsed="false">
      <c r="A273" s="0" t="n">
        <v>2</v>
      </c>
      <c r="B273" s="0" t="s">
        <v>60</v>
      </c>
      <c r="C273" s="36" t="n">
        <v>202307</v>
      </c>
      <c r="D273" s="37" t="n">
        <v>40391</v>
      </c>
      <c r="E273" s="0" t="n">
        <v>2011</v>
      </c>
      <c r="F273" s="0" t="n">
        <v>7</v>
      </c>
      <c r="G273" s="38" t="n">
        <v>8519475.65</v>
      </c>
    </row>
    <row r="274" customFormat="false" ht="15" hidden="false" customHeight="false" outlineLevel="0" collapsed="false">
      <c r="A274" s="0" t="n">
        <v>3</v>
      </c>
      <c r="B274" s="0" t="s">
        <v>62</v>
      </c>
      <c r="C274" s="36" t="n">
        <v>37392</v>
      </c>
      <c r="D274" s="37" t="n">
        <v>40391</v>
      </c>
      <c r="E274" s="0" t="n">
        <v>2011</v>
      </c>
      <c r="F274" s="0" t="n">
        <v>7</v>
      </c>
      <c r="G274" s="38" t="n">
        <v>1607989.74</v>
      </c>
    </row>
    <row r="275" customFormat="false" ht="15" hidden="false" customHeight="false" outlineLevel="0" collapsed="false">
      <c r="A275" s="0" t="n">
        <v>4</v>
      </c>
      <c r="B275" s="0" t="s">
        <v>60</v>
      </c>
      <c r="C275" s="36" t="n">
        <v>205863</v>
      </c>
      <c r="D275" s="37" t="n">
        <v>40391</v>
      </c>
      <c r="E275" s="0" t="n">
        <v>2011</v>
      </c>
      <c r="F275" s="0" t="n">
        <v>7</v>
      </c>
      <c r="G275" s="38" t="n">
        <v>8593958.88</v>
      </c>
    </row>
    <row r="276" customFormat="false" ht="15" hidden="false" customHeight="false" outlineLevel="0" collapsed="false">
      <c r="A276" s="0" t="n">
        <v>5</v>
      </c>
      <c r="B276" s="0" t="s">
        <v>62</v>
      </c>
      <c r="C276" s="36" t="n">
        <v>34875</v>
      </c>
      <c r="D276" s="37" t="n">
        <v>40391</v>
      </c>
      <c r="E276" s="0" t="n">
        <v>2011</v>
      </c>
      <c r="F276" s="0" t="n">
        <v>7</v>
      </c>
      <c r="G276" s="38" t="n">
        <v>1306981.05</v>
      </c>
    </row>
    <row r="277" customFormat="false" ht="15" hidden="false" customHeight="false" outlineLevel="0" collapsed="false">
      <c r="A277" s="0" t="n">
        <v>6</v>
      </c>
      <c r="B277" s="0" t="s">
        <v>60</v>
      </c>
      <c r="C277" s="36" t="n">
        <v>202505</v>
      </c>
      <c r="D277" s="37" t="n">
        <v>40391</v>
      </c>
      <c r="E277" s="0" t="n">
        <v>2011</v>
      </c>
      <c r="F277" s="0" t="n">
        <v>7</v>
      </c>
      <c r="G277" s="38" t="n">
        <v>6801658.89</v>
      </c>
    </row>
    <row r="278" customFormat="false" ht="15" hidden="false" customHeight="false" outlineLevel="0" collapsed="false">
      <c r="A278" s="0" t="n">
        <v>7</v>
      </c>
      <c r="B278" s="0" t="s">
        <v>62</v>
      </c>
      <c r="C278" s="36" t="n">
        <v>70713</v>
      </c>
      <c r="D278" s="37" t="n">
        <v>40391</v>
      </c>
      <c r="E278" s="0" t="n">
        <v>2011</v>
      </c>
      <c r="F278" s="0" t="n">
        <v>7</v>
      </c>
      <c r="G278" s="38" t="n">
        <v>2591159.94</v>
      </c>
    </row>
    <row r="279" customFormat="false" ht="15" hidden="false" customHeight="false" outlineLevel="0" collapsed="false">
      <c r="A279" s="0" t="n">
        <v>8</v>
      </c>
      <c r="B279" s="0" t="s">
        <v>60</v>
      </c>
      <c r="C279" s="36" t="n">
        <v>155078</v>
      </c>
      <c r="D279" s="37" t="n">
        <v>40391</v>
      </c>
      <c r="E279" s="0" t="n">
        <v>2011</v>
      </c>
      <c r="F279" s="0" t="n">
        <v>7</v>
      </c>
      <c r="G279" s="38" t="n">
        <v>3906918.77</v>
      </c>
    </row>
    <row r="280" customFormat="false" ht="15" hidden="false" customHeight="false" outlineLevel="0" collapsed="false">
      <c r="A280" s="0" t="n">
        <v>9</v>
      </c>
      <c r="B280" s="0" t="s">
        <v>62</v>
      </c>
      <c r="C280" s="36" t="n">
        <v>125833</v>
      </c>
      <c r="D280" s="37" t="n">
        <v>40391</v>
      </c>
      <c r="E280" s="0" t="n">
        <v>2011</v>
      </c>
      <c r="F280" s="0" t="n">
        <v>7</v>
      </c>
      <c r="G280" s="38" t="n">
        <v>2228168.59</v>
      </c>
    </row>
    <row r="281" customFormat="false" ht="15" hidden="false" customHeight="false" outlineLevel="0" collapsed="false">
      <c r="A281" s="0" t="n">
        <v>10</v>
      </c>
      <c r="B281" s="0" t="s">
        <v>62</v>
      </c>
      <c r="C281" s="36" t="n">
        <v>126512</v>
      </c>
      <c r="D281" s="37" t="n">
        <v>40391</v>
      </c>
      <c r="E281" s="0" t="n">
        <v>2011</v>
      </c>
      <c r="F281" s="0" t="n">
        <v>7</v>
      </c>
      <c r="G281" s="38" t="n">
        <v>8353858.76</v>
      </c>
    </row>
    <row r="282" customFormat="false" ht="15" hidden="false" customHeight="false" outlineLevel="0" collapsed="false">
      <c r="A282" s="0" t="n">
        <v>11</v>
      </c>
      <c r="B282" s="0" t="s">
        <v>60</v>
      </c>
      <c r="C282" s="36" t="n">
        <v>207499</v>
      </c>
      <c r="D282" s="37" t="n">
        <v>40391</v>
      </c>
      <c r="E282" s="0" t="n">
        <v>2011</v>
      </c>
      <c r="F282" s="0" t="n">
        <v>7</v>
      </c>
      <c r="G282" s="38" t="n">
        <v>6044861.23</v>
      </c>
    </row>
    <row r="283" customFormat="false" ht="15" hidden="false" customHeight="false" outlineLevel="0" collapsed="false">
      <c r="A283" s="0" t="n">
        <v>12</v>
      </c>
      <c r="B283" s="0" t="s">
        <v>62</v>
      </c>
      <c r="C283" s="36" t="n">
        <v>112238</v>
      </c>
      <c r="D283" s="37" t="n">
        <v>40391</v>
      </c>
      <c r="E283" s="0" t="n">
        <v>2011</v>
      </c>
      <c r="F283" s="0" t="n">
        <v>7</v>
      </c>
      <c r="G283" s="38" t="n">
        <v>4325299.07</v>
      </c>
    </row>
    <row r="284" customFormat="false" ht="15" hidden="false" customHeight="false" outlineLevel="0" collapsed="false">
      <c r="A284" s="0" t="n">
        <v>13</v>
      </c>
      <c r="B284" s="0" t="s">
        <v>60</v>
      </c>
      <c r="C284" s="36" t="n">
        <v>219622</v>
      </c>
      <c r="D284" s="37" t="n">
        <v>40391</v>
      </c>
      <c r="E284" s="0" t="n">
        <v>2011</v>
      </c>
      <c r="F284" s="0" t="n">
        <v>7</v>
      </c>
      <c r="G284" s="38" t="n">
        <v>8563574.03</v>
      </c>
    </row>
    <row r="285" customFormat="false" ht="15" hidden="false" customHeight="false" outlineLevel="0" collapsed="false">
      <c r="A285" s="0" t="n">
        <v>14</v>
      </c>
      <c r="B285" s="0" t="s">
        <v>60</v>
      </c>
      <c r="C285" s="36" t="n">
        <v>200898</v>
      </c>
      <c r="D285" s="37" t="n">
        <v>40391</v>
      </c>
      <c r="E285" s="0" t="n">
        <v>2011</v>
      </c>
      <c r="F285" s="0" t="n">
        <v>7</v>
      </c>
      <c r="G285" s="38" t="n">
        <v>9280331.74</v>
      </c>
    </row>
    <row r="286" customFormat="false" ht="15" hidden="false" customHeight="false" outlineLevel="0" collapsed="false">
      <c r="A286" s="0" t="n">
        <v>15</v>
      </c>
      <c r="B286" s="0" t="s">
        <v>62</v>
      </c>
      <c r="C286" s="36" t="n">
        <v>123737</v>
      </c>
      <c r="D286" s="37" t="n">
        <v>40391</v>
      </c>
      <c r="E286" s="0" t="n">
        <v>2011</v>
      </c>
      <c r="F286" s="0" t="n">
        <v>7</v>
      </c>
      <c r="G286" s="38" t="n">
        <v>2822532.4</v>
      </c>
    </row>
    <row r="287" customFormat="false" ht="15" hidden="false" customHeight="false" outlineLevel="0" collapsed="false">
      <c r="A287" s="0" t="n">
        <v>16</v>
      </c>
      <c r="B287" s="0" t="s">
        <v>62</v>
      </c>
      <c r="C287" s="36" t="n">
        <v>57197</v>
      </c>
      <c r="D287" s="37" t="n">
        <v>40391</v>
      </c>
      <c r="E287" s="0" t="n">
        <v>2011</v>
      </c>
      <c r="F287" s="0" t="n">
        <v>7</v>
      </c>
      <c r="G287" s="38" t="n">
        <v>2459138.37</v>
      </c>
    </row>
    <row r="288" customFormat="false" ht="15" hidden="false" customHeight="false" outlineLevel="0" collapsed="false">
      <c r="A288" s="0" t="n">
        <v>17</v>
      </c>
      <c r="B288" s="0" t="s">
        <v>62</v>
      </c>
      <c r="C288" s="36" t="n">
        <v>93188</v>
      </c>
      <c r="D288" s="37" t="n">
        <v>40391</v>
      </c>
      <c r="E288" s="0" t="n">
        <v>2011</v>
      </c>
      <c r="F288" s="0" t="n">
        <v>7</v>
      </c>
      <c r="G288" s="38" t="n">
        <v>3504980.46</v>
      </c>
    </row>
    <row r="289" customFormat="false" ht="15" hidden="false" customHeight="false" outlineLevel="0" collapsed="false">
      <c r="A289" s="0" t="n">
        <v>18</v>
      </c>
      <c r="B289" s="0" t="s">
        <v>62</v>
      </c>
      <c r="C289" s="36" t="n">
        <v>120653</v>
      </c>
      <c r="D289" s="37" t="n">
        <v>40391</v>
      </c>
      <c r="E289" s="0" t="n">
        <v>2011</v>
      </c>
      <c r="F289" s="0" t="n">
        <v>7</v>
      </c>
      <c r="G289" s="38" t="n">
        <v>5118907.09</v>
      </c>
    </row>
    <row r="290" customFormat="false" ht="15" hidden="false" customHeight="false" outlineLevel="0" collapsed="false">
      <c r="A290" s="0" t="n">
        <v>19</v>
      </c>
      <c r="B290" s="0" t="s">
        <v>60</v>
      </c>
      <c r="C290" s="36" t="n">
        <v>203819</v>
      </c>
      <c r="D290" s="37" t="n">
        <v>40391</v>
      </c>
      <c r="E290" s="0" t="n">
        <v>2011</v>
      </c>
      <c r="F290" s="0" t="n">
        <v>7</v>
      </c>
      <c r="G290" s="38" t="n">
        <v>6601933.29</v>
      </c>
    </row>
    <row r="291" customFormat="false" ht="15" hidden="false" customHeight="false" outlineLevel="0" collapsed="false">
      <c r="A291" s="0" t="n">
        <v>20</v>
      </c>
      <c r="B291" s="0" t="s">
        <v>60</v>
      </c>
      <c r="C291" s="36" t="n">
        <v>203742</v>
      </c>
      <c r="D291" s="37" t="n">
        <v>40391</v>
      </c>
      <c r="E291" s="0" t="n">
        <v>2011</v>
      </c>
      <c r="F291" s="0" t="n">
        <v>7</v>
      </c>
      <c r="G291" s="38" t="n">
        <v>8842382.26</v>
      </c>
    </row>
    <row r="292" customFormat="false" ht="15" hidden="false" customHeight="false" outlineLevel="0" collapsed="false">
      <c r="A292" s="0" t="n">
        <v>21</v>
      </c>
      <c r="B292" s="0" t="s">
        <v>62</v>
      </c>
      <c r="C292" s="36" t="n">
        <v>140167</v>
      </c>
      <c r="D292" s="37" t="n">
        <v>40391</v>
      </c>
      <c r="E292" s="0" t="n">
        <v>2011</v>
      </c>
      <c r="F292" s="0" t="n">
        <v>7</v>
      </c>
      <c r="G292" s="38" t="n">
        <v>3547883.08</v>
      </c>
    </row>
    <row r="293" customFormat="false" ht="15" hidden="false" customHeight="false" outlineLevel="0" collapsed="false">
      <c r="A293" s="0" t="n">
        <v>22</v>
      </c>
      <c r="B293" s="0" t="s">
        <v>62</v>
      </c>
      <c r="C293" s="36" t="n">
        <v>119557</v>
      </c>
      <c r="D293" s="37" t="n">
        <v>40391</v>
      </c>
      <c r="E293" s="0" t="n">
        <v>2011</v>
      </c>
      <c r="F293" s="0" t="n">
        <v>7</v>
      </c>
      <c r="G293" s="38" t="n">
        <v>4571578.2</v>
      </c>
    </row>
    <row r="294" customFormat="false" ht="15" hidden="false" customHeight="false" outlineLevel="0" collapsed="false">
      <c r="A294" s="0" t="n">
        <v>23</v>
      </c>
      <c r="B294" s="0" t="s">
        <v>62</v>
      </c>
      <c r="C294" s="36" t="n">
        <v>114533</v>
      </c>
      <c r="D294" s="37" t="n">
        <v>40391</v>
      </c>
      <c r="E294" s="0" t="n">
        <v>2011</v>
      </c>
      <c r="F294" s="0" t="n">
        <v>7</v>
      </c>
      <c r="G294" s="38" t="n">
        <v>6388378.27</v>
      </c>
    </row>
    <row r="295" customFormat="false" ht="15" hidden="false" customHeight="false" outlineLevel="0" collapsed="false">
      <c r="A295" s="0" t="n">
        <v>24</v>
      </c>
      <c r="B295" s="0" t="s">
        <v>60</v>
      </c>
      <c r="C295" s="36" t="n">
        <v>203819</v>
      </c>
      <c r="D295" s="37" t="n">
        <v>40391</v>
      </c>
      <c r="E295" s="0" t="n">
        <v>2011</v>
      </c>
      <c r="F295" s="0" t="n">
        <v>7</v>
      </c>
      <c r="G295" s="38" t="n">
        <v>6127102.33</v>
      </c>
    </row>
    <row r="296" customFormat="false" ht="15" hidden="false" customHeight="false" outlineLevel="0" collapsed="false">
      <c r="A296" s="0" t="n">
        <v>25</v>
      </c>
      <c r="B296" s="0" t="s">
        <v>62</v>
      </c>
      <c r="C296" s="36" t="n">
        <v>128107</v>
      </c>
      <c r="D296" s="37" t="n">
        <v>40391</v>
      </c>
      <c r="E296" s="0" t="n">
        <v>2011</v>
      </c>
      <c r="F296" s="0" t="n">
        <v>7</v>
      </c>
      <c r="G296" s="38" t="n">
        <v>3113403.75</v>
      </c>
    </row>
    <row r="297" customFormat="false" ht="15" hidden="false" customHeight="false" outlineLevel="0" collapsed="false">
      <c r="A297" s="0" t="n">
        <v>26</v>
      </c>
      <c r="B297" s="0" t="s">
        <v>60</v>
      </c>
      <c r="C297" s="36" t="n">
        <v>152513</v>
      </c>
      <c r="D297" s="37" t="n">
        <v>40391</v>
      </c>
      <c r="E297" s="0" t="n">
        <v>2011</v>
      </c>
      <c r="F297" s="0" t="n">
        <v>7</v>
      </c>
      <c r="G297" s="38" t="n">
        <v>4554100.07</v>
      </c>
    </row>
    <row r="298" customFormat="false" ht="15" hidden="false" customHeight="false" outlineLevel="0" collapsed="false">
      <c r="A298" s="0" t="n">
        <v>27</v>
      </c>
      <c r="B298" s="0" t="s">
        <v>60</v>
      </c>
      <c r="C298" s="36" t="n">
        <v>204184</v>
      </c>
      <c r="D298" s="37" t="n">
        <v>40391</v>
      </c>
      <c r="E298" s="0" t="n">
        <v>2011</v>
      </c>
      <c r="F298" s="0" t="n">
        <v>7</v>
      </c>
      <c r="G298" s="38" t="n">
        <v>8397807.89</v>
      </c>
    </row>
    <row r="299" customFormat="false" ht="15" hidden="false" customHeight="false" outlineLevel="0" collapsed="false">
      <c r="A299" s="0" t="n">
        <v>28</v>
      </c>
      <c r="B299" s="0" t="s">
        <v>60</v>
      </c>
      <c r="C299" s="36" t="n">
        <v>206302</v>
      </c>
      <c r="D299" s="37" t="n">
        <v>40391</v>
      </c>
      <c r="E299" s="0" t="n">
        <v>2011</v>
      </c>
      <c r="F299" s="0" t="n">
        <v>7</v>
      </c>
      <c r="G299" s="38" t="n">
        <v>5782207.5</v>
      </c>
    </row>
    <row r="300" customFormat="false" ht="15" hidden="false" customHeight="false" outlineLevel="0" collapsed="false">
      <c r="A300" s="0" t="n">
        <v>29</v>
      </c>
      <c r="B300" s="0" t="s">
        <v>62</v>
      </c>
      <c r="C300" s="36" t="n">
        <v>93638</v>
      </c>
      <c r="D300" s="37" t="n">
        <v>40391</v>
      </c>
      <c r="E300" s="0" t="n">
        <v>2011</v>
      </c>
      <c r="F300" s="0" t="n">
        <v>7</v>
      </c>
      <c r="G300" s="38" t="n">
        <v>2349220.66</v>
      </c>
    </row>
    <row r="301" customFormat="false" ht="15" hidden="false" customHeight="false" outlineLevel="0" collapsed="false">
      <c r="A301" s="0" t="n">
        <v>30</v>
      </c>
      <c r="B301" s="0" t="s">
        <v>64</v>
      </c>
      <c r="C301" s="36" t="n">
        <v>42988</v>
      </c>
      <c r="D301" s="37" t="n">
        <v>40391</v>
      </c>
      <c r="E301" s="0" t="n">
        <v>2011</v>
      </c>
      <c r="F301" s="0" t="n">
        <v>7</v>
      </c>
      <c r="G301" s="38" t="n">
        <v>1977201.79</v>
      </c>
    </row>
    <row r="302" customFormat="false" ht="15" hidden="false" customHeight="false" outlineLevel="0" collapsed="false">
      <c r="A302" s="0" t="n">
        <v>31</v>
      </c>
      <c r="B302" s="0" t="s">
        <v>60</v>
      </c>
      <c r="C302" s="36" t="n">
        <v>203750</v>
      </c>
      <c r="D302" s="37" t="n">
        <v>40391</v>
      </c>
      <c r="E302" s="0" t="n">
        <v>2011</v>
      </c>
      <c r="F302" s="0" t="n">
        <v>7</v>
      </c>
      <c r="G302" s="38" t="n">
        <v>5934140.59</v>
      </c>
    </row>
    <row r="303" customFormat="false" ht="15" hidden="false" customHeight="false" outlineLevel="0" collapsed="false">
      <c r="A303" s="0" t="n">
        <v>32</v>
      </c>
      <c r="B303" s="0" t="s">
        <v>60</v>
      </c>
      <c r="C303" s="36" t="n">
        <v>203007</v>
      </c>
      <c r="D303" s="37" t="n">
        <v>40391</v>
      </c>
      <c r="E303" s="0" t="n">
        <v>2011</v>
      </c>
      <c r="F303" s="0" t="n">
        <v>7</v>
      </c>
      <c r="G303" s="38" t="n">
        <v>5095656.35</v>
      </c>
    </row>
    <row r="304" customFormat="false" ht="15" hidden="false" customHeight="false" outlineLevel="0" collapsed="false">
      <c r="A304" s="0" t="n">
        <v>33</v>
      </c>
      <c r="B304" s="0" t="s">
        <v>60</v>
      </c>
      <c r="C304" s="36" t="n">
        <v>39690</v>
      </c>
      <c r="D304" s="37" t="n">
        <v>40391</v>
      </c>
      <c r="E304" s="0" t="n">
        <v>2011</v>
      </c>
      <c r="F304" s="0" t="n">
        <v>7</v>
      </c>
      <c r="G304" s="38" t="n">
        <v>1080827.21</v>
      </c>
    </row>
    <row r="305" customFormat="false" ht="15" hidden="false" customHeight="false" outlineLevel="0" collapsed="false">
      <c r="A305" s="0" t="n">
        <v>34</v>
      </c>
      <c r="B305" s="0" t="s">
        <v>60</v>
      </c>
      <c r="C305" s="36" t="n">
        <v>158114</v>
      </c>
      <c r="D305" s="37" t="n">
        <v>40391</v>
      </c>
      <c r="E305" s="0" t="n">
        <v>2011</v>
      </c>
      <c r="F305" s="0" t="n">
        <v>7</v>
      </c>
      <c r="G305" s="38" t="n">
        <v>4189217.1</v>
      </c>
    </row>
    <row r="306" customFormat="false" ht="15" hidden="false" customHeight="false" outlineLevel="0" collapsed="false">
      <c r="A306" s="0" t="n">
        <v>35</v>
      </c>
      <c r="B306" s="0" t="s">
        <v>62</v>
      </c>
      <c r="C306" s="36" t="n">
        <v>103681</v>
      </c>
      <c r="D306" s="37" t="n">
        <v>40391</v>
      </c>
      <c r="E306" s="0" t="n">
        <v>2011</v>
      </c>
      <c r="F306" s="0" t="n">
        <v>7</v>
      </c>
      <c r="G306" s="38" t="n">
        <v>4595677.73</v>
      </c>
    </row>
    <row r="307" customFormat="false" ht="15" hidden="false" customHeight="false" outlineLevel="0" collapsed="false">
      <c r="A307" s="0" t="n">
        <v>36</v>
      </c>
      <c r="B307" s="0" t="s">
        <v>60</v>
      </c>
      <c r="C307" s="36" t="n">
        <v>39910</v>
      </c>
      <c r="D307" s="37" t="n">
        <v>40391</v>
      </c>
      <c r="E307" s="0" t="n">
        <v>2011</v>
      </c>
      <c r="F307" s="0" t="n">
        <v>7</v>
      </c>
      <c r="G307" s="38" t="n">
        <v>1967556.77</v>
      </c>
    </row>
    <row r="308" customFormat="false" ht="15" hidden="false" customHeight="false" outlineLevel="0" collapsed="false">
      <c r="A308" s="0" t="n">
        <v>37</v>
      </c>
      <c r="B308" s="0" t="s">
        <v>64</v>
      </c>
      <c r="C308" s="36" t="n">
        <v>39910</v>
      </c>
      <c r="D308" s="37" t="n">
        <v>40391</v>
      </c>
      <c r="E308" s="0" t="n">
        <v>2011</v>
      </c>
      <c r="F308" s="0" t="n">
        <v>7</v>
      </c>
      <c r="G308" s="38" t="n">
        <v>2218499.48</v>
      </c>
    </row>
    <row r="309" customFormat="false" ht="15" hidden="false" customHeight="false" outlineLevel="0" collapsed="false">
      <c r="A309" s="0" t="n">
        <v>38</v>
      </c>
      <c r="B309" s="0" t="s">
        <v>64</v>
      </c>
      <c r="C309" s="36" t="n">
        <v>39690</v>
      </c>
      <c r="D309" s="37" t="n">
        <v>40391</v>
      </c>
      <c r="E309" s="0" t="n">
        <v>2011</v>
      </c>
      <c r="F309" s="0" t="n">
        <v>7</v>
      </c>
      <c r="G309" s="38" t="n">
        <v>1533385.09</v>
      </c>
    </row>
    <row r="310" customFormat="false" ht="15" hidden="false" customHeight="false" outlineLevel="0" collapsed="false">
      <c r="A310" s="0" t="n">
        <v>39</v>
      </c>
      <c r="B310" s="0" t="s">
        <v>60</v>
      </c>
      <c r="C310" s="36" t="n">
        <v>184109</v>
      </c>
      <c r="D310" s="37" t="n">
        <v>40391</v>
      </c>
      <c r="E310" s="0" t="n">
        <v>2011</v>
      </c>
      <c r="F310" s="0" t="n">
        <v>7</v>
      </c>
      <c r="G310" s="38" t="n">
        <v>6238027.88</v>
      </c>
    </row>
    <row r="311" customFormat="false" ht="15" hidden="false" customHeight="false" outlineLevel="0" collapsed="false">
      <c r="A311" s="0" t="n">
        <v>40</v>
      </c>
      <c r="B311" s="0" t="s">
        <v>60</v>
      </c>
      <c r="C311" s="36" t="n">
        <v>155083</v>
      </c>
      <c r="D311" s="37" t="n">
        <v>40391</v>
      </c>
      <c r="E311" s="0" t="n">
        <v>2011</v>
      </c>
      <c r="F311" s="0" t="n">
        <v>7</v>
      </c>
      <c r="G311" s="38" t="n">
        <v>4242963.69</v>
      </c>
    </row>
    <row r="312" customFormat="false" ht="15" hidden="false" customHeight="false" outlineLevel="0" collapsed="false">
      <c r="A312" s="0" t="n">
        <v>41</v>
      </c>
      <c r="B312" s="0" t="s">
        <v>60</v>
      </c>
      <c r="C312" s="36" t="n">
        <v>196321</v>
      </c>
      <c r="D312" s="37" t="n">
        <v>40391</v>
      </c>
      <c r="E312" s="0" t="n">
        <v>2011</v>
      </c>
      <c r="F312" s="0" t="n">
        <v>7</v>
      </c>
      <c r="G312" s="38" t="n">
        <v>5658977.74</v>
      </c>
    </row>
    <row r="313" customFormat="false" ht="15" hidden="false" customHeight="false" outlineLevel="0" collapsed="false">
      <c r="A313" s="0" t="n">
        <v>42</v>
      </c>
      <c r="B313" s="0" t="s">
        <v>64</v>
      </c>
      <c r="C313" s="36" t="n">
        <v>39690</v>
      </c>
      <c r="D313" s="37" t="n">
        <v>40391</v>
      </c>
      <c r="E313" s="0" t="n">
        <v>2011</v>
      </c>
      <c r="F313" s="0" t="n">
        <v>7</v>
      </c>
      <c r="G313" s="38" t="n">
        <v>2346575.89</v>
      </c>
    </row>
    <row r="314" customFormat="false" ht="15" hidden="false" customHeight="false" outlineLevel="0" collapsed="false">
      <c r="A314" s="0" t="n">
        <v>43</v>
      </c>
      <c r="B314" s="0" t="s">
        <v>64</v>
      </c>
      <c r="C314" s="36" t="n">
        <v>41062</v>
      </c>
      <c r="D314" s="37" t="n">
        <v>40391</v>
      </c>
      <c r="E314" s="0" t="n">
        <v>2011</v>
      </c>
      <c r="F314" s="0" t="n">
        <v>7</v>
      </c>
      <c r="G314" s="38" t="n">
        <v>3074279.99</v>
      </c>
    </row>
    <row r="315" customFormat="false" ht="15" hidden="false" customHeight="false" outlineLevel="0" collapsed="false">
      <c r="A315" s="0" t="n">
        <v>44</v>
      </c>
      <c r="B315" s="0" t="s">
        <v>64</v>
      </c>
      <c r="C315" s="36" t="n">
        <v>39910</v>
      </c>
      <c r="D315" s="37" t="n">
        <v>40391</v>
      </c>
      <c r="E315" s="0" t="n">
        <v>2011</v>
      </c>
      <c r="F315" s="0" t="n">
        <v>7</v>
      </c>
      <c r="G315" s="38" t="n">
        <v>1292401.92</v>
      </c>
    </row>
    <row r="316" customFormat="false" ht="15" hidden="false" customHeight="false" outlineLevel="0" collapsed="false">
      <c r="A316" s="0" t="n">
        <v>45</v>
      </c>
      <c r="B316" s="0" t="s">
        <v>62</v>
      </c>
      <c r="C316" s="36" t="n">
        <v>118221</v>
      </c>
      <c r="D316" s="37" t="n">
        <v>40391</v>
      </c>
      <c r="E316" s="0" t="n">
        <v>2011</v>
      </c>
      <c r="F316" s="0" t="n">
        <v>7</v>
      </c>
      <c r="G316" s="38" t="n">
        <v>3243958.08</v>
      </c>
    </row>
    <row r="317" customFormat="false" ht="15" hidden="false" customHeight="false" outlineLevel="0" collapsed="false">
      <c r="A317" s="0" t="n">
        <v>1</v>
      </c>
      <c r="B317" s="0" t="s">
        <v>60</v>
      </c>
      <c r="C317" s="36" t="n">
        <v>151315</v>
      </c>
      <c r="D317" s="37" t="n">
        <v>40422</v>
      </c>
      <c r="E317" s="0" t="n">
        <v>2011</v>
      </c>
      <c r="F317" s="0" t="n">
        <v>8</v>
      </c>
      <c r="G317" s="38" t="n">
        <v>6195411.43</v>
      </c>
    </row>
    <row r="318" customFormat="false" ht="15" hidden="false" customHeight="false" outlineLevel="0" collapsed="false">
      <c r="A318" s="0" t="n">
        <v>2</v>
      </c>
      <c r="B318" s="0" t="s">
        <v>60</v>
      </c>
      <c r="C318" s="36" t="n">
        <v>202307</v>
      </c>
      <c r="D318" s="37" t="n">
        <v>40422</v>
      </c>
      <c r="E318" s="0" t="n">
        <v>2011</v>
      </c>
      <c r="F318" s="0" t="n">
        <v>8</v>
      </c>
      <c r="G318" s="38" t="n">
        <v>7740227.75</v>
      </c>
    </row>
    <row r="319" customFormat="false" ht="15" hidden="false" customHeight="false" outlineLevel="0" collapsed="false">
      <c r="A319" s="0" t="n">
        <v>3</v>
      </c>
      <c r="B319" s="0" t="s">
        <v>62</v>
      </c>
      <c r="C319" s="36" t="n">
        <v>37392</v>
      </c>
      <c r="D319" s="37" t="n">
        <v>40422</v>
      </c>
      <c r="E319" s="0" t="n">
        <v>2011</v>
      </c>
      <c r="F319" s="0" t="n">
        <v>8</v>
      </c>
      <c r="G319" s="38" t="n">
        <v>1535541.97</v>
      </c>
    </row>
    <row r="320" customFormat="false" ht="15" hidden="false" customHeight="false" outlineLevel="0" collapsed="false">
      <c r="A320" s="0" t="n">
        <v>4</v>
      </c>
      <c r="B320" s="0" t="s">
        <v>60</v>
      </c>
      <c r="C320" s="36" t="n">
        <v>205863</v>
      </c>
      <c r="D320" s="37" t="n">
        <v>40422</v>
      </c>
      <c r="E320" s="0" t="n">
        <v>2011</v>
      </c>
      <c r="F320" s="0" t="n">
        <v>8</v>
      </c>
      <c r="G320" s="38" t="n">
        <v>7985679.21</v>
      </c>
    </row>
    <row r="321" customFormat="false" ht="15" hidden="false" customHeight="false" outlineLevel="0" collapsed="false">
      <c r="A321" s="0" t="n">
        <v>5</v>
      </c>
      <c r="B321" s="0" t="s">
        <v>62</v>
      </c>
      <c r="C321" s="36" t="n">
        <v>34875</v>
      </c>
      <c r="D321" s="37" t="n">
        <v>40422</v>
      </c>
      <c r="E321" s="0" t="n">
        <v>2011</v>
      </c>
      <c r="F321" s="0" t="n">
        <v>8</v>
      </c>
      <c r="G321" s="38" t="n">
        <v>1263717.99</v>
      </c>
    </row>
    <row r="322" customFormat="false" ht="15" hidden="false" customHeight="false" outlineLevel="0" collapsed="false">
      <c r="A322" s="0" t="n">
        <v>6</v>
      </c>
      <c r="B322" s="0" t="s">
        <v>60</v>
      </c>
      <c r="C322" s="36" t="n">
        <v>202505</v>
      </c>
      <c r="D322" s="37" t="n">
        <v>40422</v>
      </c>
      <c r="E322" s="0" t="n">
        <v>2011</v>
      </c>
      <c r="F322" s="0" t="n">
        <v>8</v>
      </c>
      <c r="G322" s="38" t="n">
        <v>5794582.1</v>
      </c>
    </row>
    <row r="323" customFormat="false" ht="15" hidden="false" customHeight="false" outlineLevel="0" collapsed="false">
      <c r="A323" s="0" t="n">
        <v>7</v>
      </c>
      <c r="B323" s="0" t="s">
        <v>62</v>
      </c>
      <c r="C323" s="36" t="n">
        <v>70713</v>
      </c>
      <c r="D323" s="37" t="n">
        <v>40422</v>
      </c>
      <c r="E323" s="0" t="n">
        <v>2011</v>
      </c>
      <c r="F323" s="0" t="n">
        <v>8</v>
      </c>
      <c r="G323" s="38" t="n">
        <v>2126370.64</v>
      </c>
    </row>
    <row r="324" customFormat="false" ht="15" hidden="false" customHeight="false" outlineLevel="0" collapsed="false">
      <c r="A324" s="0" t="n">
        <v>8</v>
      </c>
      <c r="B324" s="0" t="s">
        <v>60</v>
      </c>
      <c r="C324" s="36" t="n">
        <v>155078</v>
      </c>
      <c r="D324" s="37" t="n">
        <v>40422</v>
      </c>
      <c r="E324" s="0" t="n">
        <v>2011</v>
      </c>
      <c r="F324" s="0" t="n">
        <v>8</v>
      </c>
      <c r="G324" s="38" t="n">
        <v>3516392.78</v>
      </c>
    </row>
    <row r="325" customFormat="false" ht="15" hidden="false" customHeight="false" outlineLevel="0" collapsed="false">
      <c r="A325" s="0" t="n">
        <v>9</v>
      </c>
      <c r="B325" s="0" t="s">
        <v>62</v>
      </c>
      <c r="C325" s="36" t="n">
        <v>125833</v>
      </c>
      <c r="D325" s="37" t="n">
        <v>40422</v>
      </c>
      <c r="E325" s="0" t="n">
        <v>2011</v>
      </c>
      <c r="F325" s="0" t="n">
        <v>8</v>
      </c>
      <c r="G325" s="38" t="n">
        <v>2045089.07</v>
      </c>
    </row>
    <row r="326" customFormat="false" ht="15" hidden="false" customHeight="false" outlineLevel="0" collapsed="false">
      <c r="A326" s="0" t="n">
        <v>10</v>
      </c>
      <c r="B326" s="0" t="s">
        <v>62</v>
      </c>
      <c r="C326" s="36" t="n">
        <v>126512</v>
      </c>
      <c r="D326" s="37" t="n">
        <v>40422</v>
      </c>
      <c r="E326" s="0" t="n">
        <v>2011</v>
      </c>
      <c r="F326" s="0" t="n">
        <v>8</v>
      </c>
      <c r="G326" s="38" t="n">
        <v>7260087.38</v>
      </c>
    </row>
    <row r="327" customFormat="false" ht="15" hidden="false" customHeight="false" outlineLevel="0" collapsed="false">
      <c r="A327" s="0" t="n">
        <v>11</v>
      </c>
      <c r="B327" s="0" t="s">
        <v>60</v>
      </c>
      <c r="C327" s="36" t="n">
        <v>207499</v>
      </c>
      <c r="D327" s="37" t="n">
        <v>40422</v>
      </c>
      <c r="E327" s="0" t="n">
        <v>2011</v>
      </c>
      <c r="F327" s="0" t="n">
        <v>8</v>
      </c>
      <c r="G327" s="38" t="n">
        <v>5189591.68</v>
      </c>
    </row>
    <row r="328" customFormat="false" ht="15" hidden="false" customHeight="false" outlineLevel="0" collapsed="false">
      <c r="A328" s="0" t="n">
        <v>12</v>
      </c>
      <c r="B328" s="0" t="s">
        <v>62</v>
      </c>
      <c r="C328" s="36" t="n">
        <v>112238</v>
      </c>
      <c r="D328" s="37" t="n">
        <v>40422</v>
      </c>
      <c r="E328" s="0" t="n">
        <v>2011</v>
      </c>
      <c r="F328" s="0" t="n">
        <v>8</v>
      </c>
      <c r="G328" s="38" t="n">
        <v>3798334.25</v>
      </c>
    </row>
    <row r="329" customFormat="false" ht="15" hidden="false" customHeight="false" outlineLevel="0" collapsed="false">
      <c r="A329" s="0" t="n">
        <v>13</v>
      </c>
      <c r="B329" s="0" t="s">
        <v>60</v>
      </c>
      <c r="C329" s="36" t="n">
        <v>219622</v>
      </c>
      <c r="D329" s="37" t="n">
        <v>40422</v>
      </c>
      <c r="E329" s="0" t="n">
        <v>2011</v>
      </c>
      <c r="F329" s="0" t="n">
        <v>8</v>
      </c>
      <c r="G329" s="38" t="n">
        <v>7600802.3</v>
      </c>
    </row>
    <row r="330" customFormat="false" ht="15" hidden="false" customHeight="false" outlineLevel="0" collapsed="false">
      <c r="A330" s="0" t="n">
        <v>14</v>
      </c>
      <c r="B330" s="0" t="s">
        <v>60</v>
      </c>
      <c r="C330" s="36" t="n">
        <v>200898</v>
      </c>
      <c r="D330" s="37" t="n">
        <v>40422</v>
      </c>
      <c r="E330" s="0" t="n">
        <v>2011</v>
      </c>
      <c r="F330" s="0" t="n">
        <v>8</v>
      </c>
      <c r="G330" s="38" t="n">
        <v>8551186.32</v>
      </c>
    </row>
    <row r="331" customFormat="false" ht="15" hidden="false" customHeight="false" outlineLevel="0" collapsed="false">
      <c r="A331" s="0" t="n">
        <v>15</v>
      </c>
      <c r="B331" s="0" t="s">
        <v>62</v>
      </c>
      <c r="C331" s="36" t="n">
        <v>123737</v>
      </c>
      <c r="D331" s="37" t="n">
        <v>40422</v>
      </c>
      <c r="E331" s="0" t="n">
        <v>2011</v>
      </c>
      <c r="F331" s="0" t="n">
        <v>8</v>
      </c>
      <c r="G331" s="38" t="n">
        <v>2533378.18</v>
      </c>
    </row>
    <row r="332" customFormat="false" ht="15" hidden="false" customHeight="false" outlineLevel="0" collapsed="false">
      <c r="A332" s="0" t="n">
        <v>16</v>
      </c>
      <c r="B332" s="0" t="s">
        <v>62</v>
      </c>
      <c r="C332" s="36" t="n">
        <v>57197</v>
      </c>
      <c r="D332" s="37" t="n">
        <v>40422</v>
      </c>
      <c r="E332" s="0" t="n">
        <v>2011</v>
      </c>
      <c r="F332" s="0" t="n">
        <v>8</v>
      </c>
      <c r="G332" s="38" t="n">
        <v>2200916.83</v>
      </c>
    </row>
    <row r="333" customFormat="false" ht="15" hidden="false" customHeight="false" outlineLevel="0" collapsed="false">
      <c r="A333" s="0" t="n">
        <v>17</v>
      </c>
      <c r="B333" s="0" t="s">
        <v>62</v>
      </c>
      <c r="C333" s="36" t="n">
        <v>93188</v>
      </c>
      <c r="D333" s="37" t="n">
        <v>40422</v>
      </c>
      <c r="E333" s="0" t="n">
        <v>2011</v>
      </c>
      <c r="F333" s="0" t="n">
        <v>8</v>
      </c>
      <c r="G333" s="38" t="n">
        <v>3993366.64</v>
      </c>
    </row>
    <row r="334" customFormat="false" ht="15" hidden="false" customHeight="false" outlineLevel="0" collapsed="false">
      <c r="A334" s="0" t="n">
        <v>18</v>
      </c>
      <c r="B334" s="0" t="s">
        <v>62</v>
      </c>
      <c r="C334" s="36" t="n">
        <v>120653</v>
      </c>
      <c r="D334" s="37" t="n">
        <v>40422</v>
      </c>
      <c r="E334" s="0" t="n">
        <v>2011</v>
      </c>
      <c r="F334" s="0" t="n">
        <v>8</v>
      </c>
      <c r="G334" s="38" t="n">
        <v>4282339.98</v>
      </c>
    </row>
    <row r="335" customFormat="false" ht="15" hidden="false" customHeight="false" outlineLevel="0" collapsed="false">
      <c r="A335" s="0" t="n">
        <v>19</v>
      </c>
      <c r="B335" s="0" t="s">
        <v>60</v>
      </c>
      <c r="C335" s="36" t="n">
        <v>203819</v>
      </c>
      <c r="D335" s="37" t="n">
        <v>40422</v>
      </c>
      <c r="E335" s="0" t="n">
        <v>2011</v>
      </c>
      <c r="F335" s="0" t="n">
        <v>8</v>
      </c>
      <c r="G335" s="38" t="n">
        <v>6174771.54</v>
      </c>
    </row>
    <row r="336" customFormat="false" ht="15" hidden="false" customHeight="false" outlineLevel="0" collapsed="false">
      <c r="A336" s="0" t="n">
        <v>20</v>
      </c>
      <c r="B336" s="0" t="s">
        <v>60</v>
      </c>
      <c r="C336" s="36" t="n">
        <v>203742</v>
      </c>
      <c r="D336" s="37" t="n">
        <v>40422</v>
      </c>
      <c r="E336" s="0" t="n">
        <v>2011</v>
      </c>
      <c r="F336" s="0" t="n">
        <v>8</v>
      </c>
      <c r="G336" s="38" t="n">
        <v>8319716.47</v>
      </c>
    </row>
    <row r="337" customFormat="false" ht="15" hidden="false" customHeight="false" outlineLevel="0" collapsed="false">
      <c r="A337" s="0" t="n">
        <v>21</v>
      </c>
      <c r="B337" s="0" t="s">
        <v>62</v>
      </c>
      <c r="C337" s="36" t="n">
        <v>140167</v>
      </c>
      <c r="D337" s="37" t="n">
        <v>40422</v>
      </c>
      <c r="E337" s="0" t="n">
        <v>2011</v>
      </c>
      <c r="F337" s="0" t="n">
        <v>8</v>
      </c>
      <c r="G337" s="38" t="n">
        <v>2922408.84</v>
      </c>
    </row>
    <row r="338" customFormat="false" ht="15" hidden="false" customHeight="false" outlineLevel="0" collapsed="false">
      <c r="A338" s="0" t="n">
        <v>22</v>
      </c>
      <c r="B338" s="0" t="s">
        <v>62</v>
      </c>
      <c r="C338" s="36" t="n">
        <v>119557</v>
      </c>
      <c r="D338" s="37" t="n">
        <v>40422</v>
      </c>
      <c r="E338" s="0" t="n">
        <v>2011</v>
      </c>
      <c r="F338" s="0" t="n">
        <v>8</v>
      </c>
      <c r="G338" s="38" t="n">
        <v>3982315.45</v>
      </c>
    </row>
    <row r="339" customFormat="false" ht="15" hidden="false" customHeight="false" outlineLevel="0" collapsed="false">
      <c r="A339" s="0" t="n">
        <v>23</v>
      </c>
      <c r="B339" s="0" t="s">
        <v>62</v>
      </c>
      <c r="C339" s="36" t="n">
        <v>114533</v>
      </c>
      <c r="D339" s="37" t="n">
        <v>40422</v>
      </c>
      <c r="E339" s="0" t="n">
        <v>2011</v>
      </c>
      <c r="F339" s="0" t="n">
        <v>8</v>
      </c>
      <c r="G339" s="38" t="n">
        <v>5101718.82</v>
      </c>
    </row>
    <row r="340" customFormat="false" ht="15" hidden="false" customHeight="false" outlineLevel="0" collapsed="false">
      <c r="A340" s="0" t="n">
        <v>24</v>
      </c>
      <c r="B340" s="0" t="s">
        <v>60</v>
      </c>
      <c r="C340" s="36" t="n">
        <v>203819</v>
      </c>
      <c r="D340" s="37" t="n">
        <v>40422</v>
      </c>
      <c r="E340" s="0" t="n">
        <v>2011</v>
      </c>
      <c r="F340" s="0" t="n">
        <v>8</v>
      </c>
      <c r="G340" s="38" t="n">
        <v>5544462.16</v>
      </c>
    </row>
    <row r="341" customFormat="false" ht="15" hidden="false" customHeight="false" outlineLevel="0" collapsed="false">
      <c r="A341" s="0" t="n">
        <v>25</v>
      </c>
      <c r="B341" s="0" t="s">
        <v>62</v>
      </c>
      <c r="C341" s="36" t="n">
        <v>128107</v>
      </c>
      <c r="D341" s="37" t="n">
        <v>40422</v>
      </c>
      <c r="E341" s="0" t="n">
        <v>2011</v>
      </c>
      <c r="F341" s="0" t="n">
        <v>8</v>
      </c>
      <c r="G341" s="38" t="n">
        <v>2751041.29</v>
      </c>
    </row>
    <row r="342" customFormat="false" ht="15" hidden="false" customHeight="false" outlineLevel="0" collapsed="false">
      <c r="A342" s="0" t="n">
        <v>26</v>
      </c>
      <c r="B342" s="0" t="s">
        <v>60</v>
      </c>
      <c r="C342" s="36" t="n">
        <v>152513</v>
      </c>
      <c r="D342" s="37" t="n">
        <v>40422</v>
      </c>
      <c r="E342" s="0" t="n">
        <v>2011</v>
      </c>
      <c r="F342" s="0" t="n">
        <v>8</v>
      </c>
      <c r="G342" s="38" t="n">
        <v>4070333.18</v>
      </c>
    </row>
    <row r="343" customFormat="false" ht="15" hidden="false" customHeight="false" outlineLevel="0" collapsed="false">
      <c r="A343" s="0" t="n">
        <v>27</v>
      </c>
      <c r="B343" s="0" t="s">
        <v>60</v>
      </c>
      <c r="C343" s="36" t="n">
        <v>204184</v>
      </c>
      <c r="D343" s="37" t="n">
        <v>40422</v>
      </c>
      <c r="E343" s="0" t="n">
        <v>2011</v>
      </c>
      <c r="F343" s="0" t="n">
        <v>8</v>
      </c>
      <c r="G343" s="38" t="n">
        <v>7281265.96</v>
      </c>
    </row>
    <row r="344" customFormat="false" ht="15" hidden="false" customHeight="false" outlineLevel="0" collapsed="false">
      <c r="A344" s="0" t="n">
        <v>28</v>
      </c>
      <c r="B344" s="0" t="s">
        <v>60</v>
      </c>
      <c r="C344" s="36" t="n">
        <v>206302</v>
      </c>
      <c r="D344" s="37" t="n">
        <v>40422</v>
      </c>
      <c r="E344" s="0" t="n">
        <v>2011</v>
      </c>
      <c r="F344" s="0" t="n">
        <v>8</v>
      </c>
      <c r="G344" s="38" t="n">
        <v>5201773.84</v>
      </c>
    </row>
    <row r="345" customFormat="false" ht="15" hidden="false" customHeight="false" outlineLevel="0" collapsed="false">
      <c r="A345" s="0" t="n">
        <v>29</v>
      </c>
      <c r="B345" s="0" t="s">
        <v>62</v>
      </c>
      <c r="C345" s="36" t="n">
        <v>93638</v>
      </c>
      <c r="D345" s="37" t="n">
        <v>40422</v>
      </c>
      <c r="E345" s="0" t="n">
        <v>2011</v>
      </c>
      <c r="F345" s="0" t="n">
        <v>8</v>
      </c>
      <c r="G345" s="38" t="n">
        <v>2075525.25</v>
      </c>
    </row>
    <row r="346" customFormat="false" ht="15" hidden="false" customHeight="false" outlineLevel="0" collapsed="false">
      <c r="A346" s="0" t="n">
        <v>30</v>
      </c>
      <c r="B346" s="0" t="s">
        <v>64</v>
      </c>
      <c r="C346" s="36" t="n">
        <v>42988</v>
      </c>
      <c r="D346" s="37" t="n">
        <v>40422</v>
      </c>
      <c r="E346" s="0" t="n">
        <v>2011</v>
      </c>
      <c r="F346" s="0" t="n">
        <v>8</v>
      </c>
      <c r="G346" s="38" t="n">
        <v>1945255.97</v>
      </c>
    </row>
    <row r="347" customFormat="false" ht="15" hidden="false" customHeight="false" outlineLevel="0" collapsed="false">
      <c r="A347" s="0" t="n">
        <v>31</v>
      </c>
      <c r="B347" s="0" t="s">
        <v>60</v>
      </c>
      <c r="C347" s="36" t="n">
        <v>203750</v>
      </c>
      <c r="D347" s="37" t="n">
        <v>40422</v>
      </c>
      <c r="E347" s="0" t="n">
        <v>2011</v>
      </c>
      <c r="F347" s="0" t="n">
        <v>8</v>
      </c>
      <c r="G347" s="38" t="n">
        <v>5431110.3</v>
      </c>
    </row>
    <row r="348" customFormat="false" ht="15" hidden="false" customHeight="false" outlineLevel="0" collapsed="false">
      <c r="A348" s="0" t="n">
        <v>32</v>
      </c>
      <c r="B348" s="0" t="s">
        <v>60</v>
      </c>
      <c r="C348" s="36" t="n">
        <v>203007</v>
      </c>
      <c r="D348" s="37" t="n">
        <v>40422</v>
      </c>
      <c r="E348" s="0" t="n">
        <v>2011</v>
      </c>
      <c r="F348" s="0" t="n">
        <v>8</v>
      </c>
      <c r="G348" s="38" t="n">
        <v>4519220.55</v>
      </c>
    </row>
    <row r="349" customFormat="false" ht="15" hidden="false" customHeight="false" outlineLevel="0" collapsed="false">
      <c r="A349" s="0" t="n">
        <v>33</v>
      </c>
      <c r="B349" s="0" t="s">
        <v>60</v>
      </c>
      <c r="C349" s="36" t="n">
        <v>39690</v>
      </c>
      <c r="D349" s="37" t="n">
        <v>40422</v>
      </c>
      <c r="E349" s="0" t="n">
        <v>2011</v>
      </c>
      <c r="F349" s="0" t="n">
        <v>8</v>
      </c>
      <c r="G349" s="38" t="n">
        <v>1045086.63</v>
      </c>
    </row>
    <row r="350" customFormat="false" ht="15" hidden="false" customHeight="false" outlineLevel="0" collapsed="false">
      <c r="A350" s="0" t="n">
        <v>34</v>
      </c>
      <c r="B350" s="0" t="s">
        <v>60</v>
      </c>
      <c r="C350" s="36" t="n">
        <v>158114</v>
      </c>
      <c r="D350" s="37" t="n">
        <v>40422</v>
      </c>
      <c r="E350" s="0" t="n">
        <v>2011</v>
      </c>
      <c r="F350" s="0" t="n">
        <v>8</v>
      </c>
      <c r="G350" s="38" t="n">
        <v>3840557.65</v>
      </c>
    </row>
    <row r="351" customFormat="false" ht="15" hidden="false" customHeight="false" outlineLevel="0" collapsed="false">
      <c r="A351" s="0" t="n">
        <v>35</v>
      </c>
      <c r="B351" s="0" t="s">
        <v>62</v>
      </c>
      <c r="C351" s="36" t="n">
        <v>103681</v>
      </c>
      <c r="D351" s="37" t="n">
        <v>40422</v>
      </c>
      <c r="E351" s="0" t="n">
        <v>2011</v>
      </c>
      <c r="F351" s="0" t="n">
        <v>8</v>
      </c>
      <c r="G351" s="38" t="n">
        <v>3618681.33</v>
      </c>
    </row>
    <row r="352" customFormat="false" ht="15" hidden="false" customHeight="false" outlineLevel="0" collapsed="false">
      <c r="A352" s="0" t="n">
        <v>36</v>
      </c>
      <c r="B352" s="0" t="s">
        <v>60</v>
      </c>
      <c r="C352" s="36" t="n">
        <v>39910</v>
      </c>
      <c r="D352" s="37" t="n">
        <v>40422</v>
      </c>
      <c r="E352" s="0" t="n">
        <v>2011</v>
      </c>
      <c r="F352" s="0" t="n">
        <v>8</v>
      </c>
      <c r="G352" s="38" t="n">
        <v>1855214.2</v>
      </c>
    </row>
    <row r="353" customFormat="false" ht="15" hidden="false" customHeight="false" outlineLevel="0" collapsed="false">
      <c r="A353" s="0" t="n">
        <v>37</v>
      </c>
      <c r="B353" s="0" t="s">
        <v>64</v>
      </c>
      <c r="C353" s="36" t="n">
        <v>39910</v>
      </c>
      <c r="D353" s="37" t="n">
        <v>40422</v>
      </c>
      <c r="E353" s="0" t="n">
        <v>2011</v>
      </c>
      <c r="F353" s="0" t="n">
        <v>8</v>
      </c>
      <c r="G353" s="38" t="n">
        <v>2178748.69</v>
      </c>
    </row>
    <row r="354" customFormat="false" ht="15" hidden="false" customHeight="false" outlineLevel="0" collapsed="false">
      <c r="A354" s="0" t="n">
        <v>38</v>
      </c>
      <c r="B354" s="0" t="s">
        <v>64</v>
      </c>
      <c r="C354" s="36" t="n">
        <v>39690</v>
      </c>
      <c r="D354" s="37" t="n">
        <v>40422</v>
      </c>
      <c r="E354" s="0" t="n">
        <v>2011</v>
      </c>
      <c r="F354" s="0" t="n">
        <v>8</v>
      </c>
      <c r="G354" s="38" t="n">
        <v>1473489.93</v>
      </c>
    </row>
    <row r="355" customFormat="false" ht="15" hidden="false" customHeight="false" outlineLevel="0" collapsed="false">
      <c r="A355" s="0" t="n">
        <v>39</v>
      </c>
      <c r="B355" s="0" t="s">
        <v>60</v>
      </c>
      <c r="C355" s="36" t="n">
        <v>184109</v>
      </c>
      <c r="D355" s="37" t="n">
        <v>40422</v>
      </c>
      <c r="E355" s="0" t="n">
        <v>2011</v>
      </c>
      <c r="F355" s="0" t="n">
        <v>8</v>
      </c>
      <c r="G355" s="38" t="n">
        <v>5353889.49</v>
      </c>
    </row>
    <row r="356" customFormat="false" ht="15" hidden="false" customHeight="false" outlineLevel="0" collapsed="false">
      <c r="A356" s="0" t="n">
        <v>40</v>
      </c>
      <c r="B356" s="0" t="s">
        <v>60</v>
      </c>
      <c r="C356" s="36" t="n">
        <v>155083</v>
      </c>
      <c r="D356" s="37" t="n">
        <v>40422</v>
      </c>
      <c r="E356" s="0" t="n">
        <v>2011</v>
      </c>
      <c r="F356" s="0" t="n">
        <v>8</v>
      </c>
      <c r="G356" s="38" t="n">
        <v>3849055.96</v>
      </c>
    </row>
    <row r="357" customFormat="false" ht="15" hidden="false" customHeight="false" outlineLevel="0" collapsed="false">
      <c r="A357" s="0" t="n">
        <v>41</v>
      </c>
      <c r="B357" s="0" t="s">
        <v>60</v>
      </c>
      <c r="C357" s="36" t="n">
        <v>196321</v>
      </c>
      <c r="D357" s="37" t="n">
        <v>40422</v>
      </c>
      <c r="E357" s="0" t="n">
        <v>2011</v>
      </c>
      <c r="F357" s="0" t="n">
        <v>8</v>
      </c>
      <c r="G357" s="38" t="n">
        <v>4869837.04</v>
      </c>
    </row>
    <row r="358" customFormat="false" ht="15" hidden="false" customHeight="false" outlineLevel="0" collapsed="false">
      <c r="A358" s="0" t="n">
        <v>42</v>
      </c>
      <c r="B358" s="0" t="s">
        <v>64</v>
      </c>
      <c r="C358" s="36" t="n">
        <v>39690</v>
      </c>
      <c r="D358" s="37" t="n">
        <v>40422</v>
      </c>
      <c r="E358" s="0" t="n">
        <v>2011</v>
      </c>
      <c r="F358" s="0" t="n">
        <v>8</v>
      </c>
      <c r="G358" s="38" t="n">
        <v>2255813.84</v>
      </c>
    </row>
    <row r="359" customFormat="false" ht="15" hidden="false" customHeight="false" outlineLevel="0" collapsed="false">
      <c r="A359" s="0" t="n">
        <v>43</v>
      </c>
      <c r="B359" s="0" t="s">
        <v>64</v>
      </c>
      <c r="C359" s="36" t="n">
        <v>41062</v>
      </c>
      <c r="D359" s="37" t="n">
        <v>40422</v>
      </c>
      <c r="E359" s="0" t="n">
        <v>2011</v>
      </c>
      <c r="F359" s="0" t="n">
        <v>8</v>
      </c>
      <c r="G359" s="38" t="n">
        <v>2956088.93</v>
      </c>
    </row>
    <row r="360" customFormat="false" ht="15" hidden="false" customHeight="false" outlineLevel="0" collapsed="false">
      <c r="A360" s="0" t="n">
        <v>44</v>
      </c>
      <c r="B360" s="0" t="s">
        <v>64</v>
      </c>
      <c r="C360" s="36" t="n">
        <v>39910</v>
      </c>
      <c r="D360" s="37" t="n">
        <v>40422</v>
      </c>
      <c r="E360" s="0" t="n">
        <v>2011</v>
      </c>
      <c r="F360" s="0" t="n">
        <v>8</v>
      </c>
      <c r="G360" s="38" t="n">
        <v>1228212.34</v>
      </c>
    </row>
    <row r="361" customFormat="false" ht="15" hidden="false" customHeight="false" outlineLevel="0" collapsed="false">
      <c r="A361" s="0" t="n">
        <v>45</v>
      </c>
      <c r="B361" s="0" t="s">
        <v>62</v>
      </c>
      <c r="C361" s="36" t="n">
        <v>118221</v>
      </c>
      <c r="D361" s="37" t="n">
        <v>40422</v>
      </c>
      <c r="E361" s="0" t="n">
        <v>2011</v>
      </c>
      <c r="F361" s="0" t="n">
        <v>8</v>
      </c>
      <c r="G361" s="38" t="n">
        <v>3046745.02</v>
      </c>
    </row>
    <row r="362" customFormat="false" ht="15" hidden="false" customHeight="false" outlineLevel="0" collapsed="false">
      <c r="A362" s="0" t="n">
        <v>1</v>
      </c>
      <c r="B362" s="0" t="s">
        <v>60</v>
      </c>
      <c r="C362" s="36" t="n">
        <v>151315</v>
      </c>
      <c r="D362" s="37" t="n">
        <v>40452</v>
      </c>
      <c r="E362" s="0" t="n">
        <v>2011</v>
      </c>
      <c r="F362" s="0" t="n">
        <v>9</v>
      </c>
      <c r="G362" s="38" t="n">
        <v>6348261.94</v>
      </c>
    </row>
    <row r="363" customFormat="false" ht="15" hidden="false" customHeight="false" outlineLevel="0" collapsed="false">
      <c r="A363" s="0" t="n">
        <v>2</v>
      </c>
      <c r="B363" s="0" t="s">
        <v>60</v>
      </c>
      <c r="C363" s="36" t="n">
        <v>202307</v>
      </c>
      <c r="D363" s="37" t="n">
        <v>40452</v>
      </c>
      <c r="E363" s="0" t="n">
        <v>2011</v>
      </c>
      <c r="F363" s="0" t="n">
        <v>9</v>
      </c>
      <c r="G363" s="38" t="n">
        <v>8000060.15</v>
      </c>
    </row>
    <row r="364" customFormat="false" ht="15" hidden="false" customHeight="false" outlineLevel="0" collapsed="false">
      <c r="A364" s="0" t="n">
        <v>3</v>
      </c>
      <c r="B364" s="0" t="s">
        <v>62</v>
      </c>
      <c r="C364" s="36" t="n">
        <v>37392</v>
      </c>
      <c r="D364" s="37" t="n">
        <v>40452</v>
      </c>
      <c r="E364" s="0" t="n">
        <v>2011</v>
      </c>
      <c r="F364" s="0" t="n">
        <v>9</v>
      </c>
      <c r="G364" s="38" t="n">
        <v>1610341.66</v>
      </c>
    </row>
    <row r="365" customFormat="false" ht="15" hidden="false" customHeight="false" outlineLevel="0" collapsed="false">
      <c r="A365" s="0" t="n">
        <v>4</v>
      </c>
      <c r="B365" s="0" t="s">
        <v>60</v>
      </c>
      <c r="C365" s="36" t="n">
        <v>205863</v>
      </c>
      <c r="D365" s="37" t="n">
        <v>40452</v>
      </c>
      <c r="E365" s="0" t="n">
        <v>2011</v>
      </c>
      <c r="F365" s="0" t="n">
        <v>9</v>
      </c>
      <c r="G365" s="38" t="n">
        <v>8518219.07</v>
      </c>
    </row>
    <row r="366" customFormat="false" ht="15" hidden="false" customHeight="false" outlineLevel="0" collapsed="false">
      <c r="A366" s="0" t="n">
        <v>5</v>
      </c>
      <c r="B366" s="0" t="s">
        <v>62</v>
      </c>
      <c r="C366" s="36" t="n">
        <v>34875</v>
      </c>
      <c r="D366" s="37" t="n">
        <v>40452</v>
      </c>
      <c r="E366" s="0" t="n">
        <v>2011</v>
      </c>
      <c r="F366" s="0" t="n">
        <v>9</v>
      </c>
      <c r="G366" s="38" t="n">
        <v>1267595.95</v>
      </c>
    </row>
    <row r="367" customFormat="false" ht="15" hidden="false" customHeight="false" outlineLevel="0" collapsed="false">
      <c r="A367" s="0" t="n">
        <v>6</v>
      </c>
      <c r="B367" s="0" t="s">
        <v>60</v>
      </c>
      <c r="C367" s="36" t="n">
        <v>202505</v>
      </c>
      <c r="D367" s="37" t="n">
        <v>40452</v>
      </c>
      <c r="E367" s="0" t="n">
        <v>2011</v>
      </c>
      <c r="F367" s="0" t="n">
        <v>9</v>
      </c>
      <c r="G367" s="38" t="n">
        <v>6042846.64</v>
      </c>
    </row>
    <row r="368" customFormat="false" ht="15" hidden="false" customHeight="false" outlineLevel="0" collapsed="false">
      <c r="A368" s="0" t="n">
        <v>7</v>
      </c>
      <c r="B368" s="0" t="s">
        <v>62</v>
      </c>
      <c r="C368" s="36" t="n">
        <v>70713</v>
      </c>
      <c r="D368" s="37" t="n">
        <v>40452</v>
      </c>
      <c r="E368" s="0" t="n">
        <v>2011</v>
      </c>
      <c r="F368" s="0" t="n">
        <v>9</v>
      </c>
      <c r="G368" s="38" t="n">
        <v>2082986.26</v>
      </c>
    </row>
    <row r="369" customFormat="false" ht="15" hidden="false" customHeight="false" outlineLevel="0" collapsed="false">
      <c r="A369" s="0" t="n">
        <v>8</v>
      </c>
      <c r="B369" s="0" t="s">
        <v>60</v>
      </c>
      <c r="C369" s="36" t="n">
        <v>155078</v>
      </c>
      <c r="D369" s="37" t="n">
        <v>40452</v>
      </c>
      <c r="E369" s="0" t="n">
        <v>2011</v>
      </c>
      <c r="F369" s="0" t="n">
        <v>9</v>
      </c>
      <c r="G369" s="38" t="n">
        <v>3743878.18</v>
      </c>
    </row>
    <row r="370" customFormat="false" ht="15" hidden="false" customHeight="false" outlineLevel="0" collapsed="false">
      <c r="A370" s="0" t="n">
        <v>9</v>
      </c>
      <c r="B370" s="0" t="s">
        <v>62</v>
      </c>
      <c r="C370" s="36" t="n">
        <v>125833</v>
      </c>
      <c r="D370" s="37" t="n">
        <v>40452</v>
      </c>
      <c r="E370" s="0" t="n">
        <v>2011</v>
      </c>
      <c r="F370" s="0" t="n">
        <v>9</v>
      </c>
      <c r="G370" s="38" t="n">
        <v>2153739.27</v>
      </c>
    </row>
    <row r="371" customFormat="false" ht="15" hidden="false" customHeight="false" outlineLevel="0" collapsed="false">
      <c r="A371" s="0" t="n">
        <v>10</v>
      </c>
      <c r="B371" s="0" t="s">
        <v>62</v>
      </c>
      <c r="C371" s="36" t="n">
        <v>126512</v>
      </c>
      <c r="D371" s="37" t="n">
        <v>40452</v>
      </c>
      <c r="E371" s="0" t="n">
        <v>2011</v>
      </c>
      <c r="F371" s="0" t="n">
        <v>9</v>
      </c>
      <c r="G371" s="38" t="n">
        <v>7716201.96</v>
      </c>
    </row>
    <row r="372" customFormat="false" ht="15" hidden="false" customHeight="false" outlineLevel="0" collapsed="false">
      <c r="A372" s="0" t="n">
        <v>11</v>
      </c>
      <c r="B372" s="0" t="s">
        <v>60</v>
      </c>
      <c r="C372" s="36" t="n">
        <v>207499</v>
      </c>
      <c r="D372" s="37" t="n">
        <v>40452</v>
      </c>
      <c r="E372" s="0" t="n">
        <v>2011</v>
      </c>
      <c r="F372" s="0" t="n">
        <v>9</v>
      </c>
      <c r="G372" s="38" t="n">
        <v>5383059.4</v>
      </c>
    </row>
    <row r="373" customFormat="false" ht="15" hidden="false" customHeight="false" outlineLevel="0" collapsed="false">
      <c r="A373" s="0" t="n">
        <v>12</v>
      </c>
      <c r="B373" s="0" t="s">
        <v>62</v>
      </c>
      <c r="C373" s="36" t="n">
        <v>112238</v>
      </c>
      <c r="D373" s="37" t="n">
        <v>40452</v>
      </c>
      <c r="E373" s="0" t="n">
        <v>2011</v>
      </c>
      <c r="F373" s="0" t="n">
        <v>9</v>
      </c>
      <c r="G373" s="38" t="n">
        <v>3981121.92</v>
      </c>
    </row>
    <row r="374" customFormat="false" ht="15" hidden="false" customHeight="false" outlineLevel="0" collapsed="false">
      <c r="A374" s="0" t="n">
        <v>13</v>
      </c>
      <c r="B374" s="0" t="s">
        <v>60</v>
      </c>
      <c r="C374" s="36" t="n">
        <v>219622</v>
      </c>
      <c r="D374" s="37" t="n">
        <v>40452</v>
      </c>
      <c r="E374" s="0" t="n">
        <v>2011</v>
      </c>
      <c r="F374" s="0" t="n">
        <v>9</v>
      </c>
      <c r="G374" s="38" t="n">
        <v>8190416.86</v>
      </c>
    </row>
    <row r="375" customFormat="false" ht="15" hidden="false" customHeight="false" outlineLevel="0" collapsed="false">
      <c r="A375" s="0" t="n">
        <v>14</v>
      </c>
      <c r="B375" s="0" t="s">
        <v>60</v>
      </c>
      <c r="C375" s="36" t="n">
        <v>200898</v>
      </c>
      <c r="D375" s="37" t="n">
        <v>40452</v>
      </c>
      <c r="E375" s="0" t="n">
        <v>2011</v>
      </c>
      <c r="F375" s="0" t="n">
        <v>9</v>
      </c>
      <c r="G375" s="38" t="n">
        <v>8804149.35</v>
      </c>
    </row>
    <row r="376" customFormat="false" ht="15" hidden="false" customHeight="false" outlineLevel="0" collapsed="false">
      <c r="A376" s="0" t="n">
        <v>15</v>
      </c>
      <c r="B376" s="0" t="s">
        <v>62</v>
      </c>
      <c r="C376" s="36" t="n">
        <v>123737</v>
      </c>
      <c r="D376" s="37" t="n">
        <v>40452</v>
      </c>
      <c r="E376" s="0" t="n">
        <v>2011</v>
      </c>
      <c r="F376" s="0" t="n">
        <v>9</v>
      </c>
      <c r="G376" s="38" t="n">
        <v>2623443.89</v>
      </c>
    </row>
    <row r="377" customFormat="false" ht="15" hidden="false" customHeight="false" outlineLevel="0" collapsed="false">
      <c r="A377" s="0" t="n">
        <v>16</v>
      </c>
      <c r="B377" s="0" t="s">
        <v>62</v>
      </c>
      <c r="C377" s="36" t="n">
        <v>57197</v>
      </c>
      <c r="D377" s="37" t="n">
        <v>40452</v>
      </c>
      <c r="E377" s="0" t="n">
        <v>2011</v>
      </c>
      <c r="F377" s="0" t="n">
        <v>9</v>
      </c>
      <c r="G377" s="38" t="n">
        <v>2125272.58</v>
      </c>
    </row>
    <row r="378" customFormat="false" ht="15" hidden="false" customHeight="false" outlineLevel="0" collapsed="false">
      <c r="A378" s="0" t="n">
        <v>17</v>
      </c>
      <c r="B378" s="0" t="s">
        <v>62</v>
      </c>
      <c r="C378" s="36" t="n">
        <v>93188</v>
      </c>
      <c r="D378" s="37" t="n">
        <v>40452</v>
      </c>
      <c r="E378" s="0" t="n">
        <v>2011</v>
      </c>
      <c r="F378" s="0" t="n">
        <v>9</v>
      </c>
      <c r="G378" s="38" t="n">
        <v>3695367.03</v>
      </c>
    </row>
    <row r="379" customFormat="false" ht="15" hidden="false" customHeight="false" outlineLevel="0" collapsed="false">
      <c r="A379" s="0" t="n">
        <v>18</v>
      </c>
      <c r="B379" s="0" t="s">
        <v>62</v>
      </c>
      <c r="C379" s="36" t="n">
        <v>120653</v>
      </c>
      <c r="D379" s="37" t="n">
        <v>40452</v>
      </c>
      <c r="E379" s="0" t="n">
        <v>2011</v>
      </c>
      <c r="F379" s="0" t="n">
        <v>9</v>
      </c>
      <c r="G379" s="38" t="n">
        <v>4674610.58</v>
      </c>
    </row>
    <row r="380" customFormat="false" ht="15" hidden="false" customHeight="false" outlineLevel="0" collapsed="false">
      <c r="A380" s="0" t="n">
        <v>19</v>
      </c>
      <c r="B380" s="0" t="s">
        <v>60</v>
      </c>
      <c r="C380" s="36" t="n">
        <v>203819</v>
      </c>
      <c r="D380" s="37" t="n">
        <v>40452</v>
      </c>
      <c r="E380" s="0" t="n">
        <v>2011</v>
      </c>
      <c r="F380" s="0" t="n">
        <v>9</v>
      </c>
      <c r="G380" s="38" t="n">
        <v>6167183.12</v>
      </c>
    </row>
    <row r="381" customFormat="false" ht="15" hidden="false" customHeight="false" outlineLevel="0" collapsed="false">
      <c r="A381" s="0" t="n">
        <v>20</v>
      </c>
      <c r="B381" s="0" t="s">
        <v>60</v>
      </c>
      <c r="C381" s="36" t="n">
        <v>203742</v>
      </c>
      <c r="D381" s="37" t="n">
        <v>40452</v>
      </c>
      <c r="E381" s="0" t="n">
        <v>2011</v>
      </c>
      <c r="F381" s="0" t="n">
        <v>9</v>
      </c>
      <c r="G381" s="38" t="n">
        <v>8697173.01</v>
      </c>
    </row>
    <row r="382" customFormat="false" ht="15" hidden="false" customHeight="false" outlineLevel="0" collapsed="false">
      <c r="A382" s="0" t="n">
        <v>21</v>
      </c>
      <c r="B382" s="0" t="s">
        <v>62</v>
      </c>
      <c r="C382" s="36" t="n">
        <v>140167</v>
      </c>
      <c r="D382" s="37" t="n">
        <v>40452</v>
      </c>
      <c r="E382" s="0" t="n">
        <v>2011</v>
      </c>
      <c r="F382" s="0" t="n">
        <v>9</v>
      </c>
      <c r="G382" s="38" t="n">
        <v>3118836.06</v>
      </c>
    </row>
    <row r="383" customFormat="false" ht="15" hidden="false" customHeight="false" outlineLevel="0" collapsed="false">
      <c r="A383" s="0" t="n">
        <v>22</v>
      </c>
      <c r="B383" s="0" t="s">
        <v>62</v>
      </c>
      <c r="C383" s="36" t="n">
        <v>119557</v>
      </c>
      <c r="D383" s="37" t="n">
        <v>40452</v>
      </c>
      <c r="E383" s="0" t="n">
        <v>2011</v>
      </c>
      <c r="F383" s="0" t="n">
        <v>9</v>
      </c>
      <c r="G383" s="38" t="n">
        <v>4373326.94</v>
      </c>
    </row>
    <row r="384" customFormat="false" ht="15" hidden="false" customHeight="false" outlineLevel="0" collapsed="false">
      <c r="A384" s="0" t="n">
        <v>23</v>
      </c>
      <c r="B384" s="0" t="s">
        <v>62</v>
      </c>
      <c r="C384" s="36" t="n">
        <v>114533</v>
      </c>
      <c r="D384" s="37" t="n">
        <v>40452</v>
      </c>
      <c r="E384" s="0" t="n">
        <v>2011</v>
      </c>
      <c r="F384" s="0" t="n">
        <v>9</v>
      </c>
      <c r="G384" s="38" t="n">
        <v>5065200.73</v>
      </c>
    </row>
    <row r="385" customFormat="false" ht="15" hidden="false" customHeight="false" outlineLevel="0" collapsed="false">
      <c r="A385" s="0" t="n">
        <v>24</v>
      </c>
      <c r="B385" s="0" t="s">
        <v>60</v>
      </c>
      <c r="C385" s="36" t="n">
        <v>203819</v>
      </c>
      <c r="D385" s="37" t="n">
        <v>40452</v>
      </c>
      <c r="E385" s="0" t="n">
        <v>2011</v>
      </c>
      <c r="F385" s="0" t="n">
        <v>9</v>
      </c>
      <c r="G385" s="38" t="n">
        <v>5683408.62</v>
      </c>
    </row>
    <row r="386" customFormat="false" ht="15" hidden="false" customHeight="false" outlineLevel="0" collapsed="false">
      <c r="A386" s="0" t="n">
        <v>25</v>
      </c>
      <c r="B386" s="0" t="s">
        <v>62</v>
      </c>
      <c r="C386" s="36" t="n">
        <v>128107</v>
      </c>
      <c r="D386" s="37" t="n">
        <v>40452</v>
      </c>
      <c r="E386" s="0" t="n">
        <v>2011</v>
      </c>
      <c r="F386" s="0" t="n">
        <v>9</v>
      </c>
      <c r="G386" s="38" t="n">
        <v>2919519.27</v>
      </c>
    </row>
    <row r="387" customFormat="false" ht="15" hidden="false" customHeight="false" outlineLevel="0" collapsed="false">
      <c r="A387" s="0" t="n">
        <v>26</v>
      </c>
      <c r="B387" s="0" t="s">
        <v>60</v>
      </c>
      <c r="C387" s="36" t="n">
        <v>152513</v>
      </c>
      <c r="D387" s="37" t="n">
        <v>40452</v>
      </c>
      <c r="E387" s="0" t="n">
        <v>2011</v>
      </c>
      <c r="F387" s="0" t="n">
        <v>9</v>
      </c>
      <c r="G387" s="38" t="n">
        <v>4159714.74</v>
      </c>
    </row>
    <row r="388" customFormat="false" ht="15" hidden="false" customHeight="false" outlineLevel="0" collapsed="false">
      <c r="A388" s="0" t="n">
        <v>27</v>
      </c>
      <c r="B388" s="0" t="s">
        <v>60</v>
      </c>
      <c r="C388" s="36" t="n">
        <v>204184</v>
      </c>
      <c r="D388" s="37" t="n">
        <v>40452</v>
      </c>
      <c r="E388" s="0" t="n">
        <v>2011</v>
      </c>
      <c r="F388" s="0" t="n">
        <v>9</v>
      </c>
      <c r="G388" s="38" t="n">
        <v>7521163.69</v>
      </c>
    </row>
    <row r="389" customFormat="false" ht="15" hidden="false" customHeight="false" outlineLevel="0" collapsed="false">
      <c r="A389" s="0" t="n">
        <v>28</v>
      </c>
      <c r="B389" s="0" t="s">
        <v>60</v>
      </c>
      <c r="C389" s="36" t="n">
        <v>206302</v>
      </c>
      <c r="D389" s="37" t="n">
        <v>40452</v>
      </c>
      <c r="E389" s="0" t="n">
        <v>2011</v>
      </c>
      <c r="F389" s="0" t="n">
        <v>9</v>
      </c>
      <c r="G389" s="38" t="n">
        <v>5445857.91</v>
      </c>
    </row>
    <row r="390" customFormat="false" ht="15" hidden="false" customHeight="false" outlineLevel="0" collapsed="false">
      <c r="A390" s="0" t="n">
        <v>29</v>
      </c>
      <c r="B390" s="0" t="s">
        <v>62</v>
      </c>
      <c r="C390" s="36" t="n">
        <v>93638</v>
      </c>
      <c r="D390" s="37" t="n">
        <v>40452</v>
      </c>
      <c r="E390" s="0" t="n">
        <v>2011</v>
      </c>
      <c r="F390" s="0" t="n">
        <v>9</v>
      </c>
      <c r="G390" s="38" t="n">
        <v>2262022.52</v>
      </c>
    </row>
    <row r="391" customFormat="false" ht="15" hidden="false" customHeight="false" outlineLevel="0" collapsed="false">
      <c r="A391" s="0" t="n">
        <v>30</v>
      </c>
      <c r="B391" s="0" t="s">
        <v>64</v>
      </c>
      <c r="C391" s="36" t="n">
        <v>42988</v>
      </c>
      <c r="D391" s="37" t="n">
        <v>40452</v>
      </c>
      <c r="E391" s="0" t="n">
        <v>2011</v>
      </c>
      <c r="F391" s="0" t="n">
        <v>9</v>
      </c>
      <c r="G391" s="38" t="n">
        <v>2016104.66</v>
      </c>
    </row>
    <row r="392" customFormat="false" ht="15" hidden="false" customHeight="false" outlineLevel="0" collapsed="false">
      <c r="A392" s="0" t="n">
        <v>31</v>
      </c>
      <c r="B392" s="0" t="s">
        <v>60</v>
      </c>
      <c r="C392" s="36" t="n">
        <v>203750</v>
      </c>
      <c r="D392" s="37" t="n">
        <v>40452</v>
      </c>
      <c r="E392" s="0" t="n">
        <v>2011</v>
      </c>
      <c r="F392" s="0" t="n">
        <v>9</v>
      </c>
      <c r="G392" s="38" t="n">
        <v>5638036.53</v>
      </c>
    </row>
    <row r="393" customFormat="false" ht="15" hidden="false" customHeight="false" outlineLevel="0" collapsed="false">
      <c r="A393" s="0" t="n">
        <v>32</v>
      </c>
      <c r="B393" s="0" t="s">
        <v>60</v>
      </c>
      <c r="C393" s="36" t="n">
        <v>203007</v>
      </c>
      <c r="D393" s="37" t="n">
        <v>40452</v>
      </c>
      <c r="E393" s="0" t="n">
        <v>2011</v>
      </c>
      <c r="F393" s="0" t="n">
        <v>9</v>
      </c>
      <c r="G393" s="38" t="n">
        <v>4854814.4</v>
      </c>
    </row>
    <row r="394" customFormat="false" ht="15" hidden="false" customHeight="false" outlineLevel="0" collapsed="false">
      <c r="A394" s="0" t="n">
        <v>33</v>
      </c>
      <c r="B394" s="0" t="s">
        <v>60</v>
      </c>
      <c r="C394" s="36" t="n">
        <v>39690</v>
      </c>
      <c r="D394" s="37" t="n">
        <v>40452</v>
      </c>
      <c r="E394" s="0" t="n">
        <v>2011</v>
      </c>
      <c r="F394" s="0" t="n">
        <v>9</v>
      </c>
      <c r="G394" s="38" t="n">
        <v>1068294.72</v>
      </c>
    </row>
    <row r="395" customFormat="false" ht="15" hidden="false" customHeight="false" outlineLevel="0" collapsed="false">
      <c r="A395" s="0" t="n">
        <v>34</v>
      </c>
      <c r="B395" s="0" t="s">
        <v>60</v>
      </c>
      <c r="C395" s="36" t="n">
        <v>158114</v>
      </c>
      <c r="D395" s="37" t="n">
        <v>40452</v>
      </c>
      <c r="E395" s="0" t="n">
        <v>2011</v>
      </c>
      <c r="F395" s="0" t="n">
        <v>9</v>
      </c>
      <c r="G395" s="38" t="n">
        <v>4084472.41</v>
      </c>
    </row>
    <row r="396" customFormat="false" ht="15" hidden="false" customHeight="false" outlineLevel="0" collapsed="false">
      <c r="A396" s="0" t="n">
        <v>35</v>
      </c>
      <c r="B396" s="0" t="s">
        <v>62</v>
      </c>
      <c r="C396" s="36" t="n">
        <v>103681</v>
      </c>
      <c r="D396" s="37" t="n">
        <v>40452</v>
      </c>
      <c r="E396" s="0" t="n">
        <v>2011</v>
      </c>
      <c r="F396" s="0" t="n">
        <v>9</v>
      </c>
      <c r="G396" s="38" t="n">
        <v>3709720.51</v>
      </c>
    </row>
    <row r="397" customFormat="false" ht="15" hidden="false" customHeight="false" outlineLevel="0" collapsed="false">
      <c r="A397" s="0" t="n">
        <v>36</v>
      </c>
      <c r="B397" s="0" t="s">
        <v>60</v>
      </c>
      <c r="C397" s="36" t="n">
        <v>39910</v>
      </c>
      <c r="D397" s="37" t="n">
        <v>40452</v>
      </c>
      <c r="E397" s="0" t="n">
        <v>2011</v>
      </c>
      <c r="F397" s="0" t="n">
        <v>9</v>
      </c>
      <c r="G397" s="38" t="n">
        <v>1891540.33</v>
      </c>
    </row>
    <row r="398" customFormat="false" ht="15" hidden="false" customHeight="false" outlineLevel="0" collapsed="false">
      <c r="A398" s="0" t="n">
        <v>37</v>
      </c>
      <c r="B398" s="0" t="s">
        <v>64</v>
      </c>
      <c r="C398" s="36" t="n">
        <v>39910</v>
      </c>
      <c r="D398" s="37" t="n">
        <v>40452</v>
      </c>
      <c r="E398" s="0" t="n">
        <v>2011</v>
      </c>
      <c r="F398" s="0" t="n">
        <v>9</v>
      </c>
      <c r="G398" s="38" t="n">
        <v>2278212.92</v>
      </c>
    </row>
    <row r="399" customFormat="false" ht="15" hidden="false" customHeight="false" outlineLevel="0" collapsed="false">
      <c r="A399" s="0" t="n">
        <v>38</v>
      </c>
      <c r="B399" s="0" t="s">
        <v>64</v>
      </c>
      <c r="C399" s="36" t="n">
        <v>39690</v>
      </c>
      <c r="D399" s="37" t="n">
        <v>40452</v>
      </c>
      <c r="E399" s="0" t="n">
        <v>2011</v>
      </c>
      <c r="F399" s="0" t="n">
        <v>9</v>
      </c>
      <c r="G399" s="38" t="n">
        <v>1529561.7</v>
      </c>
    </row>
    <row r="400" customFormat="false" ht="15" hidden="false" customHeight="false" outlineLevel="0" collapsed="false">
      <c r="A400" s="0" t="n">
        <v>39</v>
      </c>
      <c r="B400" s="0" t="s">
        <v>60</v>
      </c>
      <c r="C400" s="36" t="n">
        <v>184109</v>
      </c>
      <c r="D400" s="37" t="n">
        <v>40452</v>
      </c>
      <c r="E400" s="0" t="n">
        <v>2011</v>
      </c>
      <c r="F400" s="0" t="n">
        <v>9</v>
      </c>
      <c r="G400" s="38" t="n">
        <v>5625075.57</v>
      </c>
    </row>
    <row r="401" customFormat="false" ht="15" hidden="false" customHeight="false" outlineLevel="0" collapsed="false">
      <c r="A401" s="0" t="n">
        <v>40</v>
      </c>
      <c r="B401" s="0" t="s">
        <v>60</v>
      </c>
      <c r="C401" s="36" t="n">
        <v>155083</v>
      </c>
      <c r="D401" s="37" t="n">
        <v>40452</v>
      </c>
      <c r="E401" s="0" t="n">
        <v>2011</v>
      </c>
      <c r="F401" s="0" t="n">
        <v>9</v>
      </c>
      <c r="G401" s="38" t="n">
        <v>4051464.54</v>
      </c>
    </row>
    <row r="402" customFormat="false" ht="15" hidden="false" customHeight="false" outlineLevel="0" collapsed="false">
      <c r="A402" s="0" t="n">
        <v>41</v>
      </c>
      <c r="B402" s="0" t="s">
        <v>60</v>
      </c>
      <c r="C402" s="36" t="n">
        <v>196321</v>
      </c>
      <c r="D402" s="37" t="n">
        <v>40452</v>
      </c>
      <c r="E402" s="0" t="n">
        <v>2011</v>
      </c>
      <c r="F402" s="0" t="n">
        <v>9</v>
      </c>
      <c r="G402" s="38" t="n">
        <v>5087810.05</v>
      </c>
    </row>
    <row r="403" customFormat="false" ht="15" hidden="false" customHeight="false" outlineLevel="0" collapsed="false">
      <c r="A403" s="0" t="n">
        <v>42</v>
      </c>
      <c r="B403" s="0" t="s">
        <v>64</v>
      </c>
      <c r="C403" s="36" t="n">
        <v>39690</v>
      </c>
      <c r="D403" s="37" t="n">
        <v>40452</v>
      </c>
      <c r="E403" s="0" t="n">
        <v>2011</v>
      </c>
      <c r="F403" s="0" t="n">
        <v>9</v>
      </c>
      <c r="G403" s="38" t="n">
        <v>2388809.19</v>
      </c>
    </row>
    <row r="404" customFormat="false" ht="15" hidden="false" customHeight="false" outlineLevel="0" collapsed="false">
      <c r="A404" s="0" t="n">
        <v>43</v>
      </c>
      <c r="B404" s="0" t="s">
        <v>64</v>
      </c>
      <c r="C404" s="36" t="n">
        <v>41062</v>
      </c>
      <c r="D404" s="37" t="n">
        <v>40452</v>
      </c>
      <c r="E404" s="0" t="n">
        <v>2011</v>
      </c>
      <c r="F404" s="0" t="n">
        <v>9</v>
      </c>
      <c r="G404" s="38" t="n">
        <v>2971208.71</v>
      </c>
    </row>
    <row r="405" customFormat="false" ht="15" hidden="false" customHeight="false" outlineLevel="0" collapsed="false">
      <c r="A405" s="0" t="n">
        <v>44</v>
      </c>
      <c r="B405" s="0" t="s">
        <v>64</v>
      </c>
      <c r="C405" s="36" t="n">
        <v>39910</v>
      </c>
      <c r="D405" s="37" t="n">
        <v>40452</v>
      </c>
      <c r="E405" s="0" t="n">
        <v>2011</v>
      </c>
      <c r="F405" s="0" t="n">
        <v>9</v>
      </c>
      <c r="G405" s="38" t="n">
        <v>1225010.08</v>
      </c>
    </row>
    <row r="406" customFormat="false" ht="15" hidden="false" customHeight="false" outlineLevel="0" collapsed="false">
      <c r="A406" s="0" t="n">
        <v>45</v>
      </c>
      <c r="B406" s="0" t="s">
        <v>62</v>
      </c>
      <c r="C406" s="36" t="n">
        <v>118221</v>
      </c>
      <c r="D406" s="37" t="n">
        <v>40452</v>
      </c>
      <c r="E406" s="0" t="n">
        <v>2011</v>
      </c>
      <c r="F406" s="0" t="n">
        <v>9</v>
      </c>
      <c r="G406" s="38" t="n">
        <v>3241666.82</v>
      </c>
    </row>
    <row r="407" customFormat="false" ht="15" hidden="false" customHeight="false" outlineLevel="0" collapsed="false">
      <c r="A407" s="0" t="n">
        <v>1</v>
      </c>
      <c r="B407" s="0" t="s">
        <v>60</v>
      </c>
      <c r="C407" s="36" t="n">
        <v>151315</v>
      </c>
      <c r="D407" s="37" t="n">
        <v>40483</v>
      </c>
      <c r="E407" s="0" t="n">
        <v>2011</v>
      </c>
      <c r="F407" s="0" t="n">
        <v>10</v>
      </c>
      <c r="G407" s="38" t="n">
        <v>6926806.53</v>
      </c>
    </row>
    <row r="408" customFormat="false" ht="15" hidden="false" customHeight="false" outlineLevel="0" collapsed="false">
      <c r="A408" s="0" t="n">
        <v>2</v>
      </c>
      <c r="B408" s="0" t="s">
        <v>60</v>
      </c>
      <c r="C408" s="36" t="n">
        <v>202307</v>
      </c>
      <c r="D408" s="37" t="n">
        <v>40483</v>
      </c>
      <c r="E408" s="0" t="n">
        <v>2011</v>
      </c>
      <c r="F408" s="0" t="n">
        <v>10</v>
      </c>
      <c r="G408" s="38" t="n">
        <v>9069196.08</v>
      </c>
    </row>
    <row r="409" customFormat="false" ht="15" hidden="false" customHeight="false" outlineLevel="0" collapsed="false">
      <c r="A409" s="0" t="n">
        <v>3</v>
      </c>
      <c r="B409" s="0" t="s">
        <v>62</v>
      </c>
      <c r="C409" s="36" t="n">
        <v>37392</v>
      </c>
      <c r="D409" s="37" t="n">
        <v>40483</v>
      </c>
      <c r="E409" s="0" t="n">
        <v>2011</v>
      </c>
      <c r="F409" s="0" t="n">
        <v>10</v>
      </c>
      <c r="G409" s="38" t="n">
        <v>1899256.9</v>
      </c>
    </row>
    <row r="410" customFormat="false" ht="15" hidden="false" customHeight="false" outlineLevel="0" collapsed="false">
      <c r="A410" s="0" t="n">
        <v>4</v>
      </c>
      <c r="B410" s="0" t="s">
        <v>60</v>
      </c>
      <c r="C410" s="36" t="n">
        <v>205863</v>
      </c>
      <c r="D410" s="37" t="n">
        <v>40483</v>
      </c>
      <c r="E410" s="0" t="n">
        <v>2011</v>
      </c>
      <c r="F410" s="0" t="n">
        <v>10</v>
      </c>
      <c r="G410" s="38" t="n">
        <v>9526458.76</v>
      </c>
    </row>
    <row r="411" customFormat="false" ht="15" hidden="false" customHeight="false" outlineLevel="0" collapsed="false">
      <c r="A411" s="0" t="n">
        <v>5</v>
      </c>
      <c r="B411" s="0" t="s">
        <v>62</v>
      </c>
      <c r="C411" s="36" t="n">
        <v>34875</v>
      </c>
      <c r="D411" s="37" t="n">
        <v>40483</v>
      </c>
      <c r="E411" s="0" t="n">
        <v>2011</v>
      </c>
      <c r="F411" s="0" t="n">
        <v>10</v>
      </c>
      <c r="G411" s="38" t="n">
        <v>1516791.21</v>
      </c>
    </row>
    <row r="412" customFormat="false" ht="15" hidden="false" customHeight="false" outlineLevel="0" collapsed="false">
      <c r="A412" s="0" t="n">
        <v>6</v>
      </c>
      <c r="B412" s="0" t="s">
        <v>60</v>
      </c>
      <c r="C412" s="36" t="n">
        <v>202505</v>
      </c>
      <c r="D412" s="37" t="n">
        <v>40483</v>
      </c>
      <c r="E412" s="0" t="n">
        <v>2011</v>
      </c>
      <c r="F412" s="0" t="n">
        <v>10</v>
      </c>
      <c r="G412" s="38" t="n">
        <v>7315470.25</v>
      </c>
    </row>
    <row r="413" customFormat="false" ht="15" hidden="false" customHeight="false" outlineLevel="0" collapsed="false">
      <c r="A413" s="0" t="n">
        <v>7</v>
      </c>
      <c r="B413" s="0" t="s">
        <v>62</v>
      </c>
      <c r="C413" s="36" t="n">
        <v>70713</v>
      </c>
      <c r="D413" s="37" t="n">
        <v>40483</v>
      </c>
      <c r="E413" s="0" t="n">
        <v>2011</v>
      </c>
      <c r="F413" s="0" t="n">
        <v>10</v>
      </c>
      <c r="G413" s="38" t="n">
        <v>2484417.48</v>
      </c>
    </row>
    <row r="414" customFormat="false" ht="15" hidden="false" customHeight="false" outlineLevel="0" collapsed="false">
      <c r="A414" s="0" t="n">
        <v>8</v>
      </c>
      <c r="B414" s="0" t="s">
        <v>60</v>
      </c>
      <c r="C414" s="36" t="n">
        <v>155078</v>
      </c>
      <c r="D414" s="37" t="n">
        <v>40483</v>
      </c>
      <c r="E414" s="0" t="n">
        <v>2011</v>
      </c>
      <c r="F414" s="0" t="n">
        <v>10</v>
      </c>
      <c r="G414" s="38" t="n">
        <v>4265611.57</v>
      </c>
    </row>
    <row r="415" customFormat="false" ht="15" hidden="false" customHeight="false" outlineLevel="0" collapsed="false">
      <c r="A415" s="0" t="n">
        <v>9</v>
      </c>
      <c r="B415" s="0" t="s">
        <v>62</v>
      </c>
      <c r="C415" s="36" t="n">
        <v>125833</v>
      </c>
      <c r="D415" s="37" t="n">
        <v>40483</v>
      </c>
      <c r="E415" s="0" t="n">
        <v>2011</v>
      </c>
      <c r="F415" s="0" t="n">
        <v>10</v>
      </c>
      <c r="G415" s="38" t="n">
        <v>2509027.51</v>
      </c>
    </row>
    <row r="416" customFormat="false" ht="15" hidden="false" customHeight="false" outlineLevel="0" collapsed="false">
      <c r="A416" s="0" t="n">
        <v>10</v>
      </c>
      <c r="B416" s="0" t="s">
        <v>62</v>
      </c>
      <c r="C416" s="36" t="n">
        <v>126512</v>
      </c>
      <c r="D416" s="37" t="n">
        <v>40483</v>
      </c>
      <c r="E416" s="0" t="n">
        <v>2011</v>
      </c>
      <c r="F416" s="0" t="n">
        <v>10</v>
      </c>
      <c r="G416" s="38" t="n">
        <v>9380151.7</v>
      </c>
    </row>
    <row r="417" customFormat="false" ht="15" hidden="false" customHeight="false" outlineLevel="0" collapsed="false">
      <c r="A417" s="0" t="n">
        <v>11</v>
      </c>
      <c r="B417" s="0" t="s">
        <v>60</v>
      </c>
      <c r="C417" s="36" t="n">
        <v>207499</v>
      </c>
      <c r="D417" s="37" t="n">
        <v>40483</v>
      </c>
      <c r="E417" s="0" t="n">
        <v>2011</v>
      </c>
      <c r="F417" s="0" t="n">
        <v>10</v>
      </c>
      <c r="G417" s="38" t="n">
        <v>6072105.57</v>
      </c>
    </row>
    <row r="418" customFormat="false" ht="15" hidden="false" customHeight="false" outlineLevel="0" collapsed="false">
      <c r="A418" s="0" t="n">
        <v>12</v>
      </c>
      <c r="B418" s="0" t="s">
        <v>62</v>
      </c>
      <c r="C418" s="36" t="n">
        <v>112238</v>
      </c>
      <c r="D418" s="37" t="n">
        <v>40483</v>
      </c>
      <c r="E418" s="0" t="n">
        <v>2011</v>
      </c>
      <c r="F418" s="0" t="n">
        <v>10</v>
      </c>
      <c r="G418" s="38" t="n">
        <v>4713572.93</v>
      </c>
    </row>
    <row r="419" customFormat="false" ht="15" hidden="false" customHeight="false" outlineLevel="0" collapsed="false">
      <c r="A419" s="0" t="n">
        <v>13</v>
      </c>
      <c r="B419" s="0" t="s">
        <v>60</v>
      </c>
      <c r="C419" s="36" t="n">
        <v>219622</v>
      </c>
      <c r="D419" s="37" t="n">
        <v>40483</v>
      </c>
      <c r="E419" s="0" t="n">
        <v>2011</v>
      </c>
      <c r="F419" s="0" t="n">
        <v>10</v>
      </c>
      <c r="G419" s="38" t="n">
        <v>9147238.29</v>
      </c>
    </row>
    <row r="420" customFormat="false" ht="15" hidden="false" customHeight="false" outlineLevel="0" collapsed="false">
      <c r="A420" s="0" t="n">
        <v>14</v>
      </c>
      <c r="B420" s="0" t="s">
        <v>60</v>
      </c>
      <c r="C420" s="36" t="n">
        <v>200898</v>
      </c>
      <c r="D420" s="37" t="n">
        <v>40483</v>
      </c>
      <c r="E420" s="0" t="n">
        <v>2011</v>
      </c>
      <c r="F420" s="0" t="n">
        <v>10</v>
      </c>
      <c r="G420" s="38" t="n">
        <v>9757510.79</v>
      </c>
    </row>
    <row r="421" customFormat="false" ht="15" hidden="false" customHeight="false" outlineLevel="0" collapsed="false">
      <c r="A421" s="0" t="n">
        <v>15</v>
      </c>
      <c r="B421" s="0" t="s">
        <v>62</v>
      </c>
      <c r="C421" s="36" t="n">
        <v>123737</v>
      </c>
      <c r="D421" s="37" t="n">
        <v>40483</v>
      </c>
      <c r="E421" s="0" t="n">
        <v>2011</v>
      </c>
      <c r="F421" s="0" t="n">
        <v>10</v>
      </c>
      <c r="G421" s="38" t="n">
        <v>3216642.03</v>
      </c>
    </row>
    <row r="422" customFormat="false" ht="15" hidden="false" customHeight="false" outlineLevel="0" collapsed="false">
      <c r="A422" s="0" t="n">
        <v>16</v>
      </c>
      <c r="B422" s="0" t="s">
        <v>62</v>
      </c>
      <c r="C422" s="36" t="n">
        <v>57197</v>
      </c>
      <c r="D422" s="37" t="n">
        <v>40483</v>
      </c>
      <c r="E422" s="0" t="n">
        <v>2011</v>
      </c>
      <c r="F422" s="0" t="n">
        <v>10</v>
      </c>
      <c r="G422" s="38" t="n">
        <v>2176043.43</v>
      </c>
    </row>
    <row r="423" customFormat="false" ht="15" hidden="false" customHeight="false" outlineLevel="0" collapsed="false">
      <c r="A423" s="0" t="n">
        <v>17</v>
      </c>
      <c r="B423" s="0" t="s">
        <v>62</v>
      </c>
      <c r="C423" s="36" t="n">
        <v>93188</v>
      </c>
      <c r="D423" s="37" t="n">
        <v>40483</v>
      </c>
      <c r="E423" s="0" t="n">
        <v>2011</v>
      </c>
      <c r="F423" s="0" t="n">
        <v>10</v>
      </c>
      <c r="G423" s="38" t="n">
        <v>3757228.1</v>
      </c>
    </row>
    <row r="424" customFormat="false" ht="15" hidden="false" customHeight="false" outlineLevel="0" collapsed="false">
      <c r="A424" s="0" t="n">
        <v>18</v>
      </c>
      <c r="B424" s="0" t="s">
        <v>62</v>
      </c>
      <c r="C424" s="36" t="n">
        <v>120653</v>
      </c>
      <c r="D424" s="37" t="n">
        <v>40483</v>
      </c>
      <c r="E424" s="0" t="n">
        <v>2011</v>
      </c>
      <c r="F424" s="0" t="n">
        <v>10</v>
      </c>
      <c r="G424" s="38" t="n">
        <v>5251055.18</v>
      </c>
    </row>
    <row r="425" customFormat="false" ht="15" hidden="false" customHeight="false" outlineLevel="0" collapsed="false">
      <c r="A425" s="0" t="n">
        <v>19</v>
      </c>
      <c r="B425" s="0" t="s">
        <v>60</v>
      </c>
      <c r="C425" s="36" t="n">
        <v>203819</v>
      </c>
      <c r="D425" s="37" t="n">
        <v>40483</v>
      </c>
      <c r="E425" s="0" t="n">
        <v>2011</v>
      </c>
      <c r="F425" s="0" t="n">
        <v>10</v>
      </c>
      <c r="G425" s="38" t="n">
        <v>6809889.38</v>
      </c>
    </row>
    <row r="426" customFormat="false" ht="15" hidden="false" customHeight="false" outlineLevel="0" collapsed="false">
      <c r="A426" s="0" t="n">
        <v>20</v>
      </c>
      <c r="B426" s="0" t="s">
        <v>60</v>
      </c>
      <c r="C426" s="36" t="n">
        <v>203742</v>
      </c>
      <c r="D426" s="37" t="n">
        <v>40483</v>
      </c>
      <c r="E426" s="0" t="n">
        <v>2011</v>
      </c>
      <c r="F426" s="0" t="n">
        <v>10</v>
      </c>
      <c r="G426" s="38" t="n">
        <v>10045285.09</v>
      </c>
    </row>
    <row r="427" customFormat="false" ht="15" hidden="false" customHeight="false" outlineLevel="0" collapsed="false">
      <c r="A427" s="0" t="n">
        <v>21</v>
      </c>
      <c r="B427" s="0" t="s">
        <v>62</v>
      </c>
      <c r="C427" s="36" t="n">
        <v>140167</v>
      </c>
      <c r="D427" s="37" t="n">
        <v>40483</v>
      </c>
      <c r="E427" s="0" t="n">
        <v>2011</v>
      </c>
      <c r="F427" s="0" t="n">
        <v>10</v>
      </c>
      <c r="G427" s="38" t="n">
        <v>3725754.86</v>
      </c>
    </row>
    <row r="428" customFormat="false" ht="15" hidden="false" customHeight="false" outlineLevel="0" collapsed="false">
      <c r="A428" s="0" t="n">
        <v>22</v>
      </c>
      <c r="B428" s="0" t="s">
        <v>62</v>
      </c>
      <c r="C428" s="36" t="n">
        <v>119557</v>
      </c>
      <c r="D428" s="37" t="n">
        <v>40483</v>
      </c>
      <c r="E428" s="0" t="n">
        <v>2011</v>
      </c>
      <c r="F428" s="0" t="n">
        <v>10</v>
      </c>
      <c r="G428" s="38" t="n">
        <v>5016454.37</v>
      </c>
    </row>
    <row r="429" customFormat="false" ht="15" hidden="false" customHeight="false" outlineLevel="0" collapsed="false">
      <c r="A429" s="0" t="n">
        <v>23</v>
      </c>
      <c r="B429" s="0" t="s">
        <v>62</v>
      </c>
      <c r="C429" s="36" t="n">
        <v>114533</v>
      </c>
      <c r="D429" s="37" t="n">
        <v>40483</v>
      </c>
      <c r="E429" s="0" t="n">
        <v>2011</v>
      </c>
      <c r="F429" s="0" t="n">
        <v>10</v>
      </c>
      <c r="G429" s="38" t="n">
        <v>6559019.05</v>
      </c>
    </row>
    <row r="430" customFormat="false" ht="15" hidden="false" customHeight="false" outlineLevel="0" collapsed="false">
      <c r="A430" s="0" t="n">
        <v>24</v>
      </c>
      <c r="B430" s="0" t="s">
        <v>60</v>
      </c>
      <c r="C430" s="36" t="n">
        <v>203819</v>
      </c>
      <c r="D430" s="37" t="n">
        <v>40483</v>
      </c>
      <c r="E430" s="0" t="n">
        <v>2011</v>
      </c>
      <c r="F430" s="0" t="n">
        <v>10</v>
      </c>
      <c r="G430" s="38" t="n">
        <v>6095018.5</v>
      </c>
    </row>
    <row r="431" customFormat="false" ht="15" hidden="false" customHeight="false" outlineLevel="0" collapsed="false">
      <c r="A431" s="0" t="n">
        <v>25</v>
      </c>
      <c r="B431" s="0" t="s">
        <v>62</v>
      </c>
      <c r="C431" s="36" t="n">
        <v>128107</v>
      </c>
      <c r="D431" s="37" t="n">
        <v>40483</v>
      </c>
      <c r="E431" s="0" t="n">
        <v>2011</v>
      </c>
      <c r="F431" s="0" t="n">
        <v>10</v>
      </c>
      <c r="G431" s="38" t="n">
        <v>3549956.6</v>
      </c>
    </row>
    <row r="432" customFormat="false" ht="15" hidden="false" customHeight="false" outlineLevel="0" collapsed="false">
      <c r="A432" s="0" t="n">
        <v>26</v>
      </c>
      <c r="B432" s="0" t="s">
        <v>60</v>
      </c>
      <c r="C432" s="36" t="n">
        <v>152513</v>
      </c>
      <c r="D432" s="37" t="n">
        <v>40483</v>
      </c>
      <c r="E432" s="0" t="n">
        <v>2011</v>
      </c>
      <c r="F432" s="0" t="n">
        <v>10</v>
      </c>
      <c r="G432" s="38" t="n">
        <v>4433670.38</v>
      </c>
    </row>
    <row r="433" customFormat="false" ht="15" hidden="false" customHeight="false" outlineLevel="0" collapsed="false">
      <c r="A433" s="0" t="n">
        <v>27</v>
      </c>
      <c r="B433" s="0" t="s">
        <v>60</v>
      </c>
      <c r="C433" s="36" t="n">
        <v>204184</v>
      </c>
      <c r="D433" s="37" t="n">
        <v>40483</v>
      </c>
      <c r="E433" s="0" t="n">
        <v>2011</v>
      </c>
      <c r="F433" s="0" t="n">
        <v>10</v>
      </c>
      <c r="G433" s="38" t="n">
        <v>8441767.42</v>
      </c>
    </row>
    <row r="434" customFormat="false" ht="15" hidden="false" customHeight="false" outlineLevel="0" collapsed="false">
      <c r="A434" s="0" t="n">
        <v>28</v>
      </c>
      <c r="B434" s="0" t="s">
        <v>60</v>
      </c>
      <c r="C434" s="36" t="n">
        <v>206302</v>
      </c>
      <c r="D434" s="37" t="n">
        <v>40483</v>
      </c>
      <c r="E434" s="0" t="n">
        <v>2011</v>
      </c>
      <c r="F434" s="0" t="n">
        <v>10</v>
      </c>
      <c r="G434" s="38" t="n">
        <v>6282807.04</v>
      </c>
    </row>
    <row r="435" customFormat="false" ht="15" hidden="false" customHeight="false" outlineLevel="0" collapsed="false">
      <c r="A435" s="0" t="n">
        <v>29</v>
      </c>
      <c r="B435" s="0" t="s">
        <v>62</v>
      </c>
      <c r="C435" s="36" t="n">
        <v>93638</v>
      </c>
      <c r="D435" s="37" t="n">
        <v>40483</v>
      </c>
      <c r="E435" s="0" t="n">
        <v>2011</v>
      </c>
      <c r="F435" s="0" t="n">
        <v>10</v>
      </c>
      <c r="G435" s="38" t="n">
        <v>2747284.04</v>
      </c>
    </row>
    <row r="436" customFormat="false" ht="15" hidden="false" customHeight="false" outlineLevel="0" collapsed="false">
      <c r="A436" s="0" t="n">
        <v>30</v>
      </c>
      <c r="B436" s="0" t="s">
        <v>64</v>
      </c>
      <c r="C436" s="36" t="n">
        <v>42988</v>
      </c>
      <c r="D436" s="37" t="n">
        <v>40483</v>
      </c>
      <c r="E436" s="0" t="n">
        <v>2011</v>
      </c>
      <c r="F436" s="0" t="n">
        <v>10</v>
      </c>
      <c r="G436" s="38" t="n">
        <v>1896529.28</v>
      </c>
    </row>
    <row r="437" customFormat="false" ht="15" hidden="false" customHeight="false" outlineLevel="0" collapsed="false">
      <c r="A437" s="0" t="n">
        <v>31</v>
      </c>
      <c r="B437" s="0" t="s">
        <v>60</v>
      </c>
      <c r="C437" s="36" t="n">
        <v>203750</v>
      </c>
      <c r="D437" s="37" t="n">
        <v>40483</v>
      </c>
      <c r="E437" s="0" t="n">
        <v>2011</v>
      </c>
      <c r="F437" s="0" t="n">
        <v>10</v>
      </c>
      <c r="G437" s="38" t="n">
        <v>6281815.99</v>
      </c>
    </row>
    <row r="438" customFormat="false" ht="15" hidden="false" customHeight="false" outlineLevel="0" collapsed="false">
      <c r="A438" s="0" t="n">
        <v>32</v>
      </c>
      <c r="B438" s="0" t="s">
        <v>60</v>
      </c>
      <c r="C438" s="36" t="n">
        <v>203007</v>
      </c>
      <c r="D438" s="37" t="n">
        <v>40483</v>
      </c>
      <c r="E438" s="0" t="n">
        <v>2011</v>
      </c>
      <c r="F438" s="0" t="n">
        <v>10</v>
      </c>
      <c r="G438" s="38" t="n">
        <v>5371935.04</v>
      </c>
    </row>
    <row r="439" customFormat="false" ht="15" hidden="false" customHeight="false" outlineLevel="0" collapsed="false">
      <c r="A439" s="0" t="n">
        <v>33</v>
      </c>
      <c r="B439" s="0" t="s">
        <v>60</v>
      </c>
      <c r="C439" s="36" t="n">
        <v>39690</v>
      </c>
      <c r="D439" s="37" t="n">
        <v>40483</v>
      </c>
      <c r="E439" s="0" t="n">
        <v>2011</v>
      </c>
      <c r="F439" s="0" t="n">
        <v>10</v>
      </c>
      <c r="G439" s="38" t="n">
        <v>1033283.73</v>
      </c>
    </row>
    <row r="440" customFormat="false" ht="15" hidden="false" customHeight="false" outlineLevel="0" collapsed="false">
      <c r="A440" s="0" t="n">
        <v>34</v>
      </c>
      <c r="B440" s="0" t="s">
        <v>60</v>
      </c>
      <c r="C440" s="36" t="n">
        <v>158114</v>
      </c>
      <c r="D440" s="37" t="n">
        <v>40483</v>
      </c>
      <c r="E440" s="0" t="n">
        <v>2011</v>
      </c>
      <c r="F440" s="0" t="n">
        <v>10</v>
      </c>
      <c r="G440" s="38" t="n">
        <v>4511760.99</v>
      </c>
    </row>
    <row r="441" customFormat="false" ht="15" hidden="false" customHeight="false" outlineLevel="0" collapsed="false">
      <c r="A441" s="0" t="n">
        <v>35</v>
      </c>
      <c r="B441" s="0" t="s">
        <v>62</v>
      </c>
      <c r="C441" s="36" t="n">
        <v>103681</v>
      </c>
      <c r="D441" s="37" t="n">
        <v>40483</v>
      </c>
      <c r="E441" s="0" t="n">
        <v>2011</v>
      </c>
      <c r="F441" s="0" t="n">
        <v>10</v>
      </c>
      <c r="G441" s="38" t="n">
        <v>4663799.31</v>
      </c>
    </row>
    <row r="442" customFormat="false" ht="15" hidden="false" customHeight="false" outlineLevel="0" collapsed="false">
      <c r="A442" s="0" t="n">
        <v>36</v>
      </c>
      <c r="B442" s="0" t="s">
        <v>60</v>
      </c>
      <c r="C442" s="36" t="n">
        <v>39910</v>
      </c>
      <c r="D442" s="37" t="n">
        <v>40483</v>
      </c>
      <c r="E442" s="0" t="n">
        <v>2011</v>
      </c>
      <c r="F442" s="0" t="n">
        <v>10</v>
      </c>
      <c r="G442" s="38" t="n">
        <v>1742078.58</v>
      </c>
    </row>
    <row r="443" customFormat="false" ht="15" hidden="false" customHeight="false" outlineLevel="0" collapsed="false">
      <c r="A443" s="0" t="n">
        <v>37</v>
      </c>
      <c r="B443" s="0" t="s">
        <v>64</v>
      </c>
      <c r="C443" s="36" t="n">
        <v>39910</v>
      </c>
      <c r="D443" s="37" t="n">
        <v>40483</v>
      </c>
      <c r="E443" s="0" t="n">
        <v>2011</v>
      </c>
      <c r="F443" s="0" t="n">
        <v>10</v>
      </c>
      <c r="G443" s="38" t="n">
        <v>2229787.25</v>
      </c>
    </row>
    <row r="444" customFormat="false" ht="15" hidden="false" customHeight="false" outlineLevel="0" collapsed="false">
      <c r="A444" s="0" t="n">
        <v>38</v>
      </c>
      <c r="B444" s="0" t="s">
        <v>64</v>
      </c>
      <c r="C444" s="36" t="n">
        <v>39690</v>
      </c>
      <c r="D444" s="37" t="n">
        <v>40483</v>
      </c>
      <c r="E444" s="0" t="n">
        <v>2011</v>
      </c>
      <c r="F444" s="0" t="n">
        <v>10</v>
      </c>
      <c r="G444" s="38" t="n">
        <v>1522749.46</v>
      </c>
    </row>
    <row r="445" customFormat="false" ht="15" hidden="false" customHeight="false" outlineLevel="0" collapsed="false">
      <c r="A445" s="0" t="n">
        <v>39</v>
      </c>
      <c r="B445" s="0" t="s">
        <v>60</v>
      </c>
      <c r="C445" s="36" t="n">
        <v>184109</v>
      </c>
      <c r="D445" s="37" t="n">
        <v>40483</v>
      </c>
      <c r="E445" s="0" t="n">
        <v>2011</v>
      </c>
      <c r="F445" s="0" t="n">
        <v>10</v>
      </c>
      <c r="G445" s="38" t="n">
        <v>6553724.8</v>
      </c>
    </row>
    <row r="446" customFormat="false" ht="15" hidden="false" customHeight="false" outlineLevel="0" collapsed="false">
      <c r="A446" s="0" t="n">
        <v>40</v>
      </c>
      <c r="B446" s="0" t="s">
        <v>60</v>
      </c>
      <c r="C446" s="36" t="n">
        <v>155083</v>
      </c>
      <c r="D446" s="37" t="n">
        <v>40483</v>
      </c>
      <c r="E446" s="0" t="n">
        <v>2011</v>
      </c>
      <c r="F446" s="0" t="n">
        <v>10</v>
      </c>
      <c r="G446" s="38" t="n">
        <v>4217460.17</v>
      </c>
    </row>
    <row r="447" customFormat="false" ht="15" hidden="false" customHeight="false" outlineLevel="0" collapsed="false">
      <c r="A447" s="0" t="n">
        <v>41</v>
      </c>
      <c r="B447" s="0" t="s">
        <v>60</v>
      </c>
      <c r="C447" s="36" t="n">
        <v>196321</v>
      </c>
      <c r="D447" s="37" t="n">
        <v>40483</v>
      </c>
      <c r="E447" s="0" t="n">
        <v>2011</v>
      </c>
      <c r="F447" s="0" t="n">
        <v>10</v>
      </c>
      <c r="G447" s="38" t="n">
        <v>5742713.92</v>
      </c>
    </row>
    <row r="448" customFormat="false" ht="15" hidden="false" customHeight="false" outlineLevel="0" collapsed="false">
      <c r="A448" s="0" t="n">
        <v>42</v>
      </c>
      <c r="B448" s="0" t="s">
        <v>64</v>
      </c>
      <c r="C448" s="36" t="n">
        <v>39690</v>
      </c>
      <c r="D448" s="37" t="n">
        <v>40483</v>
      </c>
      <c r="E448" s="0" t="n">
        <v>2011</v>
      </c>
      <c r="F448" s="0" t="n">
        <v>10</v>
      </c>
      <c r="G448" s="38" t="n">
        <v>2324913.4</v>
      </c>
    </row>
    <row r="449" customFormat="false" ht="15" hidden="false" customHeight="false" outlineLevel="0" collapsed="false">
      <c r="A449" s="0" t="n">
        <v>43</v>
      </c>
      <c r="B449" s="0" t="s">
        <v>64</v>
      </c>
      <c r="C449" s="36" t="n">
        <v>41062</v>
      </c>
      <c r="D449" s="37" t="n">
        <v>40483</v>
      </c>
      <c r="E449" s="0" t="n">
        <v>2011</v>
      </c>
      <c r="F449" s="0" t="n">
        <v>10</v>
      </c>
      <c r="G449" s="38" t="n">
        <v>2569833.99</v>
      </c>
    </row>
    <row r="450" customFormat="false" ht="15" hidden="false" customHeight="false" outlineLevel="0" collapsed="false">
      <c r="A450" s="0" t="n">
        <v>44</v>
      </c>
      <c r="B450" s="0" t="s">
        <v>64</v>
      </c>
      <c r="C450" s="36" t="n">
        <v>39910</v>
      </c>
      <c r="D450" s="37" t="n">
        <v>40483</v>
      </c>
      <c r="E450" s="0" t="n">
        <v>2011</v>
      </c>
      <c r="F450" s="0" t="n">
        <v>10</v>
      </c>
      <c r="G450" s="38" t="n">
        <v>1218084.6</v>
      </c>
    </row>
    <row r="451" customFormat="false" ht="15" hidden="false" customHeight="false" outlineLevel="0" collapsed="false">
      <c r="A451" s="0" t="n">
        <v>45</v>
      </c>
      <c r="B451" s="0" t="s">
        <v>62</v>
      </c>
      <c r="C451" s="36" t="n">
        <v>118221</v>
      </c>
      <c r="D451" s="37" t="n">
        <v>40483</v>
      </c>
      <c r="E451" s="0" t="n">
        <v>2011</v>
      </c>
      <c r="F451" s="0" t="n">
        <v>10</v>
      </c>
      <c r="G451" s="38" t="n">
        <v>3720286.92</v>
      </c>
    </row>
    <row r="452" customFormat="false" ht="15" hidden="false" customHeight="false" outlineLevel="0" collapsed="false">
      <c r="A452" s="0" t="n">
        <v>1</v>
      </c>
      <c r="B452" s="0" t="s">
        <v>60</v>
      </c>
      <c r="C452" s="36" t="n">
        <v>151315</v>
      </c>
      <c r="D452" s="37" t="n">
        <v>40513</v>
      </c>
      <c r="E452" s="0" t="n">
        <v>2011</v>
      </c>
      <c r="F452" s="0" t="n">
        <v>11</v>
      </c>
      <c r="G452" s="38" t="n">
        <v>7992362.45</v>
      </c>
    </row>
    <row r="453" customFormat="false" ht="15" hidden="false" customHeight="false" outlineLevel="0" collapsed="false">
      <c r="A453" s="0" t="n">
        <v>2</v>
      </c>
      <c r="B453" s="0" t="s">
        <v>60</v>
      </c>
      <c r="C453" s="36" t="n">
        <v>202307</v>
      </c>
      <c r="D453" s="37" t="n">
        <v>40513</v>
      </c>
      <c r="E453" s="0" t="n">
        <v>2011</v>
      </c>
      <c r="F453" s="0" t="n">
        <v>11</v>
      </c>
      <c r="G453" s="38" t="n">
        <v>11038241.75</v>
      </c>
    </row>
    <row r="454" customFormat="false" ht="15" hidden="false" customHeight="false" outlineLevel="0" collapsed="false">
      <c r="A454" s="0" t="n">
        <v>3</v>
      </c>
      <c r="B454" s="0" t="s">
        <v>62</v>
      </c>
      <c r="C454" s="36" t="n">
        <v>37392</v>
      </c>
      <c r="D454" s="37" t="n">
        <v>40513</v>
      </c>
      <c r="E454" s="0" t="n">
        <v>2011</v>
      </c>
      <c r="F454" s="0" t="n">
        <v>11</v>
      </c>
      <c r="G454" s="38" t="n">
        <v>2158649.94</v>
      </c>
    </row>
    <row r="455" customFormat="false" ht="15" hidden="false" customHeight="false" outlineLevel="0" collapsed="false">
      <c r="A455" s="0" t="n">
        <v>4</v>
      </c>
      <c r="B455" s="0" t="s">
        <v>60</v>
      </c>
      <c r="C455" s="36" t="n">
        <v>205863</v>
      </c>
      <c r="D455" s="37" t="n">
        <v>40513</v>
      </c>
      <c r="E455" s="0" t="n">
        <v>2011</v>
      </c>
      <c r="F455" s="0" t="n">
        <v>11</v>
      </c>
      <c r="G455" s="38" t="n">
        <v>11265228.48</v>
      </c>
    </row>
    <row r="456" customFormat="false" ht="15" hidden="false" customHeight="false" outlineLevel="0" collapsed="false">
      <c r="A456" s="0" t="n">
        <v>5</v>
      </c>
      <c r="B456" s="0" t="s">
        <v>62</v>
      </c>
      <c r="C456" s="36" t="n">
        <v>34875</v>
      </c>
      <c r="D456" s="37" t="n">
        <v>40513</v>
      </c>
      <c r="E456" s="0" t="n">
        <v>2011</v>
      </c>
      <c r="F456" s="0" t="n">
        <v>11</v>
      </c>
      <c r="G456" s="38" t="n">
        <v>1632442.1</v>
      </c>
    </row>
    <row r="457" customFormat="false" ht="15" hidden="false" customHeight="false" outlineLevel="0" collapsed="false">
      <c r="A457" s="0" t="n">
        <v>6</v>
      </c>
      <c r="B457" s="0" t="s">
        <v>60</v>
      </c>
      <c r="C457" s="36" t="n">
        <v>202505</v>
      </c>
      <c r="D457" s="37" t="n">
        <v>40513</v>
      </c>
      <c r="E457" s="0" t="n">
        <v>2011</v>
      </c>
      <c r="F457" s="0" t="n">
        <v>11</v>
      </c>
      <c r="G457" s="38" t="n">
        <v>8835374.85</v>
      </c>
    </row>
    <row r="458" customFormat="false" ht="15" hidden="false" customHeight="false" outlineLevel="0" collapsed="false">
      <c r="A458" s="0" t="n">
        <v>7</v>
      </c>
      <c r="B458" s="0" t="s">
        <v>62</v>
      </c>
      <c r="C458" s="36" t="n">
        <v>70713</v>
      </c>
      <c r="D458" s="37" t="n">
        <v>40513</v>
      </c>
      <c r="E458" s="0" t="n">
        <v>2011</v>
      </c>
      <c r="F458" s="0" t="n">
        <v>11</v>
      </c>
      <c r="G458" s="38" t="n">
        <v>3327735.1</v>
      </c>
    </row>
    <row r="459" customFormat="false" ht="15" hidden="false" customHeight="false" outlineLevel="0" collapsed="false">
      <c r="A459" s="0" t="n">
        <v>8</v>
      </c>
      <c r="B459" s="0" t="s">
        <v>60</v>
      </c>
      <c r="C459" s="36" t="n">
        <v>155078</v>
      </c>
      <c r="D459" s="37" t="n">
        <v>40513</v>
      </c>
      <c r="E459" s="0" t="n">
        <v>2011</v>
      </c>
      <c r="F459" s="0" t="n">
        <v>11</v>
      </c>
      <c r="G459" s="38" t="n">
        <v>4983197.5</v>
      </c>
    </row>
    <row r="460" customFormat="false" ht="15" hidden="false" customHeight="false" outlineLevel="0" collapsed="false">
      <c r="A460" s="0" t="n">
        <v>9</v>
      </c>
      <c r="B460" s="0" t="s">
        <v>62</v>
      </c>
      <c r="C460" s="36" t="n">
        <v>125833</v>
      </c>
      <c r="D460" s="37" t="n">
        <v>40513</v>
      </c>
      <c r="E460" s="0" t="n">
        <v>2011</v>
      </c>
      <c r="F460" s="0" t="n">
        <v>11</v>
      </c>
      <c r="G460" s="38" t="n">
        <v>2884268.34</v>
      </c>
    </row>
    <row r="461" customFormat="false" ht="15" hidden="false" customHeight="false" outlineLevel="0" collapsed="false">
      <c r="A461" s="0" t="n">
        <v>10</v>
      </c>
      <c r="B461" s="0" t="s">
        <v>62</v>
      </c>
      <c r="C461" s="36" t="n">
        <v>126512</v>
      </c>
      <c r="D461" s="37" t="n">
        <v>40513</v>
      </c>
      <c r="E461" s="0" t="n">
        <v>2011</v>
      </c>
      <c r="F461" s="0" t="n">
        <v>11</v>
      </c>
      <c r="G461" s="38" t="n">
        <v>11644595.73</v>
      </c>
    </row>
    <row r="462" customFormat="false" ht="15" hidden="false" customHeight="false" outlineLevel="0" collapsed="false">
      <c r="A462" s="0" t="n">
        <v>11</v>
      </c>
      <c r="B462" s="0" t="s">
        <v>60</v>
      </c>
      <c r="C462" s="36" t="n">
        <v>207499</v>
      </c>
      <c r="D462" s="37" t="n">
        <v>40513</v>
      </c>
      <c r="E462" s="0" t="n">
        <v>2011</v>
      </c>
      <c r="F462" s="0" t="n">
        <v>11</v>
      </c>
      <c r="G462" s="38" t="n">
        <v>7478408.58</v>
      </c>
    </row>
    <row r="463" customFormat="false" ht="15" hidden="false" customHeight="false" outlineLevel="0" collapsed="false">
      <c r="A463" s="0" t="n">
        <v>12</v>
      </c>
      <c r="B463" s="0" t="s">
        <v>62</v>
      </c>
      <c r="C463" s="36" t="n">
        <v>112238</v>
      </c>
      <c r="D463" s="37" t="n">
        <v>40513</v>
      </c>
      <c r="E463" s="0" t="n">
        <v>2011</v>
      </c>
      <c r="F463" s="0" t="n">
        <v>11</v>
      </c>
      <c r="G463" s="38" t="n">
        <v>5535897.68</v>
      </c>
    </row>
    <row r="464" customFormat="false" ht="15" hidden="false" customHeight="false" outlineLevel="0" collapsed="false">
      <c r="A464" s="0" t="n">
        <v>13</v>
      </c>
      <c r="B464" s="0" t="s">
        <v>60</v>
      </c>
      <c r="C464" s="36" t="n">
        <v>219622</v>
      </c>
      <c r="D464" s="37" t="n">
        <v>40513</v>
      </c>
      <c r="E464" s="0" t="n">
        <v>2011</v>
      </c>
      <c r="F464" s="0" t="n">
        <v>11</v>
      </c>
      <c r="G464" s="38" t="n">
        <v>11397187.48</v>
      </c>
    </row>
    <row r="465" customFormat="false" ht="15" hidden="false" customHeight="false" outlineLevel="0" collapsed="false">
      <c r="A465" s="0" t="n">
        <v>14</v>
      </c>
      <c r="B465" s="0" t="s">
        <v>60</v>
      </c>
      <c r="C465" s="36" t="n">
        <v>200898</v>
      </c>
      <c r="D465" s="37" t="n">
        <v>40513</v>
      </c>
      <c r="E465" s="0" t="n">
        <v>2011</v>
      </c>
      <c r="F465" s="0" t="n">
        <v>11</v>
      </c>
      <c r="G465" s="38" t="n">
        <v>11773707.74</v>
      </c>
    </row>
    <row r="466" customFormat="false" ht="15" hidden="false" customHeight="false" outlineLevel="0" collapsed="false">
      <c r="A466" s="0" t="n">
        <v>15</v>
      </c>
      <c r="B466" s="0" t="s">
        <v>62</v>
      </c>
      <c r="C466" s="36" t="n">
        <v>123737</v>
      </c>
      <c r="D466" s="37" t="n">
        <v>40513</v>
      </c>
      <c r="E466" s="0" t="n">
        <v>2011</v>
      </c>
      <c r="F466" s="0" t="n">
        <v>11</v>
      </c>
      <c r="G466" s="38" t="n">
        <v>4066392.24</v>
      </c>
    </row>
    <row r="467" customFormat="false" ht="15" hidden="false" customHeight="false" outlineLevel="0" collapsed="false">
      <c r="A467" s="0" t="n">
        <v>16</v>
      </c>
      <c r="B467" s="0" t="s">
        <v>62</v>
      </c>
      <c r="C467" s="36" t="n">
        <v>57197</v>
      </c>
      <c r="D467" s="37" t="n">
        <v>40513</v>
      </c>
      <c r="E467" s="0" t="n">
        <v>2011</v>
      </c>
      <c r="F467" s="0" t="n">
        <v>11</v>
      </c>
      <c r="G467" s="38" t="n">
        <v>3018343.98</v>
      </c>
    </row>
    <row r="468" customFormat="false" ht="15" hidden="false" customHeight="false" outlineLevel="0" collapsed="false">
      <c r="A468" s="0" t="n">
        <v>17</v>
      </c>
      <c r="B468" s="0" t="s">
        <v>62</v>
      </c>
      <c r="C468" s="36" t="n">
        <v>93188</v>
      </c>
      <c r="D468" s="37" t="n">
        <v>40513</v>
      </c>
      <c r="E468" s="0" t="n">
        <v>2011</v>
      </c>
      <c r="F468" s="0" t="n">
        <v>11</v>
      </c>
      <c r="G468" s="38" t="n">
        <v>4354040.31</v>
      </c>
    </row>
    <row r="469" customFormat="false" ht="15" hidden="false" customHeight="false" outlineLevel="0" collapsed="false">
      <c r="A469" s="0" t="n">
        <v>18</v>
      </c>
      <c r="B469" s="0" t="s">
        <v>62</v>
      </c>
      <c r="C469" s="36" t="n">
        <v>120653</v>
      </c>
      <c r="D469" s="37" t="n">
        <v>40513</v>
      </c>
      <c r="E469" s="0" t="n">
        <v>2011</v>
      </c>
      <c r="F469" s="0" t="n">
        <v>11</v>
      </c>
      <c r="G469" s="38" t="n">
        <v>6439025.05</v>
      </c>
    </row>
    <row r="470" customFormat="false" ht="15" hidden="false" customHeight="false" outlineLevel="0" collapsed="false">
      <c r="A470" s="0" t="n">
        <v>19</v>
      </c>
      <c r="B470" s="0" t="s">
        <v>60</v>
      </c>
      <c r="C470" s="36" t="n">
        <v>203819</v>
      </c>
      <c r="D470" s="37" t="n">
        <v>40513</v>
      </c>
      <c r="E470" s="0" t="n">
        <v>2011</v>
      </c>
      <c r="F470" s="0" t="n">
        <v>11</v>
      </c>
      <c r="G470" s="38" t="n">
        <v>8356958.04</v>
      </c>
    </row>
    <row r="471" customFormat="false" ht="15" hidden="false" customHeight="false" outlineLevel="0" collapsed="false">
      <c r="A471" s="0" t="n">
        <v>20</v>
      </c>
      <c r="B471" s="0" t="s">
        <v>60</v>
      </c>
      <c r="C471" s="36" t="n">
        <v>203742</v>
      </c>
      <c r="D471" s="37" t="n">
        <v>40513</v>
      </c>
      <c r="E471" s="0" t="n">
        <v>2011</v>
      </c>
      <c r="F471" s="0" t="n">
        <v>11</v>
      </c>
      <c r="G471" s="38" t="n">
        <v>12173190.97</v>
      </c>
    </row>
    <row r="472" customFormat="false" ht="15" hidden="false" customHeight="false" outlineLevel="0" collapsed="false">
      <c r="A472" s="0" t="n">
        <v>21</v>
      </c>
      <c r="B472" s="0" t="s">
        <v>62</v>
      </c>
      <c r="C472" s="36" t="n">
        <v>140167</v>
      </c>
      <c r="D472" s="37" t="n">
        <v>40513</v>
      </c>
      <c r="E472" s="0" t="n">
        <v>2011</v>
      </c>
      <c r="F472" s="0" t="n">
        <v>11</v>
      </c>
      <c r="G472" s="38" t="n">
        <v>4706985.53</v>
      </c>
    </row>
    <row r="473" customFormat="false" ht="15" hidden="false" customHeight="false" outlineLevel="0" collapsed="false">
      <c r="A473" s="0" t="n">
        <v>22</v>
      </c>
      <c r="B473" s="0" t="s">
        <v>62</v>
      </c>
      <c r="C473" s="36" t="n">
        <v>119557</v>
      </c>
      <c r="D473" s="37" t="n">
        <v>40513</v>
      </c>
      <c r="E473" s="0" t="n">
        <v>2011</v>
      </c>
      <c r="F473" s="0" t="n">
        <v>11</v>
      </c>
      <c r="G473" s="38" t="n">
        <v>6158956.57</v>
      </c>
    </row>
    <row r="474" customFormat="false" ht="15" hidden="false" customHeight="false" outlineLevel="0" collapsed="false">
      <c r="A474" s="0" t="n">
        <v>23</v>
      </c>
      <c r="B474" s="0" t="s">
        <v>62</v>
      </c>
      <c r="C474" s="36" t="n">
        <v>114533</v>
      </c>
      <c r="D474" s="37" t="n">
        <v>40513</v>
      </c>
      <c r="E474" s="0" t="n">
        <v>2011</v>
      </c>
      <c r="F474" s="0" t="n">
        <v>11</v>
      </c>
      <c r="G474" s="38" t="n">
        <v>8708001.31</v>
      </c>
    </row>
    <row r="475" customFormat="false" ht="15" hidden="false" customHeight="false" outlineLevel="0" collapsed="false">
      <c r="A475" s="0" t="n">
        <v>24</v>
      </c>
      <c r="B475" s="0" t="s">
        <v>60</v>
      </c>
      <c r="C475" s="36" t="n">
        <v>203819</v>
      </c>
      <c r="D475" s="37" t="n">
        <v>40513</v>
      </c>
      <c r="E475" s="0" t="n">
        <v>2011</v>
      </c>
      <c r="F475" s="0" t="n">
        <v>11</v>
      </c>
      <c r="G475" s="38" t="n">
        <v>7456855.47</v>
      </c>
    </row>
    <row r="476" customFormat="false" ht="15" hidden="false" customHeight="false" outlineLevel="0" collapsed="false">
      <c r="A476" s="0" t="n">
        <v>25</v>
      </c>
      <c r="B476" s="0" t="s">
        <v>62</v>
      </c>
      <c r="C476" s="36" t="n">
        <v>128107</v>
      </c>
      <c r="D476" s="37" t="n">
        <v>40513</v>
      </c>
      <c r="E476" s="0" t="n">
        <v>2011</v>
      </c>
      <c r="F476" s="0" t="n">
        <v>11</v>
      </c>
      <c r="G476" s="38" t="n">
        <v>4310451.77</v>
      </c>
    </row>
    <row r="477" customFormat="false" ht="15" hidden="false" customHeight="false" outlineLevel="0" collapsed="false">
      <c r="A477" s="0" t="n">
        <v>26</v>
      </c>
      <c r="B477" s="0" t="s">
        <v>60</v>
      </c>
      <c r="C477" s="36" t="n">
        <v>152513</v>
      </c>
      <c r="D477" s="37" t="n">
        <v>40513</v>
      </c>
      <c r="E477" s="0" t="n">
        <v>2011</v>
      </c>
      <c r="F477" s="0" t="n">
        <v>11</v>
      </c>
      <c r="G477" s="38" t="n">
        <v>5233166.25</v>
      </c>
    </row>
    <row r="478" customFormat="false" ht="15" hidden="false" customHeight="false" outlineLevel="0" collapsed="false">
      <c r="A478" s="0" t="n">
        <v>27</v>
      </c>
      <c r="B478" s="0" t="s">
        <v>60</v>
      </c>
      <c r="C478" s="36" t="n">
        <v>204184</v>
      </c>
      <c r="D478" s="37" t="n">
        <v>40513</v>
      </c>
      <c r="E478" s="0" t="n">
        <v>2011</v>
      </c>
      <c r="F478" s="0" t="n">
        <v>11</v>
      </c>
      <c r="G478" s="38" t="n">
        <v>9816532.96</v>
      </c>
    </row>
    <row r="479" customFormat="false" ht="15" hidden="false" customHeight="false" outlineLevel="0" collapsed="false">
      <c r="A479" s="0" t="n">
        <v>28</v>
      </c>
      <c r="B479" s="0" t="s">
        <v>60</v>
      </c>
      <c r="C479" s="36" t="n">
        <v>206302</v>
      </c>
      <c r="D479" s="37" t="n">
        <v>40513</v>
      </c>
      <c r="E479" s="0" t="n">
        <v>2011</v>
      </c>
      <c r="F479" s="0" t="n">
        <v>11</v>
      </c>
      <c r="G479" s="38" t="n">
        <v>6713728.65</v>
      </c>
    </row>
    <row r="480" customFormat="false" ht="15" hidden="false" customHeight="false" outlineLevel="0" collapsed="false">
      <c r="A480" s="0" t="n">
        <v>29</v>
      </c>
      <c r="B480" s="0" t="s">
        <v>62</v>
      </c>
      <c r="C480" s="36" t="n">
        <v>93638</v>
      </c>
      <c r="D480" s="37" t="n">
        <v>40513</v>
      </c>
      <c r="E480" s="0" t="n">
        <v>2011</v>
      </c>
      <c r="F480" s="0" t="n">
        <v>11</v>
      </c>
      <c r="G480" s="38" t="n">
        <v>3436725.4</v>
      </c>
    </row>
    <row r="481" customFormat="false" ht="15" hidden="false" customHeight="false" outlineLevel="0" collapsed="false">
      <c r="A481" s="0" t="n">
        <v>30</v>
      </c>
      <c r="B481" s="0" t="s">
        <v>64</v>
      </c>
      <c r="C481" s="36" t="n">
        <v>42988</v>
      </c>
      <c r="D481" s="37" t="n">
        <v>40513</v>
      </c>
      <c r="E481" s="0" t="n">
        <v>2011</v>
      </c>
      <c r="F481" s="0" t="n">
        <v>11</v>
      </c>
      <c r="G481" s="38" t="n">
        <v>1965426.76</v>
      </c>
    </row>
    <row r="482" customFormat="false" ht="15" hidden="false" customHeight="false" outlineLevel="0" collapsed="false">
      <c r="A482" s="0" t="n">
        <v>31</v>
      </c>
      <c r="B482" s="0" t="s">
        <v>60</v>
      </c>
      <c r="C482" s="36" t="n">
        <v>203750</v>
      </c>
      <c r="D482" s="37" t="n">
        <v>40513</v>
      </c>
      <c r="E482" s="0" t="n">
        <v>2011</v>
      </c>
      <c r="F482" s="0" t="n">
        <v>11</v>
      </c>
      <c r="G482" s="38" t="n">
        <v>7031102.24</v>
      </c>
    </row>
    <row r="483" customFormat="false" ht="15" hidden="false" customHeight="false" outlineLevel="0" collapsed="false">
      <c r="A483" s="0" t="n">
        <v>32</v>
      </c>
      <c r="B483" s="0" t="s">
        <v>60</v>
      </c>
      <c r="C483" s="36" t="n">
        <v>203007</v>
      </c>
      <c r="D483" s="37" t="n">
        <v>40513</v>
      </c>
      <c r="E483" s="0" t="n">
        <v>2011</v>
      </c>
      <c r="F483" s="0" t="n">
        <v>11</v>
      </c>
      <c r="G483" s="38" t="n">
        <v>6354414.05</v>
      </c>
    </row>
    <row r="484" customFormat="false" ht="15" hidden="false" customHeight="false" outlineLevel="0" collapsed="false">
      <c r="A484" s="0" t="n">
        <v>33</v>
      </c>
      <c r="B484" s="0" t="s">
        <v>60</v>
      </c>
      <c r="C484" s="36" t="n">
        <v>39690</v>
      </c>
      <c r="D484" s="37" t="n">
        <v>40513</v>
      </c>
      <c r="E484" s="0" t="n">
        <v>2011</v>
      </c>
      <c r="F484" s="0" t="n">
        <v>11</v>
      </c>
      <c r="G484" s="38" t="n">
        <v>1050971.12</v>
      </c>
    </row>
    <row r="485" customFormat="false" ht="15" hidden="false" customHeight="false" outlineLevel="0" collapsed="false">
      <c r="A485" s="0" t="n">
        <v>34</v>
      </c>
      <c r="B485" s="0" t="s">
        <v>60</v>
      </c>
      <c r="C485" s="36" t="n">
        <v>158114</v>
      </c>
      <c r="D485" s="37" t="n">
        <v>40513</v>
      </c>
      <c r="E485" s="0" t="n">
        <v>2011</v>
      </c>
      <c r="F485" s="0" t="n">
        <v>11</v>
      </c>
      <c r="G485" s="38" t="n">
        <v>5265886.58</v>
      </c>
    </row>
    <row r="486" customFormat="false" ht="15" hidden="false" customHeight="false" outlineLevel="0" collapsed="false">
      <c r="A486" s="0" t="n">
        <v>35</v>
      </c>
      <c r="B486" s="0" t="s">
        <v>62</v>
      </c>
      <c r="C486" s="36" t="n">
        <v>103681</v>
      </c>
      <c r="D486" s="37" t="n">
        <v>40513</v>
      </c>
      <c r="E486" s="0" t="n">
        <v>2011</v>
      </c>
      <c r="F486" s="0" t="n">
        <v>11</v>
      </c>
      <c r="G486" s="38" t="n">
        <v>5200250.01</v>
      </c>
    </row>
    <row r="487" customFormat="false" ht="15" hidden="false" customHeight="false" outlineLevel="0" collapsed="false">
      <c r="A487" s="0" t="n">
        <v>36</v>
      </c>
      <c r="B487" s="0" t="s">
        <v>60</v>
      </c>
      <c r="C487" s="36" t="n">
        <v>39910</v>
      </c>
      <c r="D487" s="37" t="n">
        <v>40513</v>
      </c>
      <c r="E487" s="0" t="n">
        <v>2011</v>
      </c>
      <c r="F487" s="0" t="n">
        <v>11</v>
      </c>
      <c r="G487" s="38" t="n">
        <v>1750563.72</v>
      </c>
    </row>
    <row r="488" customFormat="false" ht="15" hidden="false" customHeight="false" outlineLevel="0" collapsed="false">
      <c r="A488" s="0" t="n">
        <v>37</v>
      </c>
      <c r="B488" s="0" t="s">
        <v>64</v>
      </c>
      <c r="C488" s="36" t="n">
        <v>39910</v>
      </c>
      <c r="D488" s="37" t="n">
        <v>40513</v>
      </c>
      <c r="E488" s="0" t="n">
        <v>2011</v>
      </c>
      <c r="F488" s="0" t="n">
        <v>11</v>
      </c>
      <c r="G488" s="38" t="n">
        <v>2300439.99</v>
      </c>
    </row>
    <row r="489" customFormat="false" ht="15" hidden="false" customHeight="false" outlineLevel="0" collapsed="false">
      <c r="A489" s="0" t="n">
        <v>38</v>
      </c>
      <c r="B489" s="0" t="s">
        <v>64</v>
      </c>
      <c r="C489" s="36" t="n">
        <v>39690</v>
      </c>
      <c r="D489" s="37" t="n">
        <v>40513</v>
      </c>
      <c r="E489" s="0" t="n">
        <v>2011</v>
      </c>
      <c r="F489" s="0" t="n">
        <v>11</v>
      </c>
      <c r="G489" s="38" t="n">
        <v>1514247.09</v>
      </c>
    </row>
    <row r="490" customFormat="false" ht="15" hidden="false" customHeight="false" outlineLevel="0" collapsed="false">
      <c r="A490" s="0" t="n">
        <v>39</v>
      </c>
      <c r="B490" s="0" t="s">
        <v>60</v>
      </c>
      <c r="C490" s="36" t="n">
        <v>184109</v>
      </c>
      <c r="D490" s="37" t="n">
        <v>40513</v>
      </c>
      <c r="E490" s="0" t="n">
        <v>2011</v>
      </c>
      <c r="F490" s="0" t="n">
        <v>11</v>
      </c>
      <c r="G490" s="38" t="n">
        <v>7811914.5</v>
      </c>
    </row>
    <row r="491" customFormat="false" ht="15" hidden="false" customHeight="false" outlineLevel="0" collapsed="false">
      <c r="A491" s="0" t="n">
        <v>40</v>
      </c>
      <c r="B491" s="0" t="s">
        <v>60</v>
      </c>
      <c r="C491" s="36" t="n">
        <v>155083</v>
      </c>
      <c r="D491" s="37" t="n">
        <v>40513</v>
      </c>
      <c r="E491" s="0" t="n">
        <v>2011</v>
      </c>
      <c r="F491" s="0" t="n">
        <v>11</v>
      </c>
      <c r="G491" s="38" t="n">
        <v>5179220.37</v>
      </c>
    </row>
    <row r="492" customFormat="false" ht="15" hidden="false" customHeight="false" outlineLevel="0" collapsed="false">
      <c r="A492" s="0" t="n">
        <v>41</v>
      </c>
      <c r="B492" s="0" t="s">
        <v>60</v>
      </c>
      <c r="C492" s="36" t="n">
        <v>196321</v>
      </c>
      <c r="D492" s="37" t="n">
        <v>40513</v>
      </c>
      <c r="E492" s="0" t="n">
        <v>2011</v>
      </c>
      <c r="F492" s="0" t="n">
        <v>11</v>
      </c>
      <c r="G492" s="38" t="n">
        <v>6812526.41</v>
      </c>
    </row>
    <row r="493" customFormat="false" ht="15" hidden="false" customHeight="false" outlineLevel="0" collapsed="false">
      <c r="A493" s="0" t="n">
        <v>42</v>
      </c>
      <c r="B493" s="0" t="s">
        <v>64</v>
      </c>
      <c r="C493" s="36" t="n">
        <v>39690</v>
      </c>
      <c r="D493" s="37" t="n">
        <v>40513</v>
      </c>
      <c r="E493" s="0" t="n">
        <v>2011</v>
      </c>
      <c r="F493" s="0" t="n">
        <v>11</v>
      </c>
      <c r="G493" s="38" t="n">
        <v>2321052.99</v>
      </c>
    </row>
    <row r="494" customFormat="false" ht="15" hidden="false" customHeight="false" outlineLevel="0" collapsed="false">
      <c r="A494" s="0" t="n">
        <v>43</v>
      </c>
      <c r="B494" s="0" t="s">
        <v>64</v>
      </c>
      <c r="C494" s="36" t="n">
        <v>41062</v>
      </c>
      <c r="D494" s="37" t="n">
        <v>40513</v>
      </c>
      <c r="E494" s="0" t="n">
        <v>2011</v>
      </c>
      <c r="F494" s="0" t="n">
        <v>11</v>
      </c>
      <c r="G494" s="38" t="n">
        <v>2644765.95</v>
      </c>
    </row>
    <row r="495" customFormat="false" ht="15" hidden="false" customHeight="false" outlineLevel="0" collapsed="false">
      <c r="A495" s="0" t="n">
        <v>44</v>
      </c>
      <c r="B495" s="0" t="s">
        <v>64</v>
      </c>
      <c r="C495" s="36" t="n">
        <v>39910</v>
      </c>
      <c r="D495" s="37" t="n">
        <v>40513</v>
      </c>
      <c r="E495" s="0" t="n">
        <v>2011</v>
      </c>
      <c r="F495" s="0" t="n">
        <v>11</v>
      </c>
      <c r="G495" s="38" t="n">
        <v>1277169.62</v>
      </c>
    </row>
    <row r="496" customFormat="false" ht="15" hidden="false" customHeight="false" outlineLevel="0" collapsed="false">
      <c r="A496" s="0" t="n">
        <v>45</v>
      </c>
      <c r="B496" s="0" t="s">
        <v>62</v>
      </c>
      <c r="C496" s="36" t="n">
        <v>118221</v>
      </c>
      <c r="D496" s="37" t="n">
        <v>40513</v>
      </c>
      <c r="E496" s="0" t="n">
        <v>2011</v>
      </c>
      <c r="F496" s="0" t="n">
        <v>11</v>
      </c>
      <c r="G496" s="38" t="n">
        <v>4864484.66</v>
      </c>
    </row>
    <row r="497" customFormat="false" ht="15" hidden="false" customHeight="false" outlineLevel="0" collapsed="false">
      <c r="A497" s="0" t="n">
        <v>1</v>
      </c>
      <c r="B497" s="0" t="s">
        <v>60</v>
      </c>
      <c r="C497" s="36" t="n">
        <v>151315</v>
      </c>
      <c r="D497" s="37" t="n">
        <v>40544</v>
      </c>
      <c r="E497" s="0" t="n">
        <v>2011</v>
      </c>
      <c r="F497" s="0" t="n">
        <v>12</v>
      </c>
      <c r="G497" s="38" t="n">
        <v>6168606.49</v>
      </c>
    </row>
    <row r="498" customFormat="false" ht="15" hidden="false" customHeight="false" outlineLevel="0" collapsed="false">
      <c r="A498" s="0" t="n">
        <v>2</v>
      </c>
      <c r="B498" s="0" t="s">
        <v>60</v>
      </c>
      <c r="C498" s="36" t="n">
        <v>202307</v>
      </c>
      <c r="D498" s="37" t="n">
        <v>40544</v>
      </c>
      <c r="E498" s="0" t="n">
        <v>2011</v>
      </c>
      <c r="F498" s="0" t="n">
        <v>12</v>
      </c>
      <c r="G498" s="38" t="n">
        <v>7775863.64</v>
      </c>
    </row>
    <row r="499" customFormat="false" ht="15" hidden="false" customHeight="false" outlineLevel="0" collapsed="false">
      <c r="A499" s="0" t="n">
        <v>3</v>
      </c>
      <c r="B499" s="0" t="s">
        <v>62</v>
      </c>
      <c r="C499" s="36" t="n">
        <v>37392</v>
      </c>
      <c r="D499" s="37" t="n">
        <v>40544</v>
      </c>
      <c r="E499" s="0" t="n">
        <v>2011</v>
      </c>
      <c r="F499" s="0" t="n">
        <v>12</v>
      </c>
      <c r="G499" s="38" t="n">
        <v>1662981</v>
      </c>
    </row>
    <row r="500" customFormat="false" ht="15" hidden="false" customHeight="false" outlineLevel="0" collapsed="false">
      <c r="A500" s="0" t="n">
        <v>4</v>
      </c>
      <c r="B500" s="0" t="s">
        <v>60</v>
      </c>
      <c r="C500" s="36" t="n">
        <v>205863</v>
      </c>
      <c r="D500" s="37" t="n">
        <v>40544</v>
      </c>
      <c r="E500" s="0" t="n">
        <v>2011</v>
      </c>
      <c r="F500" s="0" t="n">
        <v>12</v>
      </c>
      <c r="G500" s="38" t="n">
        <v>8336793.25</v>
      </c>
    </row>
    <row r="501" customFormat="false" ht="15" hidden="false" customHeight="false" outlineLevel="0" collapsed="false">
      <c r="A501" s="0" t="n">
        <v>5</v>
      </c>
      <c r="B501" s="0" t="s">
        <v>62</v>
      </c>
      <c r="C501" s="36" t="n">
        <v>34875</v>
      </c>
      <c r="D501" s="37" t="n">
        <v>40544</v>
      </c>
      <c r="E501" s="0" t="n">
        <v>2011</v>
      </c>
      <c r="F501" s="0" t="n">
        <v>12</v>
      </c>
      <c r="G501" s="38" t="n">
        <v>1242648.5</v>
      </c>
    </row>
    <row r="502" customFormat="false" ht="15" hidden="false" customHeight="false" outlineLevel="0" collapsed="false">
      <c r="A502" s="0" t="n">
        <v>6</v>
      </c>
      <c r="B502" s="0" t="s">
        <v>60</v>
      </c>
      <c r="C502" s="36" t="n">
        <v>202505</v>
      </c>
      <c r="D502" s="37" t="n">
        <v>40544</v>
      </c>
      <c r="E502" s="0" t="n">
        <v>2011</v>
      </c>
      <c r="F502" s="0" t="n">
        <v>12</v>
      </c>
      <c r="G502" s="38" t="n">
        <v>5854209.44</v>
      </c>
    </row>
    <row r="503" customFormat="false" ht="15" hidden="false" customHeight="false" outlineLevel="0" collapsed="false">
      <c r="A503" s="0" t="n">
        <v>7</v>
      </c>
      <c r="B503" s="0" t="s">
        <v>62</v>
      </c>
      <c r="C503" s="36" t="n">
        <v>70713</v>
      </c>
      <c r="D503" s="37" t="n">
        <v>40544</v>
      </c>
      <c r="E503" s="0" t="n">
        <v>2011</v>
      </c>
      <c r="F503" s="0" t="n">
        <v>12</v>
      </c>
      <c r="G503" s="38" t="n">
        <v>2482615.26</v>
      </c>
    </row>
    <row r="504" customFormat="false" ht="15" hidden="false" customHeight="false" outlineLevel="0" collapsed="false">
      <c r="A504" s="0" t="n">
        <v>8</v>
      </c>
      <c r="B504" s="0" t="s">
        <v>60</v>
      </c>
      <c r="C504" s="36" t="n">
        <v>155078</v>
      </c>
      <c r="D504" s="37" t="n">
        <v>40544</v>
      </c>
      <c r="E504" s="0" t="n">
        <v>2011</v>
      </c>
      <c r="F504" s="0" t="n">
        <v>12</v>
      </c>
      <c r="G504" s="38" t="n">
        <v>3692463.11</v>
      </c>
    </row>
    <row r="505" customFormat="false" ht="15" hidden="false" customHeight="false" outlineLevel="0" collapsed="false">
      <c r="A505" s="0" t="n">
        <v>9</v>
      </c>
      <c r="B505" s="0" t="s">
        <v>62</v>
      </c>
      <c r="C505" s="36" t="n">
        <v>125833</v>
      </c>
      <c r="D505" s="37" t="n">
        <v>40544</v>
      </c>
      <c r="E505" s="0" t="n">
        <v>2011</v>
      </c>
      <c r="F505" s="0" t="n">
        <v>12</v>
      </c>
      <c r="G505" s="38" t="n">
        <v>2100056.91</v>
      </c>
    </row>
    <row r="506" customFormat="false" ht="15" hidden="false" customHeight="false" outlineLevel="0" collapsed="false">
      <c r="A506" s="0" t="n">
        <v>10</v>
      </c>
      <c r="B506" s="0" t="s">
        <v>62</v>
      </c>
      <c r="C506" s="36" t="n">
        <v>126512</v>
      </c>
      <c r="D506" s="37" t="n">
        <v>40544</v>
      </c>
      <c r="E506" s="0" t="n">
        <v>2011</v>
      </c>
      <c r="F506" s="0" t="n">
        <v>12</v>
      </c>
      <c r="G506" s="38" t="n">
        <v>7661886.97</v>
      </c>
    </row>
    <row r="507" customFormat="false" ht="15" hidden="false" customHeight="false" outlineLevel="0" collapsed="false">
      <c r="A507" s="0" t="n">
        <v>11</v>
      </c>
      <c r="B507" s="0" t="s">
        <v>60</v>
      </c>
      <c r="C507" s="36" t="n">
        <v>207499</v>
      </c>
      <c r="D507" s="37" t="n">
        <v>40544</v>
      </c>
      <c r="E507" s="0" t="n">
        <v>2011</v>
      </c>
      <c r="F507" s="0" t="n">
        <v>12</v>
      </c>
      <c r="G507" s="38" t="n">
        <v>5271212.7</v>
      </c>
    </row>
    <row r="508" customFormat="false" ht="15" hidden="false" customHeight="false" outlineLevel="0" collapsed="false">
      <c r="A508" s="0" t="n">
        <v>12</v>
      </c>
      <c r="B508" s="0" t="s">
        <v>62</v>
      </c>
      <c r="C508" s="36" t="n">
        <v>112238</v>
      </c>
      <c r="D508" s="37" t="n">
        <v>40544</v>
      </c>
      <c r="E508" s="0" t="n">
        <v>2011</v>
      </c>
      <c r="F508" s="0" t="n">
        <v>12</v>
      </c>
      <c r="G508" s="38" t="n">
        <v>3845661.53</v>
      </c>
    </row>
    <row r="509" customFormat="false" ht="15" hidden="false" customHeight="false" outlineLevel="0" collapsed="false">
      <c r="A509" s="0" t="n">
        <v>13</v>
      </c>
      <c r="B509" s="0" t="s">
        <v>60</v>
      </c>
      <c r="C509" s="36" t="n">
        <v>219622</v>
      </c>
      <c r="D509" s="37" t="n">
        <v>40544</v>
      </c>
      <c r="E509" s="0" t="n">
        <v>2011</v>
      </c>
      <c r="F509" s="0" t="n">
        <v>12</v>
      </c>
      <c r="G509" s="38" t="n">
        <v>7622781.17</v>
      </c>
    </row>
    <row r="510" customFormat="false" ht="15" hidden="false" customHeight="false" outlineLevel="0" collapsed="false">
      <c r="A510" s="0" t="n">
        <v>14</v>
      </c>
      <c r="B510" s="0" t="s">
        <v>60</v>
      </c>
      <c r="C510" s="36" t="n">
        <v>200898</v>
      </c>
      <c r="D510" s="37" t="n">
        <v>40544</v>
      </c>
      <c r="E510" s="0" t="n">
        <v>2011</v>
      </c>
      <c r="F510" s="0" t="n">
        <v>12</v>
      </c>
      <c r="G510" s="38" t="n">
        <v>7776131.5</v>
      </c>
    </row>
    <row r="511" customFormat="false" ht="15" hidden="false" customHeight="false" outlineLevel="0" collapsed="false">
      <c r="A511" s="0" t="n">
        <v>15</v>
      </c>
      <c r="B511" s="0" t="s">
        <v>62</v>
      </c>
      <c r="C511" s="36" t="n">
        <v>123737</v>
      </c>
      <c r="D511" s="37" t="n">
        <v>40544</v>
      </c>
      <c r="E511" s="0" t="n">
        <v>2011</v>
      </c>
      <c r="F511" s="0" t="n">
        <v>12</v>
      </c>
      <c r="G511" s="38" t="n">
        <v>2196017.4</v>
      </c>
    </row>
    <row r="512" customFormat="false" ht="15" hidden="false" customHeight="false" outlineLevel="0" collapsed="false">
      <c r="A512" s="0" t="n">
        <v>16</v>
      </c>
      <c r="B512" s="0" t="s">
        <v>62</v>
      </c>
      <c r="C512" s="36" t="n">
        <v>57197</v>
      </c>
      <c r="D512" s="37" t="n">
        <v>40544</v>
      </c>
      <c r="E512" s="0" t="n">
        <v>2011</v>
      </c>
      <c r="F512" s="0" t="n">
        <v>12</v>
      </c>
      <c r="G512" s="38" t="n">
        <v>2160590.17</v>
      </c>
    </row>
    <row r="513" customFormat="false" ht="15" hidden="false" customHeight="false" outlineLevel="0" collapsed="false">
      <c r="A513" s="0" t="n">
        <v>17</v>
      </c>
      <c r="B513" s="0" t="s">
        <v>62</v>
      </c>
      <c r="C513" s="36" t="n">
        <v>93188</v>
      </c>
      <c r="D513" s="37" t="n">
        <v>40544</v>
      </c>
      <c r="E513" s="0" t="n">
        <v>2011</v>
      </c>
      <c r="F513" s="0" t="n">
        <v>12</v>
      </c>
      <c r="G513" s="38" t="n">
        <v>3683694.28</v>
      </c>
    </row>
    <row r="514" customFormat="false" ht="15" hidden="false" customHeight="false" outlineLevel="0" collapsed="false">
      <c r="A514" s="0" t="n">
        <v>18</v>
      </c>
      <c r="B514" s="0" t="s">
        <v>62</v>
      </c>
      <c r="C514" s="36" t="n">
        <v>120653</v>
      </c>
      <c r="D514" s="37" t="n">
        <v>40544</v>
      </c>
      <c r="E514" s="0" t="n">
        <v>2011</v>
      </c>
      <c r="F514" s="0" t="n">
        <v>12</v>
      </c>
      <c r="G514" s="38" t="n">
        <v>3904328.35</v>
      </c>
    </row>
    <row r="515" customFormat="false" ht="15" hidden="false" customHeight="false" outlineLevel="0" collapsed="false">
      <c r="A515" s="0" t="n">
        <v>19</v>
      </c>
      <c r="B515" s="0" t="s">
        <v>60</v>
      </c>
      <c r="C515" s="36" t="n">
        <v>203819</v>
      </c>
      <c r="D515" s="37" t="n">
        <v>40544</v>
      </c>
      <c r="E515" s="0" t="n">
        <v>2011</v>
      </c>
      <c r="F515" s="0" t="n">
        <v>12</v>
      </c>
      <c r="G515" s="38" t="n">
        <v>5489917.59</v>
      </c>
    </row>
    <row r="516" customFormat="false" ht="15" hidden="false" customHeight="false" outlineLevel="0" collapsed="false">
      <c r="A516" s="0" t="n">
        <v>20</v>
      </c>
      <c r="B516" s="0" t="s">
        <v>60</v>
      </c>
      <c r="C516" s="36" t="n">
        <v>203742</v>
      </c>
      <c r="D516" s="37" t="n">
        <v>40544</v>
      </c>
      <c r="E516" s="0" t="n">
        <v>2011</v>
      </c>
      <c r="F516" s="0" t="n">
        <v>12</v>
      </c>
      <c r="G516" s="38" t="n">
        <v>8278320.98</v>
      </c>
    </row>
    <row r="517" customFormat="false" ht="15" hidden="false" customHeight="false" outlineLevel="0" collapsed="false">
      <c r="A517" s="0" t="n">
        <v>21</v>
      </c>
      <c r="B517" s="0" t="s">
        <v>62</v>
      </c>
      <c r="C517" s="36" t="n">
        <v>140167</v>
      </c>
      <c r="D517" s="37" t="n">
        <v>40544</v>
      </c>
      <c r="E517" s="0" t="n">
        <v>2011</v>
      </c>
      <c r="F517" s="0" t="n">
        <v>12</v>
      </c>
      <c r="G517" s="38" t="n">
        <v>2849283.33</v>
      </c>
    </row>
    <row r="518" customFormat="false" ht="15" hidden="false" customHeight="false" outlineLevel="0" collapsed="false">
      <c r="A518" s="0" t="n">
        <v>22</v>
      </c>
      <c r="B518" s="0" t="s">
        <v>62</v>
      </c>
      <c r="C518" s="36" t="n">
        <v>119557</v>
      </c>
      <c r="D518" s="37" t="n">
        <v>40544</v>
      </c>
      <c r="E518" s="0" t="n">
        <v>2011</v>
      </c>
      <c r="F518" s="0" t="n">
        <v>12</v>
      </c>
      <c r="G518" s="38" t="n">
        <v>3741315.09</v>
      </c>
    </row>
    <row r="519" customFormat="false" ht="15" hidden="false" customHeight="false" outlineLevel="0" collapsed="false">
      <c r="A519" s="0" t="n">
        <v>23</v>
      </c>
      <c r="B519" s="0" t="s">
        <v>62</v>
      </c>
      <c r="C519" s="36" t="n">
        <v>114533</v>
      </c>
      <c r="D519" s="37" t="n">
        <v>40544</v>
      </c>
      <c r="E519" s="0" t="n">
        <v>2011</v>
      </c>
      <c r="F519" s="0" t="n">
        <v>12</v>
      </c>
      <c r="G519" s="38" t="n">
        <v>4830056.5</v>
      </c>
    </row>
    <row r="520" customFormat="false" ht="15" hidden="false" customHeight="false" outlineLevel="0" collapsed="false">
      <c r="A520" s="0" t="n">
        <v>24</v>
      </c>
      <c r="B520" s="0" t="s">
        <v>60</v>
      </c>
      <c r="C520" s="36" t="n">
        <v>203819</v>
      </c>
      <c r="D520" s="37" t="n">
        <v>40544</v>
      </c>
      <c r="E520" s="0" t="n">
        <v>2011</v>
      </c>
      <c r="F520" s="0" t="n">
        <v>12</v>
      </c>
      <c r="G520" s="38" t="n">
        <v>5105551.66</v>
      </c>
    </row>
    <row r="521" customFormat="false" ht="15" hidden="false" customHeight="false" outlineLevel="0" collapsed="false">
      <c r="A521" s="0" t="n">
        <v>25</v>
      </c>
      <c r="B521" s="0" t="s">
        <v>62</v>
      </c>
      <c r="C521" s="36" t="n">
        <v>128107</v>
      </c>
      <c r="D521" s="37" t="n">
        <v>40544</v>
      </c>
      <c r="E521" s="0" t="n">
        <v>2011</v>
      </c>
      <c r="F521" s="0" t="n">
        <v>12</v>
      </c>
      <c r="G521" s="38" t="n">
        <v>2573910.81</v>
      </c>
    </row>
    <row r="522" customFormat="false" ht="15" hidden="false" customHeight="false" outlineLevel="0" collapsed="false">
      <c r="A522" s="0" t="n">
        <v>26</v>
      </c>
      <c r="B522" s="0" t="s">
        <v>60</v>
      </c>
      <c r="C522" s="36" t="n">
        <v>152513</v>
      </c>
      <c r="D522" s="37" t="n">
        <v>40544</v>
      </c>
      <c r="E522" s="0" t="n">
        <v>2011</v>
      </c>
      <c r="F522" s="0" t="n">
        <v>12</v>
      </c>
      <c r="G522" s="38" t="n">
        <v>3768565.26</v>
      </c>
    </row>
    <row r="523" customFormat="false" ht="15" hidden="false" customHeight="false" outlineLevel="0" collapsed="false">
      <c r="A523" s="0" t="n">
        <v>27</v>
      </c>
      <c r="B523" s="0" t="s">
        <v>60</v>
      </c>
      <c r="C523" s="36" t="n">
        <v>204184</v>
      </c>
      <c r="D523" s="37" t="n">
        <v>40544</v>
      </c>
      <c r="E523" s="0" t="n">
        <v>2011</v>
      </c>
      <c r="F523" s="0" t="n">
        <v>12</v>
      </c>
      <c r="G523" s="38" t="n">
        <v>6736367.01</v>
      </c>
    </row>
    <row r="524" customFormat="false" ht="15" hidden="false" customHeight="false" outlineLevel="0" collapsed="false">
      <c r="A524" s="0" t="n">
        <v>28</v>
      </c>
      <c r="B524" s="0" t="s">
        <v>60</v>
      </c>
      <c r="C524" s="36" t="n">
        <v>206302</v>
      </c>
      <c r="D524" s="37" t="n">
        <v>40544</v>
      </c>
      <c r="E524" s="0" t="n">
        <v>2011</v>
      </c>
      <c r="F524" s="0" t="n">
        <v>12</v>
      </c>
      <c r="G524" s="38" t="n">
        <v>5379388.15</v>
      </c>
    </row>
    <row r="525" customFormat="false" ht="15" hidden="false" customHeight="false" outlineLevel="0" collapsed="false">
      <c r="A525" s="0" t="n">
        <v>29</v>
      </c>
      <c r="B525" s="0" t="s">
        <v>62</v>
      </c>
      <c r="C525" s="36" t="n">
        <v>93638</v>
      </c>
      <c r="D525" s="37" t="n">
        <v>40544</v>
      </c>
      <c r="E525" s="0" t="n">
        <v>2011</v>
      </c>
      <c r="F525" s="0" t="n">
        <v>12</v>
      </c>
      <c r="G525" s="38" t="n">
        <v>1954472.91</v>
      </c>
    </row>
    <row r="526" customFormat="false" ht="15" hidden="false" customHeight="false" outlineLevel="0" collapsed="false">
      <c r="A526" s="0" t="n">
        <v>30</v>
      </c>
      <c r="B526" s="0" t="s">
        <v>64</v>
      </c>
      <c r="C526" s="36" t="n">
        <v>42988</v>
      </c>
      <c r="D526" s="37" t="n">
        <v>40544</v>
      </c>
      <c r="E526" s="0" t="n">
        <v>2011</v>
      </c>
      <c r="F526" s="0" t="n">
        <v>12</v>
      </c>
      <c r="G526" s="38" t="n">
        <v>1992023.74</v>
      </c>
    </row>
    <row r="527" customFormat="false" ht="15" hidden="false" customHeight="false" outlineLevel="0" collapsed="false">
      <c r="A527" s="0" t="n">
        <v>31</v>
      </c>
      <c r="B527" s="0" t="s">
        <v>60</v>
      </c>
      <c r="C527" s="36" t="n">
        <v>203750</v>
      </c>
      <c r="D527" s="37" t="n">
        <v>40544</v>
      </c>
      <c r="E527" s="0" t="n">
        <v>2011</v>
      </c>
      <c r="F527" s="0" t="n">
        <v>12</v>
      </c>
      <c r="G527" s="38" t="n">
        <v>5880357.02</v>
      </c>
    </row>
    <row r="528" customFormat="false" ht="15" hidden="false" customHeight="false" outlineLevel="0" collapsed="false">
      <c r="A528" s="0" t="n">
        <v>32</v>
      </c>
      <c r="B528" s="0" t="s">
        <v>60</v>
      </c>
      <c r="C528" s="36" t="n">
        <v>203007</v>
      </c>
      <c r="D528" s="37" t="n">
        <v>40544</v>
      </c>
      <c r="E528" s="0" t="n">
        <v>2011</v>
      </c>
      <c r="F528" s="0" t="n">
        <v>12</v>
      </c>
      <c r="G528" s="38" t="n">
        <v>4618554.06</v>
      </c>
    </row>
    <row r="529" customFormat="false" ht="15" hidden="false" customHeight="false" outlineLevel="0" collapsed="false">
      <c r="A529" s="0" t="n">
        <v>33</v>
      </c>
      <c r="B529" s="0" t="s">
        <v>60</v>
      </c>
      <c r="C529" s="36" t="n">
        <v>39690</v>
      </c>
      <c r="D529" s="37" t="n">
        <v>40544</v>
      </c>
      <c r="E529" s="0" t="n">
        <v>2011</v>
      </c>
      <c r="F529" s="0" t="n">
        <v>12</v>
      </c>
      <c r="G529" s="38" t="n">
        <v>1079868.11</v>
      </c>
    </row>
    <row r="530" customFormat="false" ht="15" hidden="false" customHeight="false" outlineLevel="0" collapsed="false">
      <c r="A530" s="0" t="n">
        <v>34</v>
      </c>
      <c r="B530" s="0" t="s">
        <v>60</v>
      </c>
      <c r="C530" s="36" t="n">
        <v>158114</v>
      </c>
      <c r="D530" s="37" t="n">
        <v>40544</v>
      </c>
      <c r="E530" s="0" t="n">
        <v>2011</v>
      </c>
      <c r="F530" s="0" t="n">
        <v>12</v>
      </c>
      <c r="G530" s="38" t="n">
        <v>3943543.08</v>
      </c>
    </row>
    <row r="531" customFormat="false" ht="15" hidden="false" customHeight="false" outlineLevel="0" collapsed="false">
      <c r="A531" s="0" t="n">
        <v>35</v>
      </c>
      <c r="B531" s="0" t="s">
        <v>62</v>
      </c>
      <c r="C531" s="36" t="n">
        <v>103681</v>
      </c>
      <c r="D531" s="37" t="n">
        <v>40544</v>
      </c>
      <c r="E531" s="0" t="n">
        <v>2011</v>
      </c>
      <c r="F531" s="0" t="n">
        <v>12</v>
      </c>
      <c r="G531" s="38" t="n">
        <v>2950542.56</v>
      </c>
    </row>
    <row r="532" customFormat="false" ht="15" hidden="false" customHeight="false" outlineLevel="0" collapsed="false">
      <c r="A532" s="0" t="n">
        <v>36</v>
      </c>
      <c r="B532" s="0" t="s">
        <v>60</v>
      </c>
      <c r="C532" s="36" t="n">
        <v>39910</v>
      </c>
      <c r="D532" s="37" t="n">
        <v>40544</v>
      </c>
      <c r="E532" s="0" t="n">
        <v>2011</v>
      </c>
      <c r="F532" s="0" t="n">
        <v>12</v>
      </c>
      <c r="G532" s="38" t="n">
        <v>1745460.63</v>
      </c>
    </row>
    <row r="533" customFormat="false" ht="15" hidden="false" customHeight="false" outlineLevel="0" collapsed="false">
      <c r="A533" s="0" t="n">
        <v>37</v>
      </c>
      <c r="B533" s="0" t="s">
        <v>64</v>
      </c>
      <c r="C533" s="36" t="n">
        <v>39910</v>
      </c>
      <c r="D533" s="37" t="n">
        <v>40544</v>
      </c>
      <c r="E533" s="0" t="n">
        <v>2011</v>
      </c>
      <c r="F533" s="0" t="n">
        <v>12</v>
      </c>
      <c r="G533" s="38" t="n">
        <v>2358455.17</v>
      </c>
    </row>
    <row r="534" customFormat="false" ht="15" hidden="false" customHeight="false" outlineLevel="0" collapsed="false">
      <c r="A534" s="0" t="n">
        <v>38</v>
      </c>
      <c r="B534" s="0" t="s">
        <v>64</v>
      </c>
      <c r="C534" s="36" t="n">
        <v>39690</v>
      </c>
      <c r="D534" s="37" t="n">
        <v>40544</v>
      </c>
      <c r="E534" s="0" t="n">
        <v>2011</v>
      </c>
      <c r="F534" s="0" t="n">
        <v>12</v>
      </c>
      <c r="G534" s="38" t="n">
        <v>1613570.78</v>
      </c>
    </row>
    <row r="535" customFormat="false" ht="15" hidden="false" customHeight="false" outlineLevel="0" collapsed="false">
      <c r="A535" s="0" t="n">
        <v>39</v>
      </c>
      <c r="B535" s="0" t="s">
        <v>60</v>
      </c>
      <c r="C535" s="36" t="n">
        <v>184109</v>
      </c>
      <c r="D535" s="37" t="n">
        <v>40544</v>
      </c>
      <c r="E535" s="0" t="n">
        <v>2011</v>
      </c>
      <c r="F535" s="0" t="n">
        <v>12</v>
      </c>
      <c r="G535" s="38" t="n">
        <v>5395646.83</v>
      </c>
    </row>
    <row r="536" customFormat="false" ht="15" hidden="false" customHeight="false" outlineLevel="0" collapsed="false">
      <c r="A536" s="0" t="n">
        <v>40</v>
      </c>
      <c r="B536" s="0" t="s">
        <v>60</v>
      </c>
      <c r="C536" s="36" t="n">
        <v>155083</v>
      </c>
      <c r="D536" s="37" t="n">
        <v>40544</v>
      </c>
      <c r="E536" s="0" t="n">
        <v>2011</v>
      </c>
      <c r="F536" s="0" t="n">
        <v>12</v>
      </c>
      <c r="G536" s="38" t="n">
        <v>3593061.68</v>
      </c>
    </row>
    <row r="537" customFormat="false" ht="15" hidden="false" customHeight="false" outlineLevel="0" collapsed="false">
      <c r="A537" s="0" t="n">
        <v>41</v>
      </c>
      <c r="B537" s="0" t="s">
        <v>60</v>
      </c>
      <c r="C537" s="36" t="n">
        <v>196321</v>
      </c>
      <c r="D537" s="37" t="n">
        <v>40544</v>
      </c>
      <c r="E537" s="0" t="n">
        <v>2011</v>
      </c>
      <c r="F537" s="0" t="n">
        <v>12</v>
      </c>
      <c r="G537" s="38" t="n">
        <v>4826137.36</v>
      </c>
    </row>
    <row r="538" customFormat="false" ht="15" hidden="false" customHeight="false" outlineLevel="0" collapsed="false">
      <c r="A538" s="0" t="n">
        <v>42</v>
      </c>
      <c r="B538" s="0" t="s">
        <v>64</v>
      </c>
      <c r="C538" s="36" t="n">
        <v>39690</v>
      </c>
      <c r="D538" s="37" t="n">
        <v>40544</v>
      </c>
      <c r="E538" s="0" t="n">
        <v>2011</v>
      </c>
      <c r="F538" s="0" t="n">
        <v>12</v>
      </c>
      <c r="G538" s="38" t="n">
        <v>2490865.92</v>
      </c>
    </row>
    <row r="539" customFormat="false" ht="15" hidden="false" customHeight="false" outlineLevel="0" collapsed="false">
      <c r="A539" s="0" t="n">
        <v>43</v>
      </c>
      <c r="B539" s="0" t="s">
        <v>64</v>
      </c>
      <c r="C539" s="36" t="n">
        <v>41062</v>
      </c>
      <c r="D539" s="37" t="n">
        <v>40544</v>
      </c>
      <c r="E539" s="0" t="n">
        <v>2011</v>
      </c>
      <c r="F539" s="0" t="n">
        <v>12</v>
      </c>
      <c r="G539" s="38" t="n">
        <v>2669523.34</v>
      </c>
    </row>
    <row r="540" customFormat="false" ht="15" hidden="false" customHeight="false" outlineLevel="0" collapsed="false">
      <c r="A540" s="0" t="n">
        <v>44</v>
      </c>
      <c r="B540" s="0" t="s">
        <v>64</v>
      </c>
      <c r="C540" s="36" t="n">
        <v>39910</v>
      </c>
      <c r="D540" s="37" t="n">
        <v>40544</v>
      </c>
      <c r="E540" s="0" t="n">
        <v>2011</v>
      </c>
      <c r="F540" s="0" t="n">
        <v>12</v>
      </c>
      <c r="G540" s="38" t="n">
        <v>1259328.85</v>
      </c>
    </row>
    <row r="541" customFormat="false" ht="15" hidden="false" customHeight="false" outlineLevel="0" collapsed="false">
      <c r="A541" s="0" t="n">
        <v>45</v>
      </c>
      <c r="B541" s="0" t="s">
        <v>62</v>
      </c>
      <c r="C541" s="36" t="n">
        <v>118221</v>
      </c>
      <c r="D541" s="37" t="n">
        <v>40544</v>
      </c>
      <c r="E541" s="0" t="n">
        <v>2011</v>
      </c>
      <c r="F541" s="0" t="n">
        <v>12</v>
      </c>
      <c r="G541" s="38" t="n">
        <v>2921241.51</v>
      </c>
    </row>
    <row r="542" customFormat="false" ht="15" hidden="false" customHeight="false" outlineLevel="0" collapsed="false">
      <c r="A542" s="0" t="n">
        <v>1</v>
      </c>
      <c r="B542" s="0" t="s">
        <v>60</v>
      </c>
      <c r="C542" s="36" t="n">
        <v>151315</v>
      </c>
      <c r="D542" s="37" t="n">
        <v>40575</v>
      </c>
      <c r="E542" s="0" t="n">
        <v>2012</v>
      </c>
      <c r="F542" s="0" t="n">
        <v>1</v>
      </c>
      <c r="G542" s="38" t="n">
        <v>6412587.78</v>
      </c>
    </row>
    <row r="543" customFormat="false" ht="15" hidden="false" customHeight="false" outlineLevel="0" collapsed="false">
      <c r="A543" s="0" t="n">
        <v>2</v>
      </c>
      <c r="B543" s="0" t="s">
        <v>60</v>
      </c>
      <c r="C543" s="36" t="n">
        <v>202307</v>
      </c>
      <c r="D543" s="37" t="n">
        <v>40575</v>
      </c>
      <c r="E543" s="0" t="n">
        <v>2012</v>
      </c>
      <c r="F543" s="0" t="n">
        <v>1</v>
      </c>
      <c r="G543" s="38" t="n">
        <v>8034181.56</v>
      </c>
    </row>
    <row r="544" customFormat="false" ht="15" hidden="false" customHeight="false" outlineLevel="0" collapsed="false">
      <c r="A544" s="0" t="n">
        <v>3</v>
      </c>
      <c r="B544" s="0" t="s">
        <v>62</v>
      </c>
      <c r="C544" s="36" t="n">
        <v>37392</v>
      </c>
      <c r="D544" s="37" t="n">
        <v>40575</v>
      </c>
      <c r="E544" s="0" t="n">
        <v>2012</v>
      </c>
      <c r="F544" s="0" t="n">
        <v>1</v>
      </c>
      <c r="G544" s="38" t="n">
        <v>1698422.27</v>
      </c>
    </row>
    <row r="545" customFormat="false" ht="15" hidden="false" customHeight="false" outlineLevel="0" collapsed="false">
      <c r="A545" s="0" t="n">
        <v>4</v>
      </c>
      <c r="B545" s="0" t="s">
        <v>60</v>
      </c>
      <c r="C545" s="36" t="n">
        <v>205863</v>
      </c>
      <c r="D545" s="37" t="n">
        <v>40575</v>
      </c>
      <c r="E545" s="0" t="n">
        <v>2012</v>
      </c>
      <c r="F545" s="0" t="n">
        <v>1</v>
      </c>
      <c r="G545" s="38" t="n">
        <v>8694824.92</v>
      </c>
    </row>
    <row r="546" customFormat="false" ht="15" hidden="false" customHeight="false" outlineLevel="0" collapsed="false">
      <c r="A546" s="0" t="n">
        <v>5</v>
      </c>
      <c r="B546" s="0" t="s">
        <v>62</v>
      </c>
      <c r="C546" s="36" t="n">
        <v>34875</v>
      </c>
      <c r="D546" s="37" t="n">
        <v>40575</v>
      </c>
      <c r="E546" s="0" t="n">
        <v>2012</v>
      </c>
      <c r="F546" s="0" t="n">
        <v>1</v>
      </c>
      <c r="G546" s="38" t="n">
        <v>1292237.48</v>
      </c>
    </row>
    <row r="547" customFormat="false" ht="15" hidden="false" customHeight="false" outlineLevel="0" collapsed="false">
      <c r="A547" s="0" t="n">
        <v>6</v>
      </c>
      <c r="B547" s="0" t="s">
        <v>60</v>
      </c>
      <c r="C547" s="36" t="n">
        <v>202505</v>
      </c>
      <c r="D547" s="37" t="n">
        <v>40575</v>
      </c>
      <c r="E547" s="0" t="n">
        <v>2012</v>
      </c>
      <c r="F547" s="0" t="n">
        <v>1</v>
      </c>
      <c r="G547" s="38" t="n">
        <v>5991331.12</v>
      </c>
    </row>
    <row r="548" customFormat="false" ht="15" hidden="false" customHeight="false" outlineLevel="0" collapsed="false">
      <c r="A548" s="0" t="n">
        <v>7</v>
      </c>
      <c r="B548" s="0" t="s">
        <v>62</v>
      </c>
      <c r="C548" s="36" t="n">
        <v>70713</v>
      </c>
      <c r="D548" s="37" t="n">
        <v>40575</v>
      </c>
      <c r="E548" s="0" t="n">
        <v>2012</v>
      </c>
      <c r="F548" s="0" t="n">
        <v>1</v>
      </c>
      <c r="G548" s="38" t="n">
        <v>2234159.47</v>
      </c>
    </row>
    <row r="549" customFormat="false" ht="15" hidden="false" customHeight="false" outlineLevel="0" collapsed="false">
      <c r="A549" s="0" t="n">
        <v>8</v>
      </c>
      <c r="B549" s="0" t="s">
        <v>60</v>
      </c>
      <c r="C549" s="36" t="n">
        <v>155078</v>
      </c>
      <c r="D549" s="37" t="n">
        <v>40575</v>
      </c>
      <c r="E549" s="0" t="n">
        <v>2012</v>
      </c>
      <c r="F549" s="0" t="n">
        <v>1</v>
      </c>
      <c r="G549" s="38" t="n">
        <v>3919170.09</v>
      </c>
    </row>
    <row r="550" customFormat="false" ht="15" hidden="false" customHeight="false" outlineLevel="0" collapsed="false">
      <c r="A550" s="0" t="n">
        <v>9</v>
      </c>
      <c r="B550" s="0" t="s">
        <v>62</v>
      </c>
      <c r="C550" s="36" t="n">
        <v>125833</v>
      </c>
      <c r="D550" s="37" t="n">
        <v>40575</v>
      </c>
      <c r="E550" s="0" t="n">
        <v>2012</v>
      </c>
      <c r="F550" s="0" t="n">
        <v>1</v>
      </c>
      <c r="G550" s="38" t="n">
        <v>2222871.42</v>
      </c>
    </row>
    <row r="551" customFormat="false" ht="15" hidden="false" customHeight="false" outlineLevel="0" collapsed="false">
      <c r="A551" s="0" t="n">
        <v>10</v>
      </c>
      <c r="B551" s="0" t="s">
        <v>62</v>
      </c>
      <c r="C551" s="36" t="n">
        <v>126512</v>
      </c>
      <c r="D551" s="37" t="n">
        <v>40575</v>
      </c>
      <c r="E551" s="0" t="n">
        <v>2012</v>
      </c>
      <c r="F551" s="0" t="n">
        <v>1</v>
      </c>
      <c r="G551" s="38" t="n">
        <v>8154081.44</v>
      </c>
    </row>
    <row r="552" customFormat="false" ht="15" hidden="false" customHeight="false" outlineLevel="0" collapsed="false">
      <c r="A552" s="0" t="n">
        <v>11</v>
      </c>
      <c r="B552" s="0" t="s">
        <v>60</v>
      </c>
      <c r="C552" s="36" t="n">
        <v>207499</v>
      </c>
      <c r="D552" s="37" t="n">
        <v>40575</v>
      </c>
      <c r="E552" s="0" t="n">
        <v>2012</v>
      </c>
      <c r="F552" s="0" t="n">
        <v>1</v>
      </c>
      <c r="G552" s="38" t="n">
        <v>5710634.13</v>
      </c>
    </row>
    <row r="553" customFormat="false" ht="15" hidden="false" customHeight="false" outlineLevel="0" collapsed="false">
      <c r="A553" s="0" t="n">
        <v>12</v>
      </c>
      <c r="B553" s="0" t="s">
        <v>62</v>
      </c>
      <c r="C553" s="36" t="n">
        <v>112238</v>
      </c>
      <c r="D553" s="37" t="n">
        <v>40575</v>
      </c>
      <c r="E553" s="0" t="n">
        <v>2012</v>
      </c>
      <c r="F553" s="0" t="n">
        <v>1</v>
      </c>
      <c r="G553" s="38" t="n">
        <v>4323969.99</v>
      </c>
    </row>
    <row r="554" customFormat="false" ht="15" hidden="false" customHeight="false" outlineLevel="0" collapsed="false">
      <c r="A554" s="0" t="n">
        <v>13</v>
      </c>
      <c r="B554" s="0" t="s">
        <v>60</v>
      </c>
      <c r="C554" s="36" t="n">
        <v>219622</v>
      </c>
      <c r="D554" s="37" t="n">
        <v>40575</v>
      </c>
      <c r="E554" s="0" t="n">
        <v>2012</v>
      </c>
      <c r="F554" s="0" t="n">
        <v>1</v>
      </c>
      <c r="G554" s="38" t="n">
        <v>7648086.08</v>
      </c>
    </row>
    <row r="555" customFormat="false" ht="15" hidden="false" customHeight="false" outlineLevel="0" collapsed="false">
      <c r="A555" s="0" t="n">
        <v>14</v>
      </c>
      <c r="B555" s="0" t="s">
        <v>60</v>
      </c>
      <c r="C555" s="36" t="n">
        <v>200898</v>
      </c>
      <c r="D555" s="37" t="n">
        <v>40575</v>
      </c>
      <c r="E555" s="0" t="n">
        <v>2012</v>
      </c>
      <c r="F555" s="0" t="n">
        <v>1</v>
      </c>
      <c r="G555" s="38" t="n">
        <v>7890461.91</v>
      </c>
    </row>
    <row r="556" customFormat="false" ht="15" hidden="false" customHeight="false" outlineLevel="0" collapsed="false">
      <c r="A556" s="0" t="n">
        <v>15</v>
      </c>
      <c r="B556" s="0" t="s">
        <v>62</v>
      </c>
      <c r="C556" s="36" t="n">
        <v>123737</v>
      </c>
      <c r="D556" s="37" t="n">
        <v>40575</v>
      </c>
      <c r="E556" s="0" t="n">
        <v>2012</v>
      </c>
      <c r="F556" s="0" t="n">
        <v>1</v>
      </c>
      <c r="G556" s="38" t="n">
        <v>2344182.9</v>
      </c>
    </row>
    <row r="557" customFormat="false" ht="15" hidden="false" customHeight="false" outlineLevel="0" collapsed="false">
      <c r="A557" s="0" t="n">
        <v>16</v>
      </c>
      <c r="B557" s="0" t="s">
        <v>62</v>
      </c>
      <c r="C557" s="36" t="n">
        <v>57197</v>
      </c>
      <c r="D557" s="37" t="n">
        <v>40575</v>
      </c>
      <c r="E557" s="0" t="n">
        <v>2012</v>
      </c>
      <c r="F557" s="0" t="n">
        <v>1</v>
      </c>
      <c r="G557" s="38" t="n">
        <v>1914836.85</v>
      </c>
    </row>
    <row r="558" customFormat="false" ht="15" hidden="false" customHeight="false" outlineLevel="0" collapsed="false">
      <c r="A558" s="0" t="n">
        <v>17</v>
      </c>
      <c r="B558" s="0" t="s">
        <v>62</v>
      </c>
      <c r="C558" s="36" t="n">
        <v>93188</v>
      </c>
      <c r="D558" s="37" t="n">
        <v>40575</v>
      </c>
      <c r="E558" s="0" t="n">
        <v>2012</v>
      </c>
      <c r="F558" s="0" t="n">
        <v>1</v>
      </c>
      <c r="G558" s="38" t="n">
        <v>3257834.81</v>
      </c>
    </row>
    <row r="559" customFormat="false" ht="15" hidden="false" customHeight="false" outlineLevel="0" collapsed="false">
      <c r="A559" s="0" t="n">
        <v>18</v>
      </c>
      <c r="B559" s="0" t="s">
        <v>62</v>
      </c>
      <c r="C559" s="36" t="n">
        <v>120653</v>
      </c>
      <c r="D559" s="37" t="n">
        <v>40575</v>
      </c>
      <c r="E559" s="0" t="n">
        <v>2012</v>
      </c>
      <c r="F559" s="0" t="n">
        <v>1</v>
      </c>
      <c r="G559" s="38" t="n">
        <v>4282137.86</v>
      </c>
    </row>
    <row r="560" customFormat="false" ht="15" hidden="false" customHeight="false" outlineLevel="0" collapsed="false">
      <c r="A560" s="0" t="n">
        <v>19</v>
      </c>
      <c r="B560" s="0" t="s">
        <v>60</v>
      </c>
      <c r="C560" s="36" t="n">
        <v>203819</v>
      </c>
      <c r="D560" s="37" t="n">
        <v>40575</v>
      </c>
      <c r="E560" s="0" t="n">
        <v>2012</v>
      </c>
      <c r="F560" s="0" t="n">
        <v>1</v>
      </c>
      <c r="G560" s="38" t="n">
        <v>5582345.01</v>
      </c>
    </row>
    <row r="561" customFormat="false" ht="15" hidden="false" customHeight="false" outlineLevel="0" collapsed="false">
      <c r="A561" s="0" t="n">
        <v>20</v>
      </c>
      <c r="B561" s="0" t="s">
        <v>60</v>
      </c>
      <c r="C561" s="36" t="n">
        <v>203742</v>
      </c>
      <c r="D561" s="37" t="n">
        <v>40575</v>
      </c>
      <c r="E561" s="0" t="n">
        <v>2012</v>
      </c>
      <c r="F561" s="0" t="n">
        <v>1</v>
      </c>
      <c r="G561" s="38" t="n">
        <v>8670733.77</v>
      </c>
    </row>
    <row r="562" customFormat="false" ht="15" hidden="false" customHeight="false" outlineLevel="0" collapsed="false">
      <c r="A562" s="0" t="n">
        <v>21</v>
      </c>
      <c r="B562" s="0" t="s">
        <v>62</v>
      </c>
      <c r="C562" s="36" t="n">
        <v>140167</v>
      </c>
      <c r="D562" s="37" t="n">
        <v>40575</v>
      </c>
      <c r="E562" s="0" t="n">
        <v>2012</v>
      </c>
      <c r="F562" s="0" t="n">
        <v>1</v>
      </c>
      <c r="G562" s="38" t="n">
        <v>3106882.32</v>
      </c>
    </row>
    <row r="563" customFormat="false" ht="15" hidden="false" customHeight="false" outlineLevel="0" collapsed="false">
      <c r="A563" s="0" t="n">
        <v>22</v>
      </c>
      <c r="B563" s="0" t="s">
        <v>62</v>
      </c>
      <c r="C563" s="36" t="n">
        <v>119557</v>
      </c>
      <c r="D563" s="37" t="n">
        <v>40575</v>
      </c>
      <c r="E563" s="0" t="n">
        <v>2012</v>
      </c>
      <c r="F563" s="0" t="n">
        <v>1</v>
      </c>
      <c r="G563" s="38" t="n">
        <v>3864459.96</v>
      </c>
    </row>
    <row r="564" customFormat="false" ht="15" hidden="false" customHeight="false" outlineLevel="0" collapsed="false">
      <c r="A564" s="0" t="n">
        <v>23</v>
      </c>
      <c r="B564" s="0" t="s">
        <v>62</v>
      </c>
      <c r="C564" s="36" t="n">
        <v>114533</v>
      </c>
      <c r="D564" s="37" t="n">
        <v>40575</v>
      </c>
      <c r="E564" s="0" t="n">
        <v>2012</v>
      </c>
      <c r="F564" s="0" t="n">
        <v>1</v>
      </c>
      <c r="G564" s="38" t="n">
        <v>5046862.32</v>
      </c>
    </row>
    <row r="565" customFormat="false" ht="15" hidden="false" customHeight="false" outlineLevel="0" collapsed="false">
      <c r="A565" s="0" t="n">
        <v>24</v>
      </c>
      <c r="B565" s="0" t="s">
        <v>60</v>
      </c>
      <c r="C565" s="36" t="n">
        <v>203819</v>
      </c>
      <c r="D565" s="37" t="n">
        <v>40575</v>
      </c>
      <c r="E565" s="0" t="n">
        <v>2012</v>
      </c>
      <c r="F565" s="0" t="n">
        <v>1</v>
      </c>
      <c r="G565" s="38" t="n">
        <v>5213899.49</v>
      </c>
    </row>
    <row r="566" customFormat="false" ht="15" hidden="false" customHeight="false" outlineLevel="0" collapsed="false">
      <c r="A566" s="0" t="n">
        <v>25</v>
      </c>
      <c r="B566" s="0" t="s">
        <v>62</v>
      </c>
      <c r="C566" s="36" t="n">
        <v>128107</v>
      </c>
      <c r="D566" s="37" t="n">
        <v>40575</v>
      </c>
      <c r="E566" s="0" t="n">
        <v>2012</v>
      </c>
      <c r="F566" s="0" t="n">
        <v>1</v>
      </c>
      <c r="G566" s="38" t="n">
        <v>2461414.23</v>
      </c>
    </row>
    <row r="567" customFormat="false" ht="15" hidden="false" customHeight="false" outlineLevel="0" collapsed="false">
      <c r="A567" s="0" t="n">
        <v>26</v>
      </c>
      <c r="B567" s="0" t="s">
        <v>60</v>
      </c>
      <c r="C567" s="36" t="n">
        <v>152513</v>
      </c>
      <c r="D567" s="37" t="n">
        <v>40575</v>
      </c>
      <c r="E567" s="0" t="n">
        <v>2012</v>
      </c>
      <c r="F567" s="0" t="n">
        <v>1</v>
      </c>
      <c r="G567" s="38" t="n">
        <v>3829295.73</v>
      </c>
    </row>
    <row r="568" customFormat="false" ht="15" hidden="false" customHeight="false" outlineLevel="0" collapsed="false">
      <c r="A568" s="0" t="n">
        <v>27</v>
      </c>
      <c r="B568" s="0" t="s">
        <v>60</v>
      </c>
      <c r="C568" s="36" t="n">
        <v>204184</v>
      </c>
      <c r="D568" s="37" t="n">
        <v>40575</v>
      </c>
      <c r="E568" s="0" t="n">
        <v>2012</v>
      </c>
      <c r="F568" s="0" t="n">
        <v>1</v>
      </c>
      <c r="G568" s="38" t="n">
        <v>6674639.19</v>
      </c>
    </row>
    <row r="569" customFormat="false" ht="15" hidden="false" customHeight="false" outlineLevel="0" collapsed="false">
      <c r="A569" s="0" t="n">
        <v>28</v>
      </c>
      <c r="B569" s="0" t="s">
        <v>60</v>
      </c>
      <c r="C569" s="36" t="n">
        <v>206302</v>
      </c>
      <c r="D569" s="37" t="n">
        <v>40575</v>
      </c>
      <c r="E569" s="0" t="n">
        <v>2012</v>
      </c>
      <c r="F569" s="0" t="n">
        <v>1</v>
      </c>
      <c r="G569" s="38" t="n">
        <v>5856898.54</v>
      </c>
    </row>
    <row r="570" customFormat="false" ht="15" hidden="false" customHeight="false" outlineLevel="0" collapsed="false">
      <c r="A570" s="0" t="n">
        <v>29</v>
      </c>
      <c r="B570" s="0" t="s">
        <v>62</v>
      </c>
      <c r="C570" s="36" t="n">
        <v>93638</v>
      </c>
      <c r="D570" s="37" t="n">
        <v>40575</v>
      </c>
      <c r="E570" s="0" t="n">
        <v>2012</v>
      </c>
      <c r="F570" s="0" t="n">
        <v>1</v>
      </c>
      <c r="G570" s="38" t="n">
        <v>2094377.53</v>
      </c>
    </row>
    <row r="571" customFormat="false" ht="15" hidden="false" customHeight="false" outlineLevel="0" collapsed="false">
      <c r="A571" s="0" t="n">
        <v>30</v>
      </c>
      <c r="B571" s="0" t="s">
        <v>64</v>
      </c>
      <c r="C571" s="36" t="n">
        <v>42988</v>
      </c>
      <c r="D571" s="37" t="n">
        <v>40575</v>
      </c>
      <c r="E571" s="0" t="n">
        <v>2012</v>
      </c>
      <c r="F571" s="0" t="n">
        <v>1</v>
      </c>
      <c r="G571" s="38" t="n">
        <v>1791235.13</v>
      </c>
    </row>
    <row r="572" customFormat="false" ht="15" hidden="false" customHeight="false" outlineLevel="0" collapsed="false">
      <c r="A572" s="0" t="n">
        <v>31</v>
      </c>
      <c r="B572" s="0" t="s">
        <v>60</v>
      </c>
      <c r="C572" s="36" t="n">
        <v>203750</v>
      </c>
      <c r="D572" s="37" t="n">
        <v>40575</v>
      </c>
      <c r="E572" s="0" t="n">
        <v>2012</v>
      </c>
      <c r="F572" s="0" t="n">
        <v>1</v>
      </c>
      <c r="G572" s="38" t="n">
        <v>5874113.85</v>
      </c>
    </row>
    <row r="573" customFormat="false" ht="15" hidden="false" customHeight="false" outlineLevel="0" collapsed="false">
      <c r="A573" s="0" t="n">
        <v>32</v>
      </c>
      <c r="B573" s="0" t="s">
        <v>60</v>
      </c>
      <c r="C573" s="36" t="n">
        <v>203007</v>
      </c>
      <c r="D573" s="37" t="n">
        <v>40575</v>
      </c>
      <c r="E573" s="0" t="n">
        <v>2012</v>
      </c>
      <c r="F573" s="0" t="n">
        <v>1</v>
      </c>
      <c r="G573" s="38" t="n">
        <v>4448693.86</v>
      </c>
    </row>
    <row r="574" customFormat="false" ht="15" hidden="false" customHeight="false" outlineLevel="0" collapsed="false">
      <c r="A574" s="0" t="n">
        <v>33</v>
      </c>
      <c r="B574" s="0" t="s">
        <v>60</v>
      </c>
      <c r="C574" s="36" t="n">
        <v>39690</v>
      </c>
      <c r="D574" s="37" t="n">
        <v>40575</v>
      </c>
      <c r="E574" s="0" t="n">
        <v>2012</v>
      </c>
      <c r="F574" s="0" t="n">
        <v>1</v>
      </c>
      <c r="G574" s="38" t="n">
        <v>1010475.18</v>
      </c>
    </row>
    <row r="575" customFormat="false" ht="15" hidden="false" customHeight="false" outlineLevel="0" collapsed="false">
      <c r="A575" s="0" t="n">
        <v>34</v>
      </c>
      <c r="B575" s="0" t="s">
        <v>60</v>
      </c>
      <c r="C575" s="36" t="n">
        <v>158114</v>
      </c>
      <c r="D575" s="37" t="n">
        <v>40575</v>
      </c>
      <c r="E575" s="0" t="n">
        <v>2012</v>
      </c>
      <c r="F575" s="0" t="n">
        <v>1</v>
      </c>
      <c r="G575" s="38" t="n">
        <v>4000110.19</v>
      </c>
    </row>
    <row r="576" customFormat="false" ht="15" hidden="false" customHeight="false" outlineLevel="0" collapsed="false">
      <c r="A576" s="0" t="n">
        <v>35</v>
      </c>
      <c r="B576" s="0" t="s">
        <v>62</v>
      </c>
      <c r="C576" s="36" t="n">
        <v>103681</v>
      </c>
      <c r="D576" s="37" t="n">
        <v>40575</v>
      </c>
      <c r="E576" s="0" t="n">
        <v>2012</v>
      </c>
      <c r="F576" s="0" t="n">
        <v>1</v>
      </c>
      <c r="G576" s="38" t="n">
        <v>3357358.14</v>
      </c>
    </row>
    <row r="577" customFormat="false" ht="15" hidden="false" customHeight="false" outlineLevel="0" collapsed="false">
      <c r="A577" s="0" t="n">
        <v>36</v>
      </c>
      <c r="B577" s="0" t="s">
        <v>60</v>
      </c>
      <c r="C577" s="36" t="n">
        <v>39910</v>
      </c>
      <c r="D577" s="37" t="n">
        <v>40575</v>
      </c>
      <c r="E577" s="0" t="n">
        <v>2012</v>
      </c>
      <c r="F577" s="0" t="n">
        <v>1</v>
      </c>
      <c r="G577" s="38" t="n">
        <v>1620073.72</v>
      </c>
    </row>
    <row r="578" customFormat="false" ht="15" hidden="false" customHeight="false" outlineLevel="0" collapsed="false">
      <c r="A578" s="0" t="n">
        <v>37</v>
      </c>
      <c r="B578" s="0" t="s">
        <v>64</v>
      </c>
      <c r="C578" s="36" t="n">
        <v>39910</v>
      </c>
      <c r="D578" s="37" t="n">
        <v>40575</v>
      </c>
      <c r="E578" s="0" t="n">
        <v>2012</v>
      </c>
      <c r="F578" s="0" t="n">
        <v>1</v>
      </c>
      <c r="G578" s="38" t="n">
        <v>2133835.7</v>
      </c>
    </row>
    <row r="579" customFormat="false" ht="15" hidden="false" customHeight="false" outlineLevel="0" collapsed="false">
      <c r="A579" s="0" t="n">
        <v>38</v>
      </c>
      <c r="B579" s="0" t="s">
        <v>64</v>
      </c>
      <c r="C579" s="36" t="n">
        <v>39690</v>
      </c>
      <c r="D579" s="37" t="n">
        <v>40575</v>
      </c>
      <c r="E579" s="0" t="n">
        <v>2012</v>
      </c>
      <c r="F579" s="0" t="n">
        <v>1</v>
      </c>
      <c r="G579" s="38" t="n">
        <v>1500176.53</v>
      </c>
    </row>
    <row r="580" customFormat="false" ht="15" hidden="false" customHeight="false" outlineLevel="0" collapsed="false">
      <c r="A580" s="0" t="n">
        <v>39</v>
      </c>
      <c r="B580" s="0" t="s">
        <v>60</v>
      </c>
      <c r="C580" s="36" t="n">
        <v>184109</v>
      </c>
      <c r="D580" s="37" t="n">
        <v>40575</v>
      </c>
      <c r="E580" s="0" t="n">
        <v>2012</v>
      </c>
      <c r="F580" s="0" t="n">
        <v>1</v>
      </c>
      <c r="G580" s="38" t="n">
        <v>5136084.83</v>
      </c>
    </row>
    <row r="581" customFormat="false" ht="15" hidden="false" customHeight="false" outlineLevel="0" collapsed="false">
      <c r="A581" s="0" t="n">
        <v>40</v>
      </c>
      <c r="B581" s="0" t="s">
        <v>60</v>
      </c>
      <c r="C581" s="36" t="n">
        <v>155083</v>
      </c>
      <c r="D581" s="37" t="n">
        <v>40575</v>
      </c>
      <c r="E581" s="0" t="n">
        <v>2012</v>
      </c>
      <c r="F581" s="0" t="n">
        <v>1</v>
      </c>
      <c r="G581" s="38" t="n">
        <v>3724968.7</v>
      </c>
    </row>
    <row r="582" customFormat="false" ht="15" hidden="false" customHeight="false" outlineLevel="0" collapsed="false">
      <c r="A582" s="0" t="n">
        <v>41</v>
      </c>
      <c r="B582" s="0" t="s">
        <v>60</v>
      </c>
      <c r="C582" s="36" t="n">
        <v>196321</v>
      </c>
      <c r="D582" s="37" t="n">
        <v>40575</v>
      </c>
      <c r="E582" s="0" t="n">
        <v>2012</v>
      </c>
      <c r="F582" s="0" t="n">
        <v>1</v>
      </c>
      <c r="G582" s="38" t="n">
        <v>4653897.2</v>
      </c>
    </row>
    <row r="583" customFormat="false" ht="15" hidden="false" customHeight="false" outlineLevel="0" collapsed="false">
      <c r="A583" s="0" t="n">
        <v>42</v>
      </c>
      <c r="B583" s="0" t="s">
        <v>64</v>
      </c>
      <c r="C583" s="36" t="n">
        <v>39690</v>
      </c>
      <c r="D583" s="37" t="n">
        <v>40575</v>
      </c>
      <c r="E583" s="0" t="n">
        <v>2012</v>
      </c>
      <c r="F583" s="0" t="n">
        <v>1</v>
      </c>
      <c r="G583" s="38" t="n">
        <v>2291479.02</v>
      </c>
    </row>
    <row r="584" customFormat="false" ht="15" hidden="false" customHeight="false" outlineLevel="0" collapsed="false">
      <c r="A584" s="0" t="n">
        <v>43</v>
      </c>
      <c r="B584" s="0" t="s">
        <v>64</v>
      </c>
      <c r="C584" s="36" t="n">
        <v>41062</v>
      </c>
      <c r="D584" s="37" t="n">
        <v>40575</v>
      </c>
      <c r="E584" s="0" t="n">
        <v>2012</v>
      </c>
      <c r="F584" s="0" t="n">
        <v>1</v>
      </c>
      <c r="G584" s="38" t="n">
        <v>2491064.83</v>
      </c>
    </row>
    <row r="585" customFormat="false" ht="15" hidden="false" customHeight="false" outlineLevel="0" collapsed="false">
      <c r="A585" s="0" t="n">
        <v>44</v>
      </c>
      <c r="B585" s="0" t="s">
        <v>64</v>
      </c>
      <c r="C585" s="36" t="n">
        <v>39910</v>
      </c>
      <c r="D585" s="37" t="n">
        <v>40575</v>
      </c>
      <c r="E585" s="0" t="n">
        <v>2012</v>
      </c>
      <c r="F585" s="0" t="n">
        <v>1</v>
      </c>
      <c r="G585" s="38" t="n">
        <v>1161666.96</v>
      </c>
    </row>
    <row r="586" customFormat="false" ht="15" hidden="false" customHeight="false" outlineLevel="0" collapsed="false">
      <c r="A586" s="0" t="n">
        <v>45</v>
      </c>
      <c r="B586" s="0" t="s">
        <v>62</v>
      </c>
      <c r="C586" s="36" t="n">
        <v>118221</v>
      </c>
      <c r="D586" s="37" t="n">
        <v>40575</v>
      </c>
      <c r="E586" s="0" t="n">
        <v>2012</v>
      </c>
      <c r="F586" s="0" t="n">
        <v>1</v>
      </c>
      <c r="G586" s="38" t="n">
        <v>3062913.39</v>
      </c>
    </row>
    <row r="587" customFormat="false" ht="15" hidden="false" customHeight="false" outlineLevel="0" collapsed="false">
      <c r="A587" s="0" t="n">
        <v>1</v>
      </c>
      <c r="B587" s="0" t="s">
        <v>60</v>
      </c>
      <c r="C587" s="36" t="n">
        <v>151315</v>
      </c>
      <c r="D587" s="37" t="n">
        <v>40603</v>
      </c>
      <c r="E587" s="0" t="n">
        <v>2012</v>
      </c>
      <c r="F587" s="0" t="n">
        <v>2</v>
      </c>
      <c r="G587" s="38" t="n">
        <v>6887603.78</v>
      </c>
    </row>
    <row r="588" customFormat="false" ht="15" hidden="false" customHeight="false" outlineLevel="0" collapsed="false">
      <c r="A588" s="0" t="n">
        <v>2</v>
      </c>
      <c r="B588" s="0" t="s">
        <v>60</v>
      </c>
      <c r="C588" s="36" t="n">
        <v>202307</v>
      </c>
      <c r="D588" s="37" t="n">
        <v>40603</v>
      </c>
      <c r="E588" s="0" t="n">
        <v>2012</v>
      </c>
      <c r="F588" s="0" t="n">
        <v>2</v>
      </c>
      <c r="G588" s="38" t="n">
        <v>8223178.37</v>
      </c>
    </row>
    <row r="589" customFormat="false" ht="15" hidden="false" customHeight="false" outlineLevel="0" collapsed="false">
      <c r="A589" s="0" t="n">
        <v>3</v>
      </c>
      <c r="B589" s="0" t="s">
        <v>62</v>
      </c>
      <c r="C589" s="36" t="n">
        <v>37392</v>
      </c>
      <c r="D589" s="37" t="n">
        <v>40603</v>
      </c>
      <c r="E589" s="0" t="n">
        <v>2012</v>
      </c>
      <c r="F589" s="0" t="n">
        <v>2</v>
      </c>
      <c r="G589" s="38" t="n">
        <v>1748357.13</v>
      </c>
    </row>
    <row r="590" customFormat="false" ht="15" hidden="false" customHeight="false" outlineLevel="0" collapsed="false">
      <c r="A590" s="0" t="n">
        <v>4</v>
      </c>
      <c r="B590" s="0" t="s">
        <v>60</v>
      </c>
      <c r="C590" s="36" t="n">
        <v>205863</v>
      </c>
      <c r="D590" s="37" t="n">
        <v>40603</v>
      </c>
      <c r="E590" s="0" t="n">
        <v>2012</v>
      </c>
      <c r="F590" s="0" t="n">
        <v>2</v>
      </c>
      <c r="G590" s="38" t="n">
        <v>8931215.49</v>
      </c>
    </row>
    <row r="591" customFormat="false" ht="15" hidden="false" customHeight="false" outlineLevel="0" collapsed="false">
      <c r="A591" s="0" t="n">
        <v>5</v>
      </c>
      <c r="B591" s="0" t="s">
        <v>62</v>
      </c>
      <c r="C591" s="36" t="n">
        <v>34875</v>
      </c>
      <c r="D591" s="37" t="n">
        <v>40603</v>
      </c>
      <c r="E591" s="0" t="n">
        <v>2012</v>
      </c>
      <c r="F591" s="0" t="n">
        <v>2</v>
      </c>
      <c r="G591" s="38" t="n">
        <v>1357441.71</v>
      </c>
    </row>
    <row r="592" customFormat="false" ht="15" hidden="false" customHeight="false" outlineLevel="0" collapsed="false">
      <c r="A592" s="0" t="n">
        <v>6</v>
      </c>
      <c r="B592" s="0" t="s">
        <v>60</v>
      </c>
      <c r="C592" s="36" t="n">
        <v>202505</v>
      </c>
      <c r="D592" s="37" t="n">
        <v>40603</v>
      </c>
      <c r="E592" s="0" t="n">
        <v>2012</v>
      </c>
      <c r="F592" s="0" t="n">
        <v>2</v>
      </c>
      <c r="G592" s="38" t="n">
        <v>6727786.2</v>
      </c>
    </row>
    <row r="593" customFormat="false" ht="15" hidden="false" customHeight="false" outlineLevel="0" collapsed="false">
      <c r="A593" s="0" t="n">
        <v>7</v>
      </c>
      <c r="B593" s="0" t="s">
        <v>62</v>
      </c>
      <c r="C593" s="36" t="n">
        <v>70713</v>
      </c>
      <c r="D593" s="37" t="n">
        <v>40603</v>
      </c>
      <c r="E593" s="0" t="n">
        <v>2012</v>
      </c>
      <c r="F593" s="0" t="n">
        <v>2</v>
      </c>
      <c r="G593" s="38" t="n">
        <v>2508178.89</v>
      </c>
    </row>
    <row r="594" customFormat="false" ht="15" hidden="false" customHeight="false" outlineLevel="0" collapsed="false">
      <c r="A594" s="0" t="n">
        <v>8</v>
      </c>
      <c r="B594" s="0" t="s">
        <v>60</v>
      </c>
      <c r="C594" s="36" t="n">
        <v>155078</v>
      </c>
      <c r="D594" s="37" t="n">
        <v>40603</v>
      </c>
      <c r="E594" s="0" t="n">
        <v>2012</v>
      </c>
      <c r="F594" s="0" t="n">
        <v>2</v>
      </c>
      <c r="G594" s="38" t="n">
        <v>3914307.58</v>
      </c>
    </row>
    <row r="595" customFormat="false" ht="15" hidden="false" customHeight="false" outlineLevel="0" collapsed="false">
      <c r="A595" s="0" t="n">
        <v>9</v>
      </c>
      <c r="B595" s="0" t="s">
        <v>62</v>
      </c>
      <c r="C595" s="36" t="n">
        <v>125833</v>
      </c>
      <c r="D595" s="37" t="n">
        <v>40603</v>
      </c>
      <c r="E595" s="0" t="n">
        <v>2012</v>
      </c>
      <c r="F595" s="0" t="n">
        <v>2</v>
      </c>
      <c r="G595" s="38" t="n">
        <v>2286760.49</v>
      </c>
    </row>
    <row r="596" customFormat="false" ht="15" hidden="false" customHeight="false" outlineLevel="0" collapsed="false">
      <c r="A596" s="0" t="n">
        <v>10</v>
      </c>
      <c r="B596" s="0" t="s">
        <v>62</v>
      </c>
      <c r="C596" s="36" t="n">
        <v>126512</v>
      </c>
      <c r="D596" s="37" t="n">
        <v>40603</v>
      </c>
      <c r="E596" s="0" t="n">
        <v>2012</v>
      </c>
      <c r="F596" s="0" t="n">
        <v>2</v>
      </c>
      <c r="G596" s="38" t="n">
        <v>8319489.72</v>
      </c>
    </row>
    <row r="597" customFormat="false" ht="15" hidden="false" customHeight="false" outlineLevel="0" collapsed="false">
      <c r="A597" s="0" t="n">
        <v>11</v>
      </c>
      <c r="B597" s="0" t="s">
        <v>60</v>
      </c>
      <c r="C597" s="36" t="n">
        <v>207499</v>
      </c>
      <c r="D597" s="37" t="n">
        <v>40603</v>
      </c>
      <c r="E597" s="0" t="n">
        <v>2012</v>
      </c>
      <c r="F597" s="0" t="n">
        <v>2</v>
      </c>
      <c r="G597" s="38" t="n">
        <v>5814701.5</v>
      </c>
    </row>
    <row r="598" customFormat="false" ht="15" hidden="false" customHeight="false" outlineLevel="0" collapsed="false">
      <c r="A598" s="0" t="n">
        <v>12</v>
      </c>
      <c r="B598" s="0" t="s">
        <v>62</v>
      </c>
      <c r="C598" s="36" t="n">
        <v>112238</v>
      </c>
      <c r="D598" s="37" t="n">
        <v>40603</v>
      </c>
      <c r="E598" s="0" t="n">
        <v>2012</v>
      </c>
      <c r="F598" s="0" t="n">
        <v>2</v>
      </c>
      <c r="G598" s="38" t="n">
        <v>4443249.62</v>
      </c>
    </row>
    <row r="599" customFormat="false" ht="15" hidden="false" customHeight="false" outlineLevel="0" collapsed="false">
      <c r="A599" s="0" t="n">
        <v>13</v>
      </c>
      <c r="B599" s="0" t="s">
        <v>60</v>
      </c>
      <c r="C599" s="36" t="n">
        <v>219622</v>
      </c>
      <c r="D599" s="37" t="n">
        <v>40603</v>
      </c>
      <c r="E599" s="0" t="n">
        <v>2012</v>
      </c>
      <c r="F599" s="0" t="n">
        <v>2</v>
      </c>
      <c r="G599" s="38" t="n">
        <v>8193175.31</v>
      </c>
    </row>
    <row r="600" customFormat="false" ht="15" hidden="false" customHeight="false" outlineLevel="0" collapsed="false">
      <c r="A600" s="0" t="n">
        <v>14</v>
      </c>
      <c r="B600" s="0" t="s">
        <v>60</v>
      </c>
      <c r="C600" s="36" t="n">
        <v>200898</v>
      </c>
      <c r="D600" s="37" t="n">
        <v>40603</v>
      </c>
      <c r="E600" s="0" t="n">
        <v>2012</v>
      </c>
      <c r="F600" s="0" t="n">
        <v>2</v>
      </c>
      <c r="G600" s="38" t="n">
        <v>8511551.02</v>
      </c>
    </row>
    <row r="601" customFormat="false" ht="15" hidden="false" customHeight="false" outlineLevel="0" collapsed="false">
      <c r="A601" s="0" t="n">
        <v>15</v>
      </c>
      <c r="B601" s="0" t="s">
        <v>62</v>
      </c>
      <c r="C601" s="36" t="n">
        <v>123737</v>
      </c>
      <c r="D601" s="37" t="n">
        <v>40603</v>
      </c>
      <c r="E601" s="0" t="n">
        <v>2012</v>
      </c>
      <c r="F601" s="0" t="n">
        <v>2</v>
      </c>
      <c r="G601" s="38" t="n">
        <v>2408669.15</v>
      </c>
    </row>
    <row r="602" customFormat="false" ht="15" hidden="false" customHeight="false" outlineLevel="0" collapsed="false">
      <c r="A602" s="0" t="n">
        <v>16</v>
      </c>
      <c r="B602" s="0" t="s">
        <v>62</v>
      </c>
      <c r="C602" s="36" t="n">
        <v>57197</v>
      </c>
      <c r="D602" s="37" t="n">
        <v>40603</v>
      </c>
      <c r="E602" s="0" t="n">
        <v>2012</v>
      </c>
      <c r="F602" s="0" t="n">
        <v>2</v>
      </c>
      <c r="G602" s="38" t="n">
        <v>2091279.39</v>
      </c>
    </row>
    <row r="603" customFormat="false" ht="15" hidden="false" customHeight="false" outlineLevel="0" collapsed="false">
      <c r="A603" s="0" t="n">
        <v>17</v>
      </c>
      <c r="B603" s="0" t="s">
        <v>62</v>
      </c>
      <c r="C603" s="36" t="n">
        <v>93188</v>
      </c>
      <c r="D603" s="37" t="n">
        <v>40603</v>
      </c>
      <c r="E603" s="0" t="n">
        <v>2012</v>
      </c>
      <c r="F603" s="0" t="n">
        <v>2</v>
      </c>
      <c r="G603" s="38" t="n">
        <v>3487836.74</v>
      </c>
    </row>
    <row r="604" customFormat="false" ht="15" hidden="false" customHeight="false" outlineLevel="0" collapsed="false">
      <c r="A604" s="0" t="n">
        <v>18</v>
      </c>
      <c r="B604" s="0" t="s">
        <v>62</v>
      </c>
      <c r="C604" s="36" t="n">
        <v>120653</v>
      </c>
      <c r="D604" s="37" t="n">
        <v>40603</v>
      </c>
      <c r="E604" s="0" t="n">
        <v>2012</v>
      </c>
      <c r="F604" s="0" t="n">
        <v>2</v>
      </c>
      <c r="G604" s="38" t="n">
        <v>4304804.52</v>
      </c>
    </row>
    <row r="605" customFormat="false" ht="15" hidden="false" customHeight="false" outlineLevel="0" collapsed="false">
      <c r="A605" s="0" t="n">
        <v>19</v>
      </c>
      <c r="B605" s="0" t="s">
        <v>60</v>
      </c>
      <c r="C605" s="36" t="n">
        <v>203819</v>
      </c>
      <c r="D605" s="37" t="n">
        <v>40603</v>
      </c>
      <c r="E605" s="0" t="n">
        <v>2012</v>
      </c>
      <c r="F605" s="0" t="n">
        <v>2</v>
      </c>
      <c r="G605" s="38" t="n">
        <v>5814556.18</v>
      </c>
    </row>
    <row r="606" customFormat="false" ht="15" hidden="false" customHeight="false" outlineLevel="0" collapsed="false">
      <c r="A606" s="0" t="n">
        <v>20</v>
      </c>
      <c r="B606" s="0" t="s">
        <v>60</v>
      </c>
      <c r="C606" s="36" t="n">
        <v>203742</v>
      </c>
      <c r="D606" s="37" t="n">
        <v>40603</v>
      </c>
      <c r="E606" s="0" t="n">
        <v>2012</v>
      </c>
      <c r="F606" s="0" t="n">
        <v>2</v>
      </c>
      <c r="G606" s="38" t="n">
        <v>8624692.19</v>
      </c>
    </row>
    <row r="607" customFormat="false" ht="15" hidden="false" customHeight="false" outlineLevel="0" collapsed="false">
      <c r="A607" s="0" t="n">
        <v>21</v>
      </c>
      <c r="B607" s="0" t="s">
        <v>62</v>
      </c>
      <c r="C607" s="36" t="n">
        <v>140167</v>
      </c>
      <c r="D607" s="37" t="n">
        <v>40603</v>
      </c>
      <c r="E607" s="0" t="n">
        <v>2012</v>
      </c>
      <c r="F607" s="0" t="n">
        <v>2</v>
      </c>
      <c r="G607" s="38" t="n">
        <v>3393252.97</v>
      </c>
    </row>
    <row r="608" customFormat="false" ht="15" hidden="false" customHeight="false" outlineLevel="0" collapsed="false">
      <c r="A608" s="0" t="n">
        <v>22</v>
      </c>
      <c r="B608" s="0" t="s">
        <v>62</v>
      </c>
      <c r="C608" s="36" t="n">
        <v>119557</v>
      </c>
      <c r="D608" s="37" t="n">
        <v>40603</v>
      </c>
      <c r="E608" s="0" t="n">
        <v>2012</v>
      </c>
      <c r="F608" s="0" t="n">
        <v>2</v>
      </c>
      <c r="G608" s="38" t="n">
        <v>4190105.96</v>
      </c>
    </row>
    <row r="609" customFormat="false" ht="15" hidden="false" customHeight="false" outlineLevel="0" collapsed="false">
      <c r="A609" s="0" t="n">
        <v>23</v>
      </c>
      <c r="B609" s="0" t="s">
        <v>62</v>
      </c>
      <c r="C609" s="36" t="n">
        <v>114533</v>
      </c>
      <c r="D609" s="37" t="n">
        <v>40603</v>
      </c>
      <c r="E609" s="0" t="n">
        <v>2012</v>
      </c>
      <c r="F609" s="0" t="n">
        <v>2</v>
      </c>
      <c r="G609" s="38" t="n">
        <v>5151623.98</v>
      </c>
    </row>
    <row r="610" customFormat="false" ht="15" hidden="false" customHeight="false" outlineLevel="0" collapsed="false">
      <c r="A610" s="0" t="n">
        <v>24</v>
      </c>
      <c r="B610" s="0" t="s">
        <v>60</v>
      </c>
      <c r="C610" s="36" t="n">
        <v>203819</v>
      </c>
      <c r="D610" s="37" t="n">
        <v>40603</v>
      </c>
      <c r="E610" s="0" t="n">
        <v>2012</v>
      </c>
      <c r="F610" s="0" t="n">
        <v>2</v>
      </c>
      <c r="G610" s="38" t="n">
        <v>5347565.89</v>
      </c>
    </row>
    <row r="611" customFormat="false" ht="15" hidden="false" customHeight="false" outlineLevel="0" collapsed="false">
      <c r="A611" s="0" t="n">
        <v>25</v>
      </c>
      <c r="B611" s="0" t="s">
        <v>62</v>
      </c>
      <c r="C611" s="36" t="n">
        <v>128107</v>
      </c>
      <c r="D611" s="37" t="n">
        <v>40603</v>
      </c>
      <c r="E611" s="0" t="n">
        <v>2012</v>
      </c>
      <c r="F611" s="0" t="n">
        <v>2</v>
      </c>
      <c r="G611" s="38" t="n">
        <v>2715819.89</v>
      </c>
    </row>
    <row r="612" customFormat="false" ht="15" hidden="false" customHeight="false" outlineLevel="0" collapsed="false">
      <c r="A612" s="0" t="n">
        <v>26</v>
      </c>
      <c r="B612" s="0" t="s">
        <v>60</v>
      </c>
      <c r="C612" s="36" t="n">
        <v>152513</v>
      </c>
      <c r="D612" s="37" t="n">
        <v>40603</v>
      </c>
      <c r="E612" s="0" t="n">
        <v>2012</v>
      </c>
      <c r="F612" s="0" t="n">
        <v>2</v>
      </c>
      <c r="G612" s="38" t="n">
        <v>3968887.52</v>
      </c>
    </row>
    <row r="613" customFormat="false" ht="15" hidden="false" customHeight="false" outlineLevel="0" collapsed="false">
      <c r="A613" s="0" t="n">
        <v>27</v>
      </c>
      <c r="B613" s="0" t="s">
        <v>60</v>
      </c>
      <c r="C613" s="36" t="n">
        <v>204184</v>
      </c>
      <c r="D613" s="37" t="n">
        <v>40603</v>
      </c>
      <c r="E613" s="0" t="n">
        <v>2012</v>
      </c>
      <c r="F613" s="0" t="n">
        <v>2</v>
      </c>
      <c r="G613" s="38" t="n">
        <v>7134983.25</v>
      </c>
    </row>
    <row r="614" customFormat="false" ht="15" hidden="false" customHeight="false" outlineLevel="0" collapsed="false">
      <c r="A614" s="0" t="n">
        <v>28</v>
      </c>
      <c r="B614" s="0" t="s">
        <v>60</v>
      </c>
      <c r="C614" s="36" t="n">
        <v>206302</v>
      </c>
      <c r="D614" s="37" t="n">
        <v>40603</v>
      </c>
      <c r="E614" s="0" t="n">
        <v>2012</v>
      </c>
      <c r="F614" s="0" t="n">
        <v>2</v>
      </c>
      <c r="G614" s="38" t="n">
        <v>5999163.79</v>
      </c>
    </row>
    <row r="615" customFormat="false" ht="15" hidden="false" customHeight="false" outlineLevel="0" collapsed="false">
      <c r="A615" s="0" t="n">
        <v>29</v>
      </c>
      <c r="B615" s="0" t="s">
        <v>62</v>
      </c>
      <c r="C615" s="36" t="n">
        <v>93638</v>
      </c>
      <c r="D615" s="37" t="n">
        <v>40603</v>
      </c>
      <c r="E615" s="0" t="n">
        <v>2012</v>
      </c>
      <c r="F615" s="0" t="n">
        <v>2</v>
      </c>
      <c r="G615" s="38" t="n">
        <v>2179830.94</v>
      </c>
    </row>
    <row r="616" customFormat="false" ht="15" hidden="false" customHeight="false" outlineLevel="0" collapsed="false">
      <c r="A616" s="0" t="n">
        <v>30</v>
      </c>
      <c r="B616" s="0" t="s">
        <v>64</v>
      </c>
      <c r="C616" s="36" t="n">
        <v>42988</v>
      </c>
      <c r="D616" s="37" t="n">
        <v>40603</v>
      </c>
      <c r="E616" s="0" t="n">
        <v>2012</v>
      </c>
      <c r="F616" s="0" t="n">
        <v>2</v>
      </c>
      <c r="G616" s="38" t="n">
        <v>1924454.58</v>
      </c>
    </row>
    <row r="617" customFormat="false" ht="15" hidden="false" customHeight="false" outlineLevel="0" collapsed="false">
      <c r="A617" s="0" t="n">
        <v>31</v>
      </c>
      <c r="B617" s="0" t="s">
        <v>60</v>
      </c>
      <c r="C617" s="36" t="n">
        <v>203750</v>
      </c>
      <c r="D617" s="37" t="n">
        <v>40603</v>
      </c>
      <c r="E617" s="0" t="n">
        <v>2012</v>
      </c>
      <c r="F617" s="0" t="n">
        <v>2</v>
      </c>
      <c r="G617" s="38" t="n">
        <v>6148200.74</v>
      </c>
    </row>
    <row r="618" customFormat="false" ht="15" hidden="false" customHeight="false" outlineLevel="0" collapsed="false">
      <c r="A618" s="0" t="n">
        <v>32</v>
      </c>
      <c r="B618" s="0" t="s">
        <v>60</v>
      </c>
      <c r="C618" s="36" t="n">
        <v>203007</v>
      </c>
      <c r="D618" s="37" t="n">
        <v>40603</v>
      </c>
      <c r="E618" s="0" t="n">
        <v>2012</v>
      </c>
      <c r="F618" s="0" t="n">
        <v>2</v>
      </c>
      <c r="G618" s="38" t="n">
        <v>4804388.16</v>
      </c>
    </row>
    <row r="619" customFormat="false" ht="15" hidden="false" customHeight="false" outlineLevel="0" collapsed="false">
      <c r="A619" s="0" t="n">
        <v>33</v>
      </c>
      <c r="B619" s="0" t="s">
        <v>60</v>
      </c>
      <c r="C619" s="36" t="n">
        <v>39690</v>
      </c>
      <c r="D619" s="37" t="n">
        <v>40603</v>
      </c>
      <c r="E619" s="0" t="n">
        <v>2012</v>
      </c>
      <c r="F619" s="0" t="n">
        <v>2</v>
      </c>
      <c r="G619" s="38" t="n">
        <v>1096005.4</v>
      </c>
    </row>
    <row r="620" customFormat="false" ht="15" hidden="false" customHeight="false" outlineLevel="0" collapsed="false">
      <c r="A620" s="0" t="n">
        <v>34</v>
      </c>
      <c r="B620" s="0" t="s">
        <v>60</v>
      </c>
      <c r="C620" s="36" t="n">
        <v>158114</v>
      </c>
      <c r="D620" s="37" t="n">
        <v>40603</v>
      </c>
      <c r="E620" s="0" t="n">
        <v>2012</v>
      </c>
      <c r="F620" s="0" t="n">
        <v>2</v>
      </c>
      <c r="G620" s="38" t="n">
        <v>4189789.6</v>
      </c>
    </row>
    <row r="621" customFormat="false" ht="15" hidden="false" customHeight="false" outlineLevel="0" collapsed="false">
      <c r="A621" s="0" t="n">
        <v>35</v>
      </c>
      <c r="B621" s="0" t="s">
        <v>62</v>
      </c>
      <c r="C621" s="36" t="n">
        <v>103681</v>
      </c>
      <c r="D621" s="37" t="n">
        <v>40603</v>
      </c>
      <c r="E621" s="0" t="n">
        <v>2012</v>
      </c>
      <c r="F621" s="0" t="n">
        <v>2</v>
      </c>
      <c r="G621" s="38" t="n">
        <v>3533094.02</v>
      </c>
    </row>
    <row r="622" customFormat="false" ht="15" hidden="false" customHeight="false" outlineLevel="0" collapsed="false">
      <c r="A622" s="0" t="n">
        <v>36</v>
      </c>
      <c r="B622" s="0" t="s">
        <v>60</v>
      </c>
      <c r="C622" s="36" t="n">
        <v>39910</v>
      </c>
      <c r="D622" s="37" t="n">
        <v>40603</v>
      </c>
      <c r="E622" s="0" t="n">
        <v>2012</v>
      </c>
      <c r="F622" s="0" t="n">
        <v>2</v>
      </c>
      <c r="G622" s="38" t="n">
        <v>1790272.69</v>
      </c>
    </row>
    <row r="623" customFormat="false" ht="15" hidden="false" customHeight="false" outlineLevel="0" collapsed="false">
      <c r="A623" s="0" t="n">
        <v>37</v>
      </c>
      <c r="B623" s="0" t="s">
        <v>64</v>
      </c>
      <c r="C623" s="36" t="n">
        <v>39910</v>
      </c>
      <c r="D623" s="37" t="n">
        <v>40603</v>
      </c>
      <c r="E623" s="0" t="n">
        <v>2012</v>
      </c>
      <c r="F623" s="0" t="n">
        <v>2</v>
      </c>
      <c r="G623" s="38" t="n">
        <v>2265899.64</v>
      </c>
    </row>
    <row r="624" customFormat="false" ht="15" hidden="false" customHeight="false" outlineLevel="0" collapsed="false">
      <c r="A624" s="0" t="n">
        <v>38</v>
      </c>
      <c r="B624" s="0" t="s">
        <v>64</v>
      </c>
      <c r="C624" s="36" t="n">
        <v>39690</v>
      </c>
      <c r="D624" s="37" t="n">
        <v>40603</v>
      </c>
      <c r="E624" s="0" t="n">
        <v>2012</v>
      </c>
      <c r="F624" s="0" t="n">
        <v>2</v>
      </c>
      <c r="G624" s="38" t="n">
        <v>1618085.43</v>
      </c>
    </row>
    <row r="625" customFormat="false" ht="15" hidden="false" customHeight="false" outlineLevel="0" collapsed="false">
      <c r="A625" s="0" t="n">
        <v>39</v>
      </c>
      <c r="B625" s="0" t="s">
        <v>60</v>
      </c>
      <c r="C625" s="36" t="n">
        <v>184109</v>
      </c>
      <c r="D625" s="37" t="n">
        <v>40603</v>
      </c>
      <c r="E625" s="0" t="n">
        <v>2012</v>
      </c>
      <c r="F625" s="0" t="n">
        <v>2</v>
      </c>
      <c r="G625" s="38" t="n">
        <v>5797409.92</v>
      </c>
    </row>
    <row r="626" customFormat="false" ht="15" hidden="false" customHeight="false" outlineLevel="0" collapsed="false">
      <c r="A626" s="0" t="n">
        <v>40</v>
      </c>
      <c r="B626" s="0" t="s">
        <v>60</v>
      </c>
      <c r="C626" s="36" t="n">
        <v>155083</v>
      </c>
      <c r="D626" s="37" t="n">
        <v>40603</v>
      </c>
      <c r="E626" s="0" t="n">
        <v>2012</v>
      </c>
      <c r="F626" s="0" t="n">
        <v>2</v>
      </c>
      <c r="G626" s="38" t="n">
        <v>3845846.55</v>
      </c>
    </row>
    <row r="627" customFormat="false" ht="15" hidden="false" customHeight="false" outlineLevel="0" collapsed="false">
      <c r="A627" s="0" t="n">
        <v>41</v>
      </c>
      <c r="B627" s="0" t="s">
        <v>60</v>
      </c>
      <c r="C627" s="36" t="n">
        <v>196321</v>
      </c>
      <c r="D627" s="37" t="n">
        <v>40603</v>
      </c>
      <c r="E627" s="0" t="n">
        <v>2012</v>
      </c>
      <c r="F627" s="0" t="n">
        <v>2</v>
      </c>
      <c r="G627" s="38" t="n">
        <v>5128283.96</v>
      </c>
    </row>
    <row r="628" customFormat="false" ht="15" hidden="false" customHeight="false" outlineLevel="0" collapsed="false">
      <c r="A628" s="0" t="n">
        <v>42</v>
      </c>
      <c r="B628" s="0" t="s">
        <v>64</v>
      </c>
      <c r="C628" s="36" t="n">
        <v>39690</v>
      </c>
      <c r="D628" s="37" t="n">
        <v>40603</v>
      </c>
      <c r="E628" s="0" t="n">
        <v>2012</v>
      </c>
      <c r="F628" s="0" t="n">
        <v>2</v>
      </c>
      <c r="G628" s="38" t="n">
        <v>2450223.09</v>
      </c>
    </row>
    <row r="629" customFormat="false" ht="15" hidden="false" customHeight="false" outlineLevel="0" collapsed="false">
      <c r="A629" s="0" t="n">
        <v>43</v>
      </c>
      <c r="B629" s="0" t="s">
        <v>64</v>
      </c>
      <c r="C629" s="36" t="n">
        <v>41062</v>
      </c>
      <c r="D629" s="37" t="n">
        <v>40603</v>
      </c>
      <c r="E629" s="0" t="n">
        <v>2012</v>
      </c>
      <c r="F629" s="0" t="n">
        <v>2</v>
      </c>
      <c r="G629" s="38" t="n">
        <v>2726600.37</v>
      </c>
    </row>
    <row r="630" customFormat="false" ht="15" hidden="false" customHeight="false" outlineLevel="0" collapsed="false">
      <c r="A630" s="0" t="n">
        <v>44</v>
      </c>
      <c r="B630" s="0" t="s">
        <v>64</v>
      </c>
      <c r="C630" s="36" t="n">
        <v>39910</v>
      </c>
      <c r="D630" s="37" t="n">
        <v>40603</v>
      </c>
      <c r="E630" s="0" t="n">
        <v>2012</v>
      </c>
      <c r="F630" s="0" t="n">
        <v>2</v>
      </c>
      <c r="G630" s="38" t="n">
        <v>1260516.75</v>
      </c>
    </row>
    <row r="631" customFormat="false" ht="15" hidden="false" customHeight="false" outlineLevel="0" collapsed="false">
      <c r="A631" s="0" t="n">
        <v>45</v>
      </c>
      <c r="B631" s="0" t="s">
        <v>62</v>
      </c>
      <c r="C631" s="36" t="n">
        <v>118221</v>
      </c>
      <c r="D631" s="37" t="n">
        <v>40603</v>
      </c>
      <c r="E631" s="0" t="n">
        <v>2012</v>
      </c>
      <c r="F631" s="0" t="n">
        <v>2</v>
      </c>
      <c r="G631" s="38" t="n">
        <v>3213327.62</v>
      </c>
    </row>
    <row r="632" customFormat="false" ht="15" hidden="false" customHeight="false" outlineLevel="0" collapsed="false">
      <c r="A632" s="0" t="n">
        <v>1</v>
      </c>
      <c r="B632" s="0" t="s">
        <v>60</v>
      </c>
      <c r="C632" s="36" t="n">
        <v>151315</v>
      </c>
      <c r="D632" s="37" t="n">
        <v>40634</v>
      </c>
      <c r="E632" s="0" t="n">
        <v>2012</v>
      </c>
      <c r="F632" s="0" t="n">
        <v>3</v>
      </c>
      <c r="G632" s="38" t="n">
        <v>6640409.71</v>
      </c>
    </row>
    <row r="633" customFormat="false" ht="15" hidden="false" customHeight="false" outlineLevel="0" collapsed="false">
      <c r="A633" s="0" t="n">
        <v>2</v>
      </c>
      <c r="B633" s="0" t="s">
        <v>60</v>
      </c>
      <c r="C633" s="36" t="n">
        <v>202307</v>
      </c>
      <c r="D633" s="37" t="n">
        <v>40634</v>
      </c>
      <c r="E633" s="0" t="n">
        <v>2012</v>
      </c>
      <c r="F633" s="0" t="n">
        <v>3</v>
      </c>
      <c r="G633" s="38" t="n">
        <v>7855607.43</v>
      </c>
    </row>
    <row r="634" customFormat="false" ht="15" hidden="false" customHeight="false" outlineLevel="0" collapsed="false">
      <c r="A634" s="0" t="n">
        <v>3</v>
      </c>
      <c r="B634" s="0" t="s">
        <v>62</v>
      </c>
      <c r="C634" s="36" t="n">
        <v>37392</v>
      </c>
      <c r="D634" s="37" t="n">
        <v>40634</v>
      </c>
      <c r="E634" s="0" t="n">
        <v>2012</v>
      </c>
      <c r="F634" s="0" t="n">
        <v>3</v>
      </c>
      <c r="G634" s="38" t="n">
        <v>1622105.45</v>
      </c>
    </row>
    <row r="635" customFormat="false" ht="15" hidden="false" customHeight="false" outlineLevel="0" collapsed="false">
      <c r="A635" s="0" t="n">
        <v>4</v>
      </c>
      <c r="B635" s="0" t="s">
        <v>60</v>
      </c>
      <c r="C635" s="36" t="n">
        <v>205863</v>
      </c>
      <c r="D635" s="37" t="n">
        <v>40634</v>
      </c>
      <c r="E635" s="0" t="n">
        <v>2012</v>
      </c>
      <c r="F635" s="0" t="n">
        <v>3</v>
      </c>
      <c r="G635" s="38" t="n">
        <v>8700585.01</v>
      </c>
    </row>
    <row r="636" customFormat="false" ht="15" hidden="false" customHeight="false" outlineLevel="0" collapsed="false">
      <c r="A636" s="0" t="n">
        <v>5</v>
      </c>
      <c r="B636" s="0" t="s">
        <v>62</v>
      </c>
      <c r="C636" s="36" t="n">
        <v>34875</v>
      </c>
      <c r="D636" s="37" t="n">
        <v>40634</v>
      </c>
      <c r="E636" s="0" t="n">
        <v>2012</v>
      </c>
      <c r="F636" s="0" t="n">
        <v>3</v>
      </c>
      <c r="G636" s="38" t="n">
        <v>1341985.82</v>
      </c>
    </row>
    <row r="637" customFormat="false" ht="15" hidden="false" customHeight="false" outlineLevel="0" collapsed="false">
      <c r="A637" s="0" t="n">
        <v>6</v>
      </c>
      <c r="B637" s="0" t="s">
        <v>60</v>
      </c>
      <c r="C637" s="36" t="n">
        <v>202505</v>
      </c>
      <c r="D637" s="37" t="n">
        <v>40634</v>
      </c>
      <c r="E637" s="0" t="n">
        <v>2012</v>
      </c>
      <c r="F637" s="0" t="n">
        <v>3</v>
      </c>
      <c r="G637" s="38" t="n">
        <v>6525418.2</v>
      </c>
    </row>
    <row r="638" customFormat="false" ht="15" hidden="false" customHeight="false" outlineLevel="0" collapsed="false">
      <c r="A638" s="0" t="n">
        <v>7</v>
      </c>
      <c r="B638" s="0" t="s">
        <v>62</v>
      </c>
      <c r="C638" s="36" t="n">
        <v>70713</v>
      </c>
      <c r="D638" s="37" t="n">
        <v>40634</v>
      </c>
      <c r="E638" s="0" t="n">
        <v>2012</v>
      </c>
      <c r="F638" s="0" t="n">
        <v>3</v>
      </c>
      <c r="G638" s="38" t="n">
        <v>1932445.8</v>
      </c>
    </row>
    <row r="639" customFormat="false" ht="15" hidden="false" customHeight="false" outlineLevel="0" collapsed="false">
      <c r="A639" s="0" t="n">
        <v>8</v>
      </c>
      <c r="B639" s="0" t="s">
        <v>60</v>
      </c>
      <c r="C639" s="36" t="n">
        <v>155078</v>
      </c>
      <c r="D639" s="37" t="n">
        <v>40634</v>
      </c>
      <c r="E639" s="0" t="n">
        <v>2012</v>
      </c>
      <c r="F639" s="0" t="n">
        <v>3</v>
      </c>
      <c r="G639" s="38" t="n">
        <v>3910623.84</v>
      </c>
    </row>
    <row r="640" customFormat="false" ht="15" hidden="false" customHeight="false" outlineLevel="0" collapsed="false">
      <c r="A640" s="0" t="n">
        <v>9</v>
      </c>
      <c r="B640" s="0" t="s">
        <v>62</v>
      </c>
      <c r="C640" s="36" t="n">
        <v>125833</v>
      </c>
      <c r="D640" s="37" t="n">
        <v>40634</v>
      </c>
      <c r="E640" s="0" t="n">
        <v>2012</v>
      </c>
      <c r="F640" s="0" t="n">
        <v>3</v>
      </c>
      <c r="G640" s="38" t="n">
        <v>2324090.72</v>
      </c>
    </row>
    <row r="641" customFormat="false" ht="15" hidden="false" customHeight="false" outlineLevel="0" collapsed="false">
      <c r="A641" s="0" t="n">
        <v>10</v>
      </c>
      <c r="B641" s="0" t="s">
        <v>62</v>
      </c>
      <c r="C641" s="36" t="n">
        <v>126512</v>
      </c>
      <c r="D641" s="37" t="n">
        <v>40634</v>
      </c>
      <c r="E641" s="0" t="n">
        <v>2012</v>
      </c>
      <c r="F641" s="0" t="n">
        <v>3</v>
      </c>
      <c r="G641" s="38" t="n">
        <v>8055123.04</v>
      </c>
    </row>
    <row r="642" customFormat="false" ht="15" hidden="false" customHeight="false" outlineLevel="0" collapsed="false">
      <c r="A642" s="0" t="n">
        <v>11</v>
      </c>
      <c r="B642" s="0" t="s">
        <v>60</v>
      </c>
      <c r="C642" s="36" t="n">
        <v>207499</v>
      </c>
      <c r="D642" s="37" t="n">
        <v>40634</v>
      </c>
      <c r="E642" s="0" t="n">
        <v>2012</v>
      </c>
      <c r="F642" s="0" t="n">
        <v>3</v>
      </c>
      <c r="G642" s="38" t="n">
        <v>5756033.48</v>
      </c>
    </row>
    <row r="643" customFormat="false" ht="15" hidden="false" customHeight="false" outlineLevel="0" collapsed="false">
      <c r="A643" s="0" t="n">
        <v>12</v>
      </c>
      <c r="B643" s="0" t="s">
        <v>62</v>
      </c>
      <c r="C643" s="36" t="n">
        <v>112238</v>
      </c>
      <c r="D643" s="37" t="n">
        <v>40634</v>
      </c>
      <c r="E643" s="0" t="n">
        <v>2012</v>
      </c>
      <c r="F643" s="0" t="n">
        <v>3</v>
      </c>
      <c r="G643" s="38" t="n">
        <v>4289816.3</v>
      </c>
    </row>
    <row r="644" customFormat="false" ht="15" hidden="false" customHeight="false" outlineLevel="0" collapsed="false">
      <c r="A644" s="0" t="n">
        <v>13</v>
      </c>
      <c r="B644" s="0" t="s">
        <v>60</v>
      </c>
      <c r="C644" s="36" t="n">
        <v>219622</v>
      </c>
      <c r="D644" s="37" t="n">
        <v>40634</v>
      </c>
      <c r="E644" s="0" t="n">
        <v>2012</v>
      </c>
      <c r="F644" s="0" t="n">
        <v>3</v>
      </c>
      <c r="G644" s="38" t="n">
        <v>8408446.98</v>
      </c>
    </row>
    <row r="645" customFormat="false" ht="15" hidden="false" customHeight="false" outlineLevel="0" collapsed="false">
      <c r="A645" s="0" t="n">
        <v>14</v>
      </c>
      <c r="B645" s="0" t="s">
        <v>60</v>
      </c>
      <c r="C645" s="36" t="n">
        <v>200898</v>
      </c>
      <c r="D645" s="37" t="n">
        <v>40634</v>
      </c>
      <c r="E645" s="0" t="n">
        <v>2012</v>
      </c>
      <c r="F645" s="0" t="n">
        <v>3</v>
      </c>
      <c r="G645" s="38" t="n">
        <v>8766225.96</v>
      </c>
    </row>
    <row r="646" customFormat="false" ht="15" hidden="false" customHeight="false" outlineLevel="0" collapsed="false">
      <c r="A646" s="0" t="n">
        <v>15</v>
      </c>
      <c r="B646" s="0" t="s">
        <v>62</v>
      </c>
      <c r="C646" s="36" t="n">
        <v>123737</v>
      </c>
      <c r="D646" s="37" t="n">
        <v>40634</v>
      </c>
      <c r="E646" s="0" t="n">
        <v>2012</v>
      </c>
      <c r="F646" s="0" t="n">
        <v>3</v>
      </c>
      <c r="G646" s="38" t="n">
        <v>2578727.51</v>
      </c>
    </row>
    <row r="647" customFormat="false" ht="15" hidden="false" customHeight="false" outlineLevel="0" collapsed="false">
      <c r="A647" s="0" t="n">
        <v>16</v>
      </c>
      <c r="B647" s="0" t="s">
        <v>62</v>
      </c>
      <c r="C647" s="36" t="n">
        <v>57197</v>
      </c>
      <c r="D647" s="37" t="n">
        <v>40634</v>
      </c>
      <c r="E647" s="0" t="n">
        <v>2012</v>
      </c>
      <c r="F647" s="0" t="n">
        <v>3</v>
      </c>
      <c r="G647" s="38" t="n">
        <v>1740055.1</v>
      </c>
    </row>
    <row r="648" customFormat="false" ht="15" hidden="false" customHeight="false" outlineLevel="0" collapsed="false">
      <c r="A648" s="0" t="n">
        <v>17</v>
      </c>
      <c r="B648" s="0" t="s">
        <v>62</v>
      </c>
      <c r="C648" s="36" t="n">
        <v>93188</v>
      </c>
      <c r="D648" s="37" t="n">
        <v>40634</v>
      </c>
      <c r="E648" s="0" t="n">
        <v>2012</v>
      </c>
      <c r="F648" s="0" t="n">
        <v>3</v>
      </c>
      <c r="G648" s="38" t="n">
        <v>3744601.52</v>
      </c>
    </row>
    <row r="649" customFormat="false" ht="15" hidden="false" customHeight="false" outlineLevel="0" collapsed="false">
      <c r="A649" s="0" t="n">
        <v>18</v>
      </c>
      <c r="B649" s="0" t="s">
        <v>62</v>
      </c>
      <c r="C649" s="36" t="n">
        <v>120653</v>
      </c>
      <c r="D649" s="37" t="n">
        <v>40634</v>
      </c>
      <c r="E649" s="0" t="n">
        <v>2012</v>
      </c>
      <c r="F649" s="0" t="n">
        <v>3</v>
      </c>
      <c r="G649" s="38" t="n">
        <v>4372889.22</v>
      </c>
    </row>
    <row r="650" customFormat="false" ht="15" hidden="false" customHeight="false" outlineLevel="0" collapsed="false">
      <c r="A650" s="0" t="n">
        <v>19</v>
      </c>
      <c r="B650" s="0" t="s">
        <v>60</v>
      </c>
      <c r="C650" s="36" t="n">
        <v>203819</v>
      </c>
      <c r="D650" s="37" t="n">
        <v>40634</v>
      </c>
      <c r="E650" s="0" t="n">
        <v>2012</v>
      </c>
      <c r="F650" s="0" t="n">
        <v>3</v>
      </c>
      <c r="G650" s="38" t="n">
        <v>6017517.74</v>
      </c>
    </row>
    <row r="651" customFormat="false" ht="15" hidden="false" customHeight="false" outlineLevel="0" collapsed="false">
      <c r="A651" s="0" t="n">
        <v>20</v>
      </c>
      <c r="B651" s="0" t="s">
        <v>60</v>
      </c>
      <c r="C651" s="36" t="n">
        <v>203742</v>
      </c>
      <c r="D651" s="37" t="n">
        <v>40634</v>
      </c>
      <c r="E651" s="0" t="n">
        <v>2012</v>
      </c>
      <c r="F651" s="0" t="n">
        <v>3</v>
      </c>
      <c r="G651" s="38" t="n">
        <v>8854231.47</v>
      </c>
    </row>
    <row r="652" customFormat="false" ht="15" hidden="false" customHeight="false" outlineLevel="0" collapsed="false">
      <c r="A652" s="0" t="n">
        <v>21</v>
      </c>
      <c r="B652" s="0" t="s">
        <v>62</v>
      </c>
      <c r="C652" s="36" t="n">
        <v>140167</v>
      </c>
      <c r="D652" s="37" t="n">
        <v>40634</v>
      </c>
      <c r="E652" s="0" t="n">
        <v>2012</v>
      </c>
      <c r="F652" s="0" t="n">
        <v>3</v>
      </c>
      <c r="G652" s="38" t="n">
        <v>3305004.96</v>
      </c>
    </row>
    <row r="653" customFormat="false" ht="15" hidden="false" customHeight="false" outlineLevel="0" collapsed="false">
      <c r="A653" s="0" t="n">
        <v>22</v>
      </c>
      <c r="B653" s="0" t="s">
        <v>62</v>
      </c>
      <c r="C653" s="36" t="n">
        <v>119557</v>
      </c>
      <c r="D653" s="37" t="n">
        <v>40634</v>
      </c>
      <c r="E653" s="0" t="n">
        <v>2012</v>
      </c>
      <c r="F653" s="0" t="n">
        <v>3</v>
      </c>
      <c r="G653" s="38" t="n">
        <v>4339900.05</v>
      </c>
    </row>
    <row r="654" customFormat="false" ht="15" hidden="false" customHeight="false" outlineLevel="0" collapsed="false">
      <c r="A654" s="0" t="n">
        <v>23</v>
      </c>
      <c r="B654" s="0" t="s">
        <v>62</v>
      </c>
      <c r="C654" s="36" t="n">
        <v>114533</v>
      </c>
      <c r="D654" s="37" t="n">
        <v>40634</v>
      </c>
      <c r="E654" s="0" t="n">
        <v>2012</v>
      </c>
      <c r="F654" s="0" t="n">
        <v>3</v>
      </c>
      <c r="G654" s="38" t="n">
        <v>5496421.99</v>
      </c>
    </row>
    <row r="655" customFormat="false" ht="15" hidden="false" customHeight="false" outlineLevel="0" collapsed="false">
      <c r="A655" s="0" t="n">
        <v>24</v>
      </c>
      <c r="B655" s="0" t="s">
        <v>60</v>
      </c>
      <c r="C655" s="36" t="n">
        <v>203819</v>
      </c>
      <c r="D655" s="37" t="n">
        <v>40634</v>
      </c>
      <c r="E655" s="0" t="n">
        <v>2012</v>
      </c>
      <c r="F655" s="0" t="n">
        <v>3</v>
      </c>
      <c r="G655" s="38" t="n">
        <v>5447126.38</v>
      </c>
    </row>
    <row r="656" customFormat="false" ht="15" hidden="false" customHeight="false" outlineLevel="0" collapsed="false">
      <c r="A656" s="0" t="n">
        <v>25</v>
      </c>
      <c r="B656" s="0" t="s">
        <v>62</v>
      </c>
      <c r="C656" s="36" t="n">
        <v>128107</v>
      </c>
      <c r="D656" s="37" t="n">
        <v>40634</v>
      </c>
      <c r="E656" s="0" t="n">
        <v>2012</v>
      </c>
      <c r="F656" s="0" t="n">
        <v>3</v>
      </c>
      <c r="G656" s="38" t="n">
        <v>2911548.34</v>
      </c>
    </row>
    <row r="657" customFormat="false" ht="15" hidden="false" customHeight="false" outlineLevel="0" collapsed="false">
      <c r="A657" s="0" t="n">
        <v>26</v>
      </c>
      <c r="B657" s="0" t="s">
        <v>60</v>
      </c>
      <c r="C657" s="36" t="n">
        <v>152513</v>
      </c>
      <c r="D657" s="37" t="n">
        <v>40634</v>
      </c>
      <c r="E657" s="0" t="n">
        <v>2012</v>
      </c>
      <c r="F657" s="0" t="n">
        <v>3</v>
      </c>
      <c r="G657" s="38" t="n">
        <v>3911362.57</v>
      </c>
    </row>
    <row r="658" customFormat="false" ht="15" hidden="false" customHeight="false" outlineLevel="0" collapsed="false">
      <c r="A658" s="0" t="n">
        <v>27</v>
      </c>
      <c r="B658" s="0" t="s">
        <v>60</v>
      </c>
      <c r="C658" s="36" t="n">
        <v>204184</v>
      </c>
      <c r="D658" s="37" t="n">
        <v>40634</v>
      </c>
      <c r="E658" s="0" t="n">
        <v>2012</v>
      </c>
      <c r="F658" s="0" t="n">
        <v>3</v>
      </c>
      <c r="G658" s="38" t="n">
        <v>7464451.32</v>
      </c>
    </row>
    <row r="659" customFormat="false" ht="15" hidden="false" customHeight="false" outlineLevel="0" collapsed="false">
      <c r="A659" s="0" t="n">
        <v>28</v>
      </c>
      <c r="B659" s="0" t="s">
        <v>60</v>
      </c>
      <c r="C659" s="36" t="n">
        <v>206302</v>
      </c>
      <c r="D659" s="37" t="n">
        <v>40634</v>
      </c>
      <c r="E659" s="0" t="n">
        <v>2012</v>
      </c>
      <c r="F659" s="0" t="n">
        <v>3</v>
      </c>
      <c r="G659" s="38" t="n">
        <v>5582192.16</v>
      </c>
    </row>
    <row r="660" customFormat="false" ht="15" hidden="false" customHeight="false" outlineLevel="0" collapsed="false">
      <c r="A660" s="0" t="n">
        <v>29</v>
      </c>
      <c r="B660" s="0" t="s">
        <v>62</v>
      </c>
      <c r="C660" s="36" t="n">
        <v>93638</v>
      </c>
      <c r="D660" s="37" t="n">
        <v>40634</v>
      </c>
      <c r="E660" s="0" t="n">
        <v>2012</v>
      </c>
      <c r="F660" s="0" t="n">
        <v>3</v>
      </c>
      <c r="G660" s="38" t="n">
        <v>2250165.59</v>
      </c>
    </row>
    <row r="661" customFormat="false" ht="15" hidden="false" customHeight="false" outlineLevel="0" collapsed="false">
      <c r="A661" s="0" t="n">
        <v>30</v>
      </c>
      <c r="B661" s="0" t="s">
        <v>64</v>
      </c>
      <c r="C661" s="36" t="n">
        <v>42988</v>
      </c>
      <c r="D661" s="37" t="n">
        <v>40634</v>
      </c>
      <c r="E661" s="0" t="n">
        <v>2012</v>
      </c>
      <c r="F661" s="0" t="n">
        <v>3</v>
      </c>
      <c r="G661" s="38" t="n">
        <v>1864847.54</v>
      </c>
    </row>
    <row r="662" customFormat="false" ht="15" hidden="false" customHeight="false" outlineLevel="0" collapsed="false">
      <c r="A662" s="0" t="n">
        <v>31</v>
      </c>
      <c r="B662" s="0" t="s">
        <v>60</v>
      </c>
      <c r="C662" s="36" t="n">
        <v>203750</v>
      </c>
      <c r="D662" s="37" t="n">
        <v>40634</v>
      </c>
      <c r="E662" s="0" t="n">
        <v>2012</v>
      </c>
      <c r="F662" s="0" t="n">
        <v>3</v>
      </c>
      <c r="G662" s="38" t="n">
        <v>6008307.02</v>
      </c>
    </row>
    <row r="663" customFormat="false" ht="15" hidden="false" customHeight="false" outlineLevel="0" collapsed="false">
      <c r="A663" s="0" t="n">
        <v>32</v>
      </c>
      <c r="B663" s="0" t="s">
        <v>60</v>
      </c>
      <c r="C663" s="36" t="n">
        <v>203007</v>
      </c>
      <c r="D663" s="37" t="n">
        <v>40634</v>
      </c>
      <c r="E663" s="0" t="n">
        <v>2012</v>
      </c>
      <c r="F663" s="0" t="n">
        <v>3</v>
      </c>
      <c r="G663" s="38" t="n">
        <v>4860568.96</v>
      </c>
    </row>
    <row r="664" customFormat="false" ht="15" hidden="false" customHeight="false" outlineLevel="0" collapsed="false">
      <c r="A664" s="0" t="n">
        <v>33</v>
      </c>
      <c r="B664" s="0" t="s">
        <v>60</v>
      </c>
      <c r="C664" s="36" t="n">
        <v>39690</v>
      </c>
      <c r="D664" s="37" t="n">
        <v>40634</v>
      </c>
      <c r="E664" s="0" t="n">
        <v>2012</v>
      </c>
      <c r="F664" s="0" t="n">
        <v>3</v>
      </c>
      <c r="G664" s="38" t="n">
        <v>1114810.9</v>
      </c>
    </row>
    <row r="665" customFormat="false" ht="15" hidden="false" customHeight="false" outlineLevel="0" collapsed="false">
      <c r="A665" s="0" t="n">
        <v>34</v>
      </c>
      <c r="B665" s="0" t="s">
        <v>60</v>
      </c>
      <c r="C665" s="36" t="n">
        <v>158114</v>
      </c>
      <c r="D665" s="37" t="n">
        <v>40634</v>
      </c>
      <c r="E665" s="0" t="n">
        <v>2012</v>
      </c>
      <c r="F665" s="0" t="n">
        <v>3</v>
      </c>
      <c r="G665" s="38" t="n">
        <v>4129098.48</v>
      </c>
    </row>
    <row r="666" customFormat="false" ht="15" hidden="false" customHeight="false" outlineLevel="0" collapsed="false">
      <c r="A666" s="0" t="n">
        <v>35</v>
      </c>
      <c r="B666" s="0" t="s">
        <v>62</v>
      </c>
      <c r="C666" s="36" t="n">
        <v>103681</v>
      </c>
      <c r="D666" s="37" t="n">
        <v>40634</v>
      </c>
      <c r="E666" s="0" t="n">
        <v>2012</v>
      </c>
      <c r="F666" s="0" t="n">
        <v>3</v>
      </c>
      <c r="G666" s="38" t="n">
        <v>3490369.45</v>
      </c>
    </row>
    <row r="667" customFormat="false" ht="15" hidden="false" customHeight="false" outlineLevel="0" collapsed="false">
      <c r="A667" s="0" t="n">
        <v>36</v>
      </c>
      <c r="B667" s="0" t="s">
        <v>60</v>
      </c>
      <c r="C667" s="36" t="n">
        <v>39910</v>
      </c>
      <c r="D667" s="37" t="n">
        <v>40634</v>
      </c>
      <c r="E667" s="0" t="n">
        <v>2012</v>
      </c>
      <c r="F667" s="0" t="n">
        <v>3</v>
      </c>
      <c r="G667" s="38" t="n">
        <v>1670293.85</v>
      </c>
    </row>
    <row r="668" customFormat="false" ht="15" hidden="false" customHeight="false" outlineLevel="0" collapsed="false">
      <c r="A668" s="0" t="n">
        <v>37</v>
      </c>
      <c r="B668" s="0" t="s">
        <v>64</v>
      </c>
      <c r="C668" s="36" t="n">
        <v>39910</v>
      </c>
      <c r="D668" s="37" t="n">
        <v>40634</v>
      </c>
      <c r="E668" s="0" t="n">
        <v>2012</v>
      </c>
      <c r="F668" s="0" t="n">
        <v>3</v>
      </c>
      <c r="G668" s="38" t="n">
        <v>2271416.17</v>
      </c>
    </row>
    <row r="669" customFormat="false" ht="15" hidden="false" customHeight="false" outlineLevel="0" collapsed="false">
      <c r="A669" s="0" t="n">
        <v>38</v>
      </c>
      <c r="B669" s="0" t="s">
        <v>64</v>
      </c>
      <c r="C669" s="36" t="n">
        <v>39690</v>
      </c>
      <c r="D669" s="37" t="n">
        <v>40634</v>
      </c>
      <c r="E669" s="0" t="n">
        <v>2012</v>
      </c>
      <c r="F669" s="0" t="n">
        <v>3</v>
      </c>
      <c r="G669" s="38" t="n">
        <v>1576987.42</v>
      </c>
    </row>
    <row r="670" customFormat="false" ht="15" hidden="false" customHeight="false" outlineLevel="0" collapsed="false">
      <c r="A670" s="0" t="n">
        <v>39</v>
      </c>
      <c r="B670" s="0" t="s">
        <v>60</v>
      </c>
      <c r="C670" s="36" t="n">
        <v>184109</v>
      </c>
      <c r="D670" s="37" t="n">
        <v>40634</v>
      </c>
      <c r="E670" s="0" t="n">
        <v>2012</v>
      </c>
      <c r="F670" s="0" t="n">
        <v>3</v>
      </c>
      <c r="G670" s="38" t="n">
        <v>6025437.59</v>
      </c>
    </row>
    <row r="671" customFormat="false" ht="15" hidden="false" customHeight="false" outlineLevel="0" collapsed="false">
      <c r="A671" s="0" t="n">
        <v>40</v>
      </c>
      <c r="B671" s="0" t="s">
        <v>60</v>
      </c>
      <c r="C671" s="36" t="n">
        <v>155083</v>
      </c>
      <c r="D671" s="37" t="n">
        <v>40634</v>
      </c>
      <c r="E671" s="0" t="n">
        <v>2012</v>
      </c>
      <c r="F671" s="0" t="n">
        <v>3</v>
      </c>
      <c r="G671" s="38" t="n">
        <v>3900022.76</v>
      </c>
    </row>
    <row r="672" customFormat="false" ht="15" hidden="false" customHeight="false" outlineLevel="0" collapsed="false">
      <c r="A672" s="0" t="n">
        <v>41</v>
      </c>
      <c r="B672" s="0" t="s">
        <v>60</v>
      </c>
      <c r="C672" s="36" t="n">
        <v>196321</v>
      </c>
      <c r="D672" s="37" t="n">
        <v>40634</v>
      </c>
      <c r="E672" s="0" t="n">
        <v>2012</v>
      </c>
      <c r="F672" s="0" t="n">
        <v>3</v>
      </c>
      <c r="G672" s="38" t="n">
        <v>5228854.5</v>
      </c>
    </row>
    <row r="673" customFormat="false" ht="15" hidden="false" customHeight="false" outlineLevel="0" collapsed="false">
      <c r="A673" s="0" t="n">
        <v>42</v>
      </c>
      <c r="B673" s="0" t="s">
        <v>64</v>
      </c>
      <c r="C673" s="36" t="n">
        <v>39690</v>
      </c>
      <c r="D673" s="37" t="n">
        <v>40634</v>
      </c>
      <c r="E673" s="0" t="n">
        <v>2012</v>
      </c>
      <c r="F673" s="0" t="n">
        <v>3</v>
      </c>
      <c r="G673" s="38" t="n">
        <v>2408449.15</v>
      </c>
    </row>
    <row r="674" customFormat="false" ht="15" hidden="false" customHeight="false" outlineLevel="0" collapsed="false">
      <c r="A674" s="0" t="n">
        <v>43</v>
      </c>
      <c r="B674" s="0" t="s">
        <v>64</v>
      </c>
      <c r="C674" s="36" t="n">
        <v>41062</v>
      </c>
      <c r="D674" s="37" t="n">
        <v>40634</v>
      </c>
      <c r="E674" s="0" t="n">
        <v>2012</v>
      </c>
      <c r="F674" s="0" t="n">
        <v>3</v>
      </c>
      <c r="G674" s="38" t="n">
        <v>2716026.59</v>
      </c>
    </row>
    <row r="675" customFormat="false" ht="15" hidden="false" customHeight="false" outlineLevel="0" collapsed="false">
      <c r="A675" s="0" t="n">
        <v>44</v>
      </c>
      <c r="B675" s="0" t="s">
        <v>64</v>
      </c>
      <c r="C675" s="36" t="n">
        <v>39910</v>
      </c>
      <c r="D675" s="37" t="n">
        <v>40634</v>
      </c>
      <c r="E675" s="0" t="n">
        <v>2012</v>
      </c>
      <c r="F675" s="0" t="n">
        <v>3</v>
      </c>
      <c r="G675" s="38" t="n">
        <v>1226752.71</v>
      </c>
    </row>
    <row r="676" customFormat="false" ht="15" hidden="false" customHeight="false" outlineLevel="0" collapsed="false">
      <c r="A676" s="0" t="n">
        <v>45</v>
      </c>
      <c r="B676" s="0" t="s">
        <v>62</v>
      </c>
      <c r="C676" s="36" t="n">
        <v>118221</v>
      </c>
      <c r="D676" s="37" t="n">
        <v>40634</v>
      </c>
      <c r="E676" s="0" t="n">
        <v>2012</v>
      </c>
      <c r="F676" s="0" t="n">
        <v>3</v>
      </c>
      <c r="G676" s="38" t="n">
        <v>3333155.68</v>
      </c>
    </row>
    <row r="677" customFormat="false" ht="15" hidden="false" customHeight="false" outlineLevel="0" collapsed="false">
      <c r="A677" s="0" t="n">
        <v>1</v>
      </c>
      <c r="B677" s="0" t="s">
        <v>60</v>
      </c>
      <c r="C677" s="36" t="n">
        <v>151315</v>
      </c>
      <c r="D677" s="37" t="n">
        <v>40664</v>
      </c>
      <c r="E677" s="0" t="n">
        <v>2012</v>
      </c>
      <c r="F677" s="0" t="n">
        <v>4</v>
      </c>
      <c r="G677" s="38" t="n">
        <v>6829992.14</v>
      </c>
    </row>
    <row r="678" customFormat="false" ht="15" hidden="false" customHeight="false" outlineLevel="0" collapsed="false">
      <c r="A678" s="0" t="n">
        <v>2</v>
      </c>
      <c r="B678" s="0" t="s">
        <v>60</v>
      </c>
      <c r="C678" s="36" t="n">
        <v>202307</v>
      </c>
      <c r="D678" s="37" t="n">
        <v>40664</v>
      </c>
      <c r="E678" s="0" t="n">
        <v>2012</v>
      </c>
      <c r="F678" s="0" t="n">
        <v>4</v>
      </c>
      <c r="G678" s="38" t="n">
        <v>8004739.86</v>
      </c>
    </row>
    <row r="679" customFormat="false" ht="15" hidden="false" customHeight="false" outlineLevel="0" collapsed="false">
      <c r="A679" s="0" t="n">
        <v>3</v>
      </c>
      <c r="B679" s="0" t="s">
        <v>62</v>
      </c>
      <c r="C679" s="36" t="n">
        <v>37392</v>
      </c>
      <c r="D679" s="37" t="n">
        <v>40664</v>
      </c>
      <c r="E679" s="0" t="n">
        <v>2012</v>
      </c>
      <c r="F679" s="0" t="n">
        <v>4</v>
      </c>
      <c r="G679" s="38" t="n">
        <v>1699735.53</v>
      </c>
    </row>
    <row r="680" customFormat="false" ht="15" hidden="false" customHeight="false" outlineLevel="0" collapsed="false">
      <c r="A680" s="0" t="n">
        <v>4</v>
      </c>
      <c r="B680" s="0" t="s">
        <v>60</v>
      </c>
      <c r="C680" s="36" t="n">
        <v>205863</v>
      </c>
      <c r="D680" s="37" t="n">
        <v>40664</v>
      </c>
      <c r="E680" s="0" t="n">
        <v>2012</v>
      </c>
      <c r="F680" s="0" t="n">
        <v>4</v>
      </c>
      <c r="G680" s="38" t="n">
        <v>8953610.26</v>
      </c>
    </row>
    <row r="681" customFormat="false" ht="15" hidden="false" customHeight="false" outlineLevel="0" collapsed="false">
      <c r="A681" s="0" t="n">
        <v>5</v>
      </c>
      <c r="B681" s="0" t="s">
        <v>62</v>
      </c>
      <c r="C681" s="36" t="n">
        <v>34875</v>
      </c>
      <c r="D681" s="37" t="n">
        <v>40664</v>
      </c>
      <c r="E681" s="0" t="n">
        <v>2012</v>
      </c>
      <c r="F681" s="0" t="n">
        <v>4</v>
      </c>
      <c r="G681" s="38" t="n">
        <v>1352574.6</v>
      </c>
    </row>
    <row r="682" customFormat="false" ht="15" hidden="false" customHeight="false" outlineLevel="0" collapsed="false">
      <c r="A682" s="0" t="n">
        <v>6</v>
      </c>
      <c r="B682" s="0" t="s">
        <v>60</v>
      </c>
      <c r="C682" s="36" t="n">
        <v>202505</v>
      </c>
      <c r="D682" s="37" t="n">
        <v>40664</v>
      </c>
      <c r="E682" s="0" t="n">
        <v>2012</v>
      </c>
      <c r="F682" s="0" t="n">
        <v>4</v>
      </c>
      <c r="G682" s="38" t="n">
        <v>6624224.98</v>
      </c>
    </row>
    <row r="683" customFormat="false" ht="15" hidden="false" customHeight="false" outlineLevel="0" collapsed="false">
      <c r="A683" s="0" t="n">
        <v>7</v>
      </c>
      <c r="B683" s="0" t="s">
        <v>62</v>
      </c>
      <c r="C683" s="36" t="n">
        <v>70713</v>
      </c>
      <c r="D683" s="37" t="n">
        <v>40664</v>
      </c>
      <c r="E683" s="0" t="n">
        <v>2012</v>
      </c>
      <c r="F683" s="0" t="n">
        <v>4</v>
      </c>
      <c r="G683" s="38" t="n">
        <v>1954732.84</v>
      </c>
    </row>
    <row r="684" customFormat="false" ht="15" hidden="false" customHeight="false" outlineLevel="0" collapsed="false">
      <c r="A684" s="0" t="n">
        <v>8</v>
      </c>
      <c r="B684" s="0" t="s">
        <v>60</v>
      </c>
      <c r="C684" s="36" t="n">
        <v>155078</v>
      </c>
      <c r="D684" s="37" t="n">
        <v>40664</v>
      </c>
      <c r="E684" s="0" t="n">
        <v>2012</v>
      </c>
      <c r="F684" s="0" t="n">
        <v>4</v>
      </c>
      <c r="G684" s="38" t="n">
        <v>3927700.28</v>
      </c>
    </row>
    <row r="685" customFormat="false" ht="15" hidden="false" customHeight="false" outlineLevel="0" collapsed="false">
      <c r="A685" s="0" t="n">
        <v>9</v>
      </c>
      <c r="B685" s="0" t="s">
        <v>62</v>
      </c>
      <c r="C685" s="36" t="n">
        <v>125833</v>
      </c>
      <c r="D685" s="37" t="n">
        <v>40664</v>
      </c>
      <c r="E685" s="0" t="n">
        <v>2012</v>
      </c>
      <c r="F685" s="0" t="n">
        <v>4</v>
      </c>
      <c r="G685" s="38" t="n">
        <v>2414016.08</v>
      </c>
    </row>
    <row r="686" customFormat="false" ht="15" hidden="false" customHeight="false" outlineLevel="0" collapsed="false">
      <c r="A686" s="0" t="n">
        <v>10</v>
      </c>
      <c r="B686" s="0" t="s">
        <v>62</v>
      </c>
      <c r="C686" s="36" t="n">
        <v>126512</v>
      </c>
      <c r="D686" s="37" t="n">
        <v>40664</v>
      </c>
      <c r="E686" s="0" t="n">
        <v>2012</v>
      </c>
      <c r="F686" s="0" t="n">
        <v>4</v>
      </c>
      <c r="G686" s="38" t="n">
        <v>7779341.44</v>
      </c>
    </row>
    <row r="687" customFormat="false" ht="15" hidden="false" customHeight="false" outlineLevel="0" collapsed="false">
      <c r="A687" s="0" t="n">
        <v>11</v>
      </c>
      <c r="B687" s="0" t="s">
        <v>60</v>
      </c>
      <c r="C687" s="36" t="n">
        <v>207499</v>
      </c>
      <c r="D687" s="37" t="n">
        <v>40664</v>
      </c>
      <c r="E687" s="0" t="n">
        <v>2012</v>
      </c>
      <c r="F687" s="0" t="n">
        <v>4</v>
      </c>
      <c r="G687" s="38" t="n">
        <v>5643341.27</v>
      </c>
    </row>
    <row r="688" customFormat="false" ht="15" hidden="false" customHeight="false" outlineLevel="0" collapsed="false">
      <c r="A688" s="0" t="n">
        <v>12</v>
      </c>
      <c r="B688" s="0" t="s">
        <v>62</v>
      </c>
      <c r="C688" s="36" t="n">
        <v>112238</v>
      </c>
      <c r="D688" s="37" t="n">
        <v>40664</v>
      </c>
      <c r="E688" s="0" t="n">
        <v>2012</v>
      </c>
      <c r="F688" s="0" t="n">
        <v>4</v>
      </c>
      <c r="G688" s="38" t="n">
        <v>4295249.78</v>
      </c>
    </row>
    <row r="689" customFormat="false" ht="15" hidden="false" customHeight="false" outlineLevel="0" collapsed="false">
      <c r="A689" s="0" t="n">
        <v>13</v>
      </c>
      <c r="B689" s="0" t="s">
        <v>60</v>
      </c>
      <c r="C689" s="36" t="n">
        <v>219622</v>
      </c>
      <c r="D689" s="37" t="n">
        <v>40664</v>
      </c>
      <c r="E689" s="0" t="n">
        <v>2012</v>
      </c>
      <c r="F689" s="0" t="n">
        <v>4</v>
      </c>
      <c r="G689" s="38" t="n">
        <v>8494782.43</v>
      </c>
    </row>
    <row r="690" customFormat="false" ht="15" hidden="false" customHeight="false" outlineLevel="0" collapsed="false">
      <c r="A690" s="0" t="n">
        <v>14</v>
      </c>
      <c r="B690" s="0" t="s">
        <v>60</v>
      </c>
      <c r="C690" s="36" t="n">
        <v>200898</v>
      </c>
      <c r="D690" s="37" t="n">
        <v>40664</v>
      </c>
      <c r="E690" s="0" t="n">
        <v>2012</v>
      </c>
      <c r="F690" s="0" t="n">
        <v>4</v>
      </c>
      <c r="G690" s="38" t="n">
        <v>9029734.84</v>
      </c>
    </row>
    <row r="691" customFormat="false" ht="15" hidden="false" customHeight="false" outlineLevel="0" collapsed="false">
      <c r="A691" s="0" t="n">
        <v>15</v>
      </c>
      <c r="B691" s="0" t="s">
        <v>62</v>
      </c>
      <c r="C691" s="36" t="n">
        <v>123737</v>
      </c>
      <c r="D691" s="37" t="n">
        <v>40664</v>
      </c>
      <c r="E691" s="0" t="n">
        <v>2012</v>
      </c>
      <c r="F691" s="0" t="n">
        <v>4</v>
      </c>
      <c r="G691" s="38" t="n">
        <v>2798435.31</v>
      </c>
    </row>
    <row r="692" customFormat="false" ht="15" hidden="false" customHeight="false" outlineLevel="0" collapsed="false">
      <c r="A692" s="0" t="n">
        <v>16</v>
      </c>
      <c r="B692" s="0" t="s">
        <v>62</v>
      </c>
      <c r="C692" s="36" t="n">
        <v>57197</v>
      </c>
      <c r="D692" s="37" t="n">
        <v>40664</v>
      </c>
      <c r="E692" s="0" t="n">
        <v>2012</v>
      </c>
      <c r="F692" s="0" t="n">
        <v>4</v>
      </c>
      <c r="G692" s="38" t="n">
        <v>1957258.87</v>
      </c>
    </row>
    <row r="693" customFormat="false" ht="15" hidden="false" customHeight="false" outlineLevel="0" collapsed="false">
      <c r="A693" s="0" t="n">
        <v>17</v>
      </c>
      <c r="B693" s="0" t="s">
        <v>62</v>
      </c>
      <c r="C693" s="36" t="n">
        <v>93188</v>
      </c>
      <c r="D693" s="37" t="n">
        <v>40664</v>
      </c>
      <c r="E693" s="0" t="n">
        <v>2012</v>
      </c>
      <c r="F693" s="0" t="n">
        <v>4</v>
      </c>
      <c r="G693" s="38" t="n">
        <v>3874679.18</v>
      </c>
    </row>
    <row r="694" customFormat="false" ht="15" hidden="false" customHeight="false" outlineLevel="0" collapsed="false">
      <c r="A694" s="0" t="n">
        <v>18</v>
      </c>
      <c r="B694" s="0" t="s">
        <v>62</v>
      </c>
      <c r="C694" s="36" t="n">
        <v>120653</v>
      </c>
      <c r="D694" s="37" t="n">
        <v>40664</v>
      </c>
      <c r="E694" s="0" t="n">
        <v>2012</v>
      </c>
      <c r="F694" s="0" t="n">
        <v>4</v>
      </c>
      <c r="G694" s="38" t="n">
        <v>4639386.17</v>
      </c>
    </row>
    <row r="695" customFormat="false" ht="15" hidden="false" customHeight="false" outlineLevel="0" collapsed="false">
      <c r="A695" s="0" t="n">
        <v>19</v>
      </c>
      <c r="B695" s="0" t="s">
        <v>60</v>
      </c>
      <c r="C695" s="36" t="n">
        <v>203819</v>
      </c>
      <c r="D695" s="37" t="n">
        <v>40664</v>
      </c>
      <c r="E695" s="0" t="n">
        <v>2012</v>
      </c>
      <c r="F695" s="0" t="n">
        <v>4</v>
      </c>
      <c r="G695" s="38" t="n">
        <v>6250231.41</v>
      </c>
    </row>
    <row r="696" customFormat="false" ht="15" hidden="false" customHeight="false" outlineLevel="0" collapsed="false">
      <c r="A696" s="0" t="n">
        <v>20</v>
      </c>
      <c r="B696" s="0" t="s">
        <v>60</v>
      </c>
      <c r="C696" s="36" t="n">
        <v>203742</v>
      </c>
      <c r="D696" s="37" t="n">
        <v>40664</v>
      </c>
      <c r="E696" s="0" t="n">
        <v>2012</v>
      </c>
      <c r="F696" s="0" t="n">
        <v>4</v>
      </c>
      <c r="G696" s="38" t="n">
        <v>8973743.08</v>
      </c>
    </row>
    <row r="697" customFormat="false" ht="15" hidden="false" customHeight="false" outlineLevel="0" collapsed="false">
      <c r="A697" s="0" t="n">
        <v>21</v>
      </c>
      <c r="B697" s="0" t="s">
        <v>62</v>
      </c>
      <c r="C697" s="36" t="n">
        <v>140167</v>
      </c>
      <c r="D697" s="37" t="n">
        <v>40664</v>
      </c>
      <c r="E697" s="0" t="n">
        <v>2012</v>
      </c>
      <c r="F697" s="0" t="n">
        <v>4</v>
      </c>
      <c r="G697" s="38" t="n">
        <v>3301877.97</v>
      </c>
    </row>
    <row r="698" customFormat="false" ht="15" hidden="false" customHeight="false" outlineLevel="0" collapsed="false">
      <c r="A698" s="0" t="n">
        <v>22</v>
      </c>
      <c r="B698" s="0" t="s">
        <v>62</v>
      </c>
      <c r="C698" s="36" t="n">
        <v>119557</v>
      </c>
      <c r="D698" s="37" t="n">
        <v>40664</v>
      </c>
      <c r="E698" s="0" t="n">
        <v>2012</v>
      </c>
      <c r="F698" s="0" t="n">
        <v>4</v>
      </c>
      <c r="G698" s="38" t="n">
        <v>4521025.81</v>
      </c>
    </row>
    <row r="699" customFormat="false" ht="15" hidden="false" customHeight="false" outlineLevel="0" collapsed="false">
      <c r="A699" s="0" t="n">
        <v>23</v>
      </c>
      <c r="B699" s="0" t="s">
        <v>62</v>
      </c>
      <c r="C699" s="36" t="n">
        <v>114533</v>
      </c>
      <c r="D699" s="37" t="n">
        <v>40664</v>
      </c>
      <c r="E699" s="0" t="n">
        <v>2012</v>
      </c>
      <c r="F699" s="0" t="n">
        <v>4</v>
      </c>
      <c r="G699" s="38" t="n">
        <v>6012788.28</v>
      </c>
    </row>
    <row r="700" customFormat="false" ht="15" hidden="false" customHeight="false" outlineLevel="0" collapsed="false">
      <c r="A700" s="0" t="n">
        <v>24</v>
      </c>
      <c r="B700" s="0" t="s">
        <v>60</v>
      </c>
      <c r="C700" s="36" t="n">
        <v>203819</v>
      </c>
      <c r="D700" s="37" t="n">
        <v>40664</v>
      </c>
      <c r="E700" s="0" t="n">
        <v>2012</v>
      </c>
      <c r="F700" s="0" t="n">
        <v>4</v>
      </c>
      <c r="G700" s="38" t="n">
        <v>5894118.83</v>
      </c>
    </row>
    <row r="701" customFormat="false" ht="15" hidden="false" customHeight="false" outlineLevel="0" collapsed="false">
      <c r="A701" s="0" t="n">
        <v>25</v>
      </c>
      <c r="B701" s="0" t="s">
        <v>62</v>
      </c>
      <c r="C701" s="36" t="n">
        <v>128107</v>
      </c>
      <c r="D701" s="37" t="n">
        <v>40664</v>
      </c>
      <c r="E701" s="0" t="n">
        <v>2012</v>
      </c>
      <c r="F701" s="0" t="n">
        <v>4</v>
      </c>
      <c r="G701" s="38" t="n">
        <v>3067826.44</v>
      </c>
    </row>
    <row r="702" customFormat="false" ht="15" hidden="false" customHeight="false" outlineLevel="0" collapsed="false">
      <c r="A702" s="0" t="n">
        <v>26</v>
      </c>
      <c r="B702" s="0" t="s">
        <v>60</v>
      </c>
      <c r="C702" s="36" t="n">
        <v>152513</v>
      </c>
      <c r="D702" s="37" t="n">
        <v>40664</v>
      </c>
      <c r="E702" s="0" t="n">
        <v>2012</v>
      </c>
      <c r="F702" s="0" t="n">
        <v>4</v>
      </c>
      <c r="G702" s="38" t="n">
        <v>4356993.78</v>
      </c>
    </row>
    <row r="703" customFormat="false" ht="15" hidden="false" customHeight="false" outlineLevel="0" collapsed="false">
      <c r="A703" s="0" t="n">
        <v>27</v>
      </c>
      <c r="B703" s="0" t="s">
        <v>60</v>
      </c>
      <c r="C703" s="36" t="n">
        <v>204184</v>
      </c>
      <c r="D703" s="37" t="n">
        <v>40664</v>
      </c>
      <c r="E703" s="0" t="n">
        <v>2012</v>
      </c>
      <c r="F703" s="0" t="n">
        <v>4</v>
      </c>
      <c r="G703" s="38" t="n">
        <v>7989120.46</v>
      </c>
    </row>
    <row r="704" customFormat="false" ht="15" hidden="false" customHeight="false" outlineLevel="0" collapsed="false">
      <c r="A704" s="0" t="n">
        <v>28</v>
      </c>
      <c r="B704" s="0" t="s">
        <v>60</v>
      </c>
      <c r="C704" s="36" t="n">
        <v>206302</v>
      </c>
      <c r="D704" s="37" t="n">
        <v>40664</v>
      </c>
      <c r="E704" s="0" t="n">
        <v>2012</v>
      </c>
      <c r="F704" s="0" t="n">
        <v>4</v>
      </c>
      <c r="G704" s="38" t="n">
        <v>5666136.8</v>
      </c>
    </row>
    <row r="705" customFormat="false" ht="15" hidden="false" customHeight="false" outlineLevel="0" collapsed="false">
      <c r="A705" s="0" t="n">
        <v>29</v>
      </c>
      <c r="B705" s="0" t="s">
        <v>62</v>
      </c>
      <c r="C705" s="36" t="n">
        <v>93638</v>
      </c>
      <c r="D705" s="37" t="n">
        <v>40664</v>
      </c>
      <c r="E705" s="0" t="n">
        <v>2012</v>
      </c>
      <c r="F705" s="0" t="n">
        <v>4</v>
      </c>
      <c r="G705" s="38" t="n">
        <v>2393110.79</v>
      </c>
    </row>
    <row r="706" customFormat="false" ht="15" hidden="false" customHeight="false" outlineLevel="0" collapsed="false">
      <c r="A706" s="0" t="n">
        <v>30</v>
      </c>
      <c r="B706" s="0" t="s">
        <v>64</v>
      </c>
      <c r="C706" s="36" t="n">
        <v>42988</v>
      </c>
      <c r="D706" s="37" t="n">
        <v>40664</v>
      </c>
      <c r="E706" s="0" t="n">
        <v>2012</v>
      </c>
      <c r="F706" s="0" t="n">
        <v>4</v>
      </c>
      <c r="G706" s="38" t="n">
        <v>1912447.04</v>
      </c>
    </row>
    <row r="707" customFormat="false" ht="15" hidden="false" customHeight="false" outlineLevel="0" collapsed="false">
      <c r="A707" s="0" t="n">
        <v>31</v>
      </c>
      <c r="B707" s="0" t="s">
        <v>60</v>
      </c>
      <c r="C707" s="36" t="n">
        <v>203750</v>
      </c>
      <c r="D707" s="37" t="n">
        <v>40664</v>
      </c>
      <c r="E707" s="0" t="n">
        <v>2012</v>
      </c>
      <c r="F707" s="0" t="n">
        <v>4</v>
      </c>
      <c r="G707" s="38" t="n">
        <v>6145460.76</v>
      </c>
    </row>
    <row r="708" customFormat="false" ht="15" hidden="false" customHeight="false" outlineLevel="0" collapsed="false">
      <c r="A708" s="0" t="n">
        <v>32</v>
      </c>
      <c r="B708" s="0" t="s">
        <v>60</v>
      </c>
      <c r="C708" s="36" t="n">
        <v>203007</v>
      </c>
      <c r="D708" s="37" t="n">
        <v>40664</v>
      </c>
      <c r="E708" s="0" t="n">
        <v>2012</v>
      </c>
      <c r="F708" s="0" t="n">
        <v>4</v>
      </c>
      <c r="G708" s="38" t="n">
        <v>5138950.6</v>
      </c>
    </row>
    <row r="709" customFormat="false" ht="15" hidden="false" customHeight="false" outlineLevel="0" collapsed="false">
      <c r="A709" s="0" t="n">
        <v>33</v>
      </c>
      <c r="B709" s="0" t="s">
        <v>60</v>
      </c>
      <c r="C709" s="36" t="n">
        <v>39690</v>
      </c>
      <c r="D709" s="37" t="n">
        <v>40664</v>
      </c>
      <c r="E709" s="0" t="n">
        <v>2012</v>
      </c>
      <c r="F709" s="0" t="n">
        <v>4</v>
      </c>
      <c r="G709" s="38" t="n">
        <v>1117547.19</v>
      </c>
    </row>
    <row r="710" customFormat="false" ht="15" hidden="false" customHeight="false" outlineLevel="0" collapsed="false">
      <c r="A710" s="0" t="n">
        <v>34</v>
      </c>
      <c r="B710" s="0" t="s">
        <v>60</v>
      </c>
      <c r="C710" s="36" t="n">
        <v>158114</v>
      </c>
      <c r="D710" s="37" t="n">
        <v>40664</v>
      </c>
      <c r="E710" s="0" t="n">
        <v>2012</v>
      </c>
      <c r="F710" s="0" t="n">
        <v>4</v>
      </c>
      <c r="G710" s="38" t="n">
        <v>4221711.73</v>
      </c>
    </row>
    <row r="711" customFormat="false" ht="15" hidden="false" customHeight="false" outlineLevel="0" collapsed="false">
      <c r="A711" s="0" t="n">
        <v>35</v>
      </c>
      <c r="B711" s="0" t="s">
        <v>62</v>
      </c>
      <c r="C711" s="36" t="n">
        <v>103681</v>
      </c>
      <c r="D711" s="37" t="n">
        <v>40664</v>
      </c>
      <c r="E711" s="0" t="n">
        <v>2012</v>
      </c>
      <c r="F711" s="0" t="n">
        <v>4</v>
      </c>
      <c r="G711" s="38" t="n">
        <v>3715553.73</v>
      </c>
    </row>
    <row r="712" customFormat="false" ht="15" hidden="false" customHeight="false" outlineLevel="0" collapsed="false">
      <c r="A712" s="0" t="n">
        <v>36</v>
      </c>
      <c r="B712" s="0" t="s">
        <v>60</v>
      </c>
      <c r="C712" s="36" t="n">
        <v>39910</v>
      </c>
      <c r="D712" s="37" t="n">
        <v>40664</v>
      </c>
      <c r="E712" s="0" t="n">
        <v>2012</v>
      </c>
      <c r="F712" s="0" t="n">
        <v>4</v>
      </c>
      <c r="G712" s="38" t="n">
        <v>1670901.59</v>
      </c>
    </row>
    <row r="713" customFormat="false" ht="15" hidden="false" customHeight="false" outlineLevel="0" collapsed="false">
      <c r="A713" s="0" t="n">
        <v>37</v>
      </c>
      <c r="B713" s="0" t="s">
        <v>64</v>
      </c>
      <c r="C713" s="36" t="n">
        <v>39910</v>
      </c>
      <c r="D713" s="37" t="n">
        <v>40664</v>
      </c>
      <c r="E713" s="0" t="n">
        <v>2012</v>
      </c>
      <c r="F713" s="0" t="n">
        <v>4</v>
      </c>
      <c r="G713" s="38" t="n">
        <v>2307752.03</v>
      </c>
    </row>
    <row r="714" customFormat="false" ht="15" hidden="false" customHeight="false" outlineLevel="0" collapsed="false">
      <c r="A714" s="0" t="n">
        <v>38</v>
      </c>
      <c r="B714" s="0" t="s">
        <v>64</v>
      </c>
      <c r="C714" s="36" t="n">
        <v>39690</v>
      </c>
      <c r="D714" s="37" t="n">
        <v>40664</v>
      </c>
      <c r="E714" s="0" t="n">
        <v>2012</v>
      </c>
      <c r="F714" s="0" t="n">
        <v>4</v>
      </c>
      <c r="G714" s="38" t="n">
        <v>1678226.68</v>
      </c>
    </row>
    <row r="715" customFormat="false" ht="15" hidden="false" customHeight="false" outlineLevel="0" collapsed="false">
      <c r="A715" s="0" t="n">
        <v>39</v>
      </c>
      <c r="B715" s="0" t="s">
        <v>60</v>
      </c>
      <c r="C715" s="36" t="n">
        <v>184109</v>
      </c>
      <c r="D715" s="37" t="n">
        <v>40664</v>
      </c>
      <c r="E715" s="0" t="n">
        <v>2012</v>
      </c>
      <c r="F715" s="0" t="n">
        <v>4</v>
      </c>
      <c r="G715" s="38" t="n">
        <v>6161126.64</v>
      </c>
    </row>
    <row r="716" customFormat="false" ht="15" hidden="false" customHeight="false" outlineLevel="0" collapsed="false">
      <c r="A716" s="0" t="n">
        <v>40</v>
      </c>
      <c r="B716" s="0" t="s">
        <v>60</v>
      </c>
      <c r="C716" s="36" t="n">
        <v>155083</v>
      </c>
      <c r="D716" s="37" t="n">
        <v>40664</v>
      </c>
      <c r="E716" s="0" t="n">
        <v>2012</v>
      </c>
      <c r="F716" s="0" t="n">
        <v>4</v>
      </c>
      <c r="G716" s="38" t="n">
        <v>4269529.52</v>
      </c>
    </row>
    <row r="717" customFormat="false" ht="15" hidden="false" customHeight="false" outlineLevel="0" collapsed="false">
      <c r="A717" s="0" t="n">
        <v>41</v>
      </c>
      <c r="B717" s="0" t="s">
        <v>60</v>
      </c>
      <c r="C717" s="36" t="n">
        <v>196321</v>
      </c>
      <c r="D717" s="37" t="n">
        <v>40664</v>
      </c>
      <c r="E717" s="0" t="n">
        <v>2012</v>
      </c>
      <c r="F717" s="0" t="n">
        <v>4</v>
      </c>
      <c r="G717" s="38" t="n">
        <v>5601455.4</v>
      </c>
    </row>
    <row r="718" customFormat="false" ht="15" hidden="false" customHeight="false" outlineLevel="0" collapsed="false">
      <c r="A718" s="0" t="n">
        <v>42</v>
      </c>
      <c r="B718" s="0" t="s">
        <v>64</v>
      </c>
      <c r="C718" s="36" t="n">
        <v>39690</v>
      </c>
      <c r="D718" s="37" t="n">
        <v>40664</v>
      </c>
      <c r="E718" s="0" t="n">
        <v>2012</v>
      </c>
      <c r="F718" s="0" t="n">
        <v>4</v>
      </c>
      <c r="G718" s="38" t="n">
        <v>2467231.59</v>
      </c>
    </row>
    <row r="719" customFormat="false" ht="15" hidden="false" customHeight="false" outlineLevel="0" collapsed="false">
      <c r="A719" s="0" t="n">
        <v>43</v>
      </c>
      <c r="B719" s="0" t="s">
        <v>64</v>
      </c>
      <c r="C719" s="36" t="n">
        <v>41062</v>
      </c>
      <c r="D719" s="37" t="n">
        <v>40664</v>
      </c>
      <c r="E719" s="0" t="n">
        <v>2012</v>
      </c>
      <c r="F719" s="0" t="n">
        <v>4</v>
      </c>
      <c r="G719" s="38" t="n">
        <v>2828164.45</v>
      </c>
    </row>
    <row r="720" customFormat="false" ht="15" hidden="false" customHeight="false" outlineLevel="0" collapsed="false">
      <c r="A720" s="0" t="n">
        <v>44</v>
      </c>
      <c r="B720" s="0" t="s">
        <v>64</v>
      </c>
      <c r="C720" s="36" t="n">
        <v>39910</v>
      </c>
      <c r="D720" s="37" t="n">
        <v>40664</v>
      </c>
      <c r="E720" s="0" t="n">
        <v>2012</v>
      </c>
      <c r="F720" s="0" t="n">
        <v>4</v>
      </c>
      <c r="G720" s="38" t="n">
        <v>1352229.63</v>
      </c>
    </row>
    <row r="721" customFormat="false" ht="15" hidden="false" customHeight="false" outlineLevel="0" collapsed="false">
      <c r="A721" s="0" t="n">
        <v>45</v>
      </c>
      <c r="B721" s="0" t="s">
        <v>62</v>
      </c>
      <c r="C721" s="36" t="n">
        <v>118221</v>
      </c>
      <c r="D721" s="37" t="n">
        <v>40664</v>
      </c>
      <c r="E721" s="0" t="n">
        <v>2012</v>
      </c>
      <c r="F721" s="0" t="n">
        <v>4</v>
      </c>
      <c r="G721" s="38" t="n">
        <v>3534505.68</v>
      </c>
    </row>
    <row r="722" customFormat="false" ht="15" hidden="false" customHeight="false" outlineLevel="0" collapsed="false">
      <c r="A722" s="0" t="n">
        <v>1</v>
      </c>
      <c r="B722" s="0" t="s">
        <v>60</v>
      </c>
      <c r="C722" s="36" t="n">
        <v>151315</v>
      </c>
      <c r="D722" s="37" t="n">
        <v>40695</v>
      </c>
      <c r="E722" s="0" t="n">
        <v>2012</v>
      </c>
      <c r="F722" s="0" t="n">
        <v>5</v>
      </c>
      <c r="G722" s="38" t="n">
        <v>6536531.04</v>
      </c>
    </row>
    <row r="723" customFormat="false" ht="15" hidden="false" customHeight="false" outlineLevel="0" collapsed="false">
      <c r="A723" s="0" t="n">
        <v>2</v>
      </c>
      <c r="B723" s="0" t="s">
        <v>60</v>
      </c>
      <c r="C723" s="36" t="n">
        <v>202307</v>
      </c>
      <c r="D723" s="37" t="n">
        <v>40695</v>
      </c>
      <c r="E723" s="0" t="n">
        <v>2012</v>
      </c>
      <c r="F723" s="0" t="n">
        <v>5</v>
      </c>
      <c r="G723" s="38" t="n">
        <v>8102240.53</v>
      </c>
    </row>
    <row r="724" customFormat="false" ht="15" hidden="false" customHeight="false" outlineLevel="0" collapsed="false">
      <c r="A724" s="0" t="n">
        <v>3</v>
      </c>
      <c r="B724" s="0" t="s">
        <v>62</v>
      </c>
      <c r="C724" s="36" t="n">
        <v>37392</v>
      </c>
      <c r="D724" s="37" t="n">
        <v>40695</v>
      </c>
      <c r="E724" s="0" t="n">
        <v>2012</v>
      </c>
      <c r="F724" s="0" t="n">
        <v>5</v>
      </c>
      <c r="G724" s="38" t="n">
        <v>1665911.36</v>
      </c>
    </row>
    <row r="725" customFormat="false" ht="15" hidden="false" customHeight="false" outlineLevel="0" collapsed="false">
      <c r="A725" s="0" t="n">
        <v>4</v>
      </c>
      <c r="B725" s="0" t="s">
        <v>60</v>
      </c>
      <c r="C725" s="36" t="n">
        <v>205863</v>
      </c>
      <c r="D725" s="37" t="n">
        <v>40695</v>
      </c>
      <c r="E725" s="0" t="n">
        <v>2012</v>
      </c>
      <c r="F725" s="0" t="n">
        <v>5</v>
      </c>
      <c r="G725" s="38" t="n">
        <v>8867125.86</v>
      </c>
    </row>
    <row r="726" customFormat="false" ht="15" hidden="false" customHeight="false" outlineLevel="0" collapsed="false">
      <c r="A726" s="0" t="n">
        <v>5</v>
      </c>
      <c r="B726" s="0" t="s">
        <v>62</v>
      </c>
      <c r="C726" s="36" t="n">
        <v>34875</v>
      </c>
      <c r="D726" s="37" t="n">
        <v>40695</v>
      </c>
      <c r="E726" s="0" t="n">
        <v>2012</v>
      </c>
      <c r="F726" s="0" t="n">
        <v>5</v>
      </c>
      <c r="G726" s="38" t="n">
        <v>1334122.6</v>
      </c>
    </row>
    <row r="727" customFormat="false" ht="15" hidden="false" customHeight="false" outlineLevel="0" collapsed="false">
      <c r="A727" s="0" t="n">
        <v>6</v>
      </c>
      <c r="B727" s="0" t="s">
        <v>60</v>
      </c>
      <c r="C727" s="36" t="n">
        <v>202505</v>
      </c>
      <c r="D727" s="37" t="n">
        <v>40695</v>
      </c>
      <c r="E727" s="0" t="n">
        <v>2012</v>
      </c>
      <c r="F727" s="0" t="n">
        <v>5</v>
      </c>
      <c r="G727" s="38" t="n">
        <v>6947563.54</v>
      </c>
    </row>
    <row r="728" customFormat="false" ht="15" hidden="false" customHeight="false" outlineLevel="0" collapsed="false">
      <c r="A728" s="0" t="n">
        <v>7</v>
      </c>
      <c r="B728" s="0" t="s">
        <v>62</v>
      </c>
      <c r="C728" s="36" t="n">
        <v>70713</v>
      </c>
      <c r="D728" s="37" t="n">
        <v>40695</v>
      </c>
      <c r="E728" s="0" t="n">
        <v>2012</v>
      </c>
      <c r="F728" s="0" t="n">
        <v>5</v>
      </c>
      <c r="G728" s="38" t="n">
        <v>2708271.18</v>
      </c>
    </row>
    <row r="729" customFormat="false" ht="15" hidden="false" customHeight="false" outlineLevel="0" collapsed="false">
      <c r="A729" s="0" t="n">
        <v>8</v>
      </c>
      <c r="B729" s="0" t="s">
        <v>60</v>
      </c>
      <c r="C729" s="36" t="n">
        <v>155078</v>
      </c>
      <c r="D729" s="37" t="n">
        <v>40695</v>
      </c>
      <c r="E729" s="0" t="n">
        <v>2012</v>
      </c>
      <c r="F729" s="0" t="n">
        <v>5</v>
      </c>
      <c r="G729" s="38" t="n">
        <v>3839920.03</v>
      </c>
    </row>
    <row r="730" customFormat="false" ht="15" hidden="false" customHeight="false" outlineLevel="0" collapsed="false">
      <c r="A730" s="0" t="n">
        <v>9</v>
      </c>
      <c r="B730" s="0" t="s">
        <v>62</v>
      </c>
      <c r="C730" s="36" t="n">
        <v>125833</v>
      </c>
      <c r="D730" s="37" t="n">
        <v>40695</v>
      </c>
      <c r="E730" s="0" t="n">
        <v>2012</v>
      </c>
      <c r="F730" s="0" t="n">
        <v>5</v>
      </c>
      <c r="G730" s="38" t="n">
        <v>2359407.27</v>
      </c>
    </row>
    <row r="731" customFormat="false" ht="15" hidden="false" customHeight="false" outlineLevel="0" collapsed="false">
      <c r="A731" s="0" t="n">
        <v>10</v>
      </c>
      <c r="B731" s="0" t="s">
        <v>62</v>
      </c>
      <c r="C731" s="36" t="n">
        <v>126512</v>
      </c>
      <c r="D731" s="37" t="n">
        <v>40695</v>
      </c>
      <c r="E731" s="0" t="n">
        <v>2012</v>
      </c>
      <c r="F731" s="0" t="n">
        <v>5</v>
      </c>
      <c r="G731" s="38" t="n">
        <v>7539075.44</v>
      </c>
    </row>
    <row r="732" customFormat="false" ht="15" hidden="false" customHeight="false" outlineLevel="0" collapsed="false">
      <c r="A732" s="0" t="n">
        <v>11</v>
      </c>
      <c r="B732" s="0" t="s">
        <v>60</v>
      </c>
      <c r="C732" s="36" t="n">
        <v>207499</v>
      </c>
      <c r="D732" s="37" t="n">
        <v>40695</v>
      </c>
      <c r="E732" s="0" t="n">
        <v>2012</v>
      </c>
      <c r="F732" s="0" t="n">
        <v>5</v>
      </c>
      <c r="G732" s="38" t="n">
        <v>5594684.72</v>
      </c>
    </row>
    <row r="733" customFormat="false" ht="15" hidden="false" customHeight="false" outlineLevel="0" collapsed="false">
      <c r="A733" s="0" t="n">
        <v>12</v>
      </c>
      <c r="B733" s="0" t="s">
        <v>62</v>
      </c>
      <c r="C733" s="36" t="n">
        <v>112238</v>
      </c>
      <c r="D733" s="37" t="n">
        <v>40695</v>
      </c>
      <c r="E733" s="0" t="n">
        <v>2012</v>
      </c>
      <c r="F733" s="0" t="n">
        <v>5</v>
      </c>
      <c r="G733" s="38" t="n">
        <v>4221146.51</v>
      </c>
    </row>
    <row r="734" customFormat="false" ht="15" hidden="false" customHeight="false" outlineLevel="0" collapsed="false">
      <c r="A734" s="0" t="n">
        <v>13</v>
      </c>
      <c r="B734" s="0" t="s">
        <v>60</v>
      </c>
      <c r="C734" s="36" t="n">
        <v>219622</v>
      </c>
      <c r="D734" s="37" t="n">
        <v>40695</v>
      </c>
      <c r="E734" s="0" t="n">
        <v>2012</v>
      </c>
      <c r="F734" s="0" t="n">
        <v>5</v>
      </c>
      <c r="G734" s="38" t="n">
        <v>8678412.97</v>
      </c>
    </row>
    <row r="735" customFormat="false" ht="15" hidden="false" customHeight="false" outlineLevel="0" collapsed="false">
      <c r="A735" s="0" t="n">
        <v>14</v>
      </c>
      <c r="B735" s="0" t="s">
        <v>60</v>
      </c>
      <c r="C735" s="36" t="n">
        <v>200898</v>
      </c>
      <c r="D735" s="37" t="n">
        <v>40695</v>
      </c>
      <c r="E735" s="0" t="n">
        <v>2012</v>
      </c>
      <c r="F735" s="0" t="n">
        <v>5</v>
      </c>
      <c r="G735" s="38" t="n">
        <v>8953725.36</v>
      </c>
    </row>
    <row r="736" customFormat="false" ht="15" hidden="false" customHeight="false" outlineLevel="0" collapsed="false">
      <c r="A736" s="0" t="n">
        <v>15</v>
      </c>
      <c r="B736" s="0" t="s">
        <v>62</v>
      </c>
      <c r="C736" s="36" t="n">
        <v>123737</v>
      </c>
      <c r="D736" s="37" t="n">
        <v>40695</v>
      </c>
      <c r="E736" s="0" t="n">
        <v>2012</v>
      </c>
      <c r="F736" s="0" t="n">
        <v>5</v>
      </c>
      <c r="G736" s="38" t="n">
        <v>2815518.37</v>
      </c>
    </row>
    <row r="737" customFormat="false" ht="15" hidden="false" customHeight="false" outlineLevel="0" collapsed="false">
      <c r="A737" s="0" t="n">
        <v>16</v>
      </c>
      <c r="B737" s="0" t="s">
        <v>62</v>
      </c>
      <c r="C737" s="36" t="n">
        <v>57197</v>
      </c>
      <c r="D737" s="37" t="n">
        <v>40695</v>
      </c>
      <c r="E737" s="0" t="n">
        <v>2012</v>
      </c>
      <c r="F737" s="0" t="n">
        <v>5</v>
      </c>
      <c r="G737" s="38" t="n">
        <v>2500984.21</v>
      </c>
    </row>
    <row r="738" customFormat="false" ht="15" hidden="false" customHeight="false" outlineLevel="0" collapsed="false">
      <c r="A738" s="0" t="n">
        <v>17</v>
      </c>
      <c r="B738" s="0" t="s">
        <v>62</v>
      </c>
      <c r="C738" s="36" t="n">
        <v>93188</v>
      </c>
      <c r="D738" s="37" t="n">
        <v>40695</v>
      </c>
      <c r="E738" s="0" t="n">
        <v>2012</v>
      </c>
      <c r="F738" s="0" t="n">
        <v>5</v>
      </c>
      <c r="G738" s="38" t="n">
        <v>3886366.78</v>
      </c>
    </row>
    <row r="739" customFormat="false" ht="15" hidden="false" customHeight="false" outlineLevel="0" collapsed="false">
      <c r="A739" s="0" t="n">
        <v>18</v>
      </c>
      <c r="B739" s="0" t="s">
        <v>62</v>
      </c>
      <c r="C739" s="36" t="n">
        <v>120653</v>
      </c>
      <c r="D739" s="37" t="n">
        <v>40695</v>
      </c>
      <c r="E739" s="0" t="n">
        <v>2012</v>
      </c>
      <c r="F739" s="0" t="n">
        <v>5</v>
      </c>
      <c r="G739" s="38" t="n">
        <v>4583049.33</v>
      </c>
    </row>
    <row r="740" customFormat="false" ht="15" hidden="false" customHeight="false" outlineLevel="0" collapsed="false">
      <c r="A740" s="0" t="n">
        <v>19</v>
      </c>
      <c r="B740" s="0" t="s">
        <v>60</v>
      </c>
      <c r="C740" s="36" t="n">
        <v>203819</v>
      </c>
      <c r="D740" s="37" t="n">
        <v>40695</v>
      </c>
      <c r="E740" s="0" t="n">
        <v>2012</v>
      </c>
      <c r="F740" s="0" t="n">
        <v>5</v>
      </c>
      <c r="G740" s="38" t="n">
        <v>6205579.97</v>
      </c>
    </row>
    <row r="741" customFormat="false" ht="15" hidden="false" customHeight="false" outlineLevel="0" collapsed="false">
      <c r="A741" s="0" t="n">
        <v>20</v>
      </c>
      <c r="B741" s="0" t="s">
        <v>60</v>
      </c>
      <c r="C741" s="36" t="n">
        <v>203742</v>
      </c>
      <c r="D741" s="37" t="n">
        <v>40695</v>
      </c>
      <c r="E741" s="0" t="n">
        <v>2012</v>
      </c>
      <c r="F741" s="0" t="n">
        <v>5</v>
      </c>
      <c r="G741" s="38" t="n">
        <v>8846184.26</v>
      </c>
    </row>
    <row r="742" customFormat="false" ht="15" hidden="false" customHeight="false" outlineLevel="0" collapsed="false">
      <c r="A742" s="0" t="n">
        <v>21</v>
      </c>
      <c r="B742" s="0" t="s">
        <v>62</v>
      </c>
      <c r="C742" s="36" t="n">
        <v>140167</v>
      </c>
      <c r="D742" s="37" t="n">
        <v>40695</v>
      </c>
      <c r="E742" s="0" t="n">
        <v>2012</v>
      </c>
      <c r="F742" s="0" t="n">
        <v>5</v>
      </c>
      <c r="G742" s="38" t="n">
        <v>3393127.36</v>
      </c>
    </row>
    <row r="743" customFormat="false" ht="15" hidden="false" customHeight="false" outlineLevel="0" collapsed="false">
      <c r="A743" s="0" t="n">
        <v>22</v>
      </c>
      <c r="B743" s="0" t="s">
        <v>62</v>
      </c>
      <c r="C743" s="36" t="n">
        <v>119557</v>
      </c>
      <c r="D743" s="37" t="n">
        <v>40695</v>
      </c>
      <c r="E743" s="0" t="n">
        <v>2012</v>
      </c>
      <c r="F743" s="0" t="n">
        <v>5</v>
      </c>
      <c r="G743" s="38" t="n">
        <v>4521687.28</v>
      </c>
    </row>
    <row r="744" customFormat="false" ht="15" hidden="false" customHeight="false" outlineLevel="0" collapsed="false">
      <c r="A744" s="0" t="n">
        <v>23</v>
      </c>
      <c r="B744" s="0" t="s">
        <v>62</v>
      </c>
      <c r="C744" s="36" t="n">
        <v>114533</v>
      </c>
      <c r="D744" s="37" t="n">
        <v>40695</v>
      </c>
      <c r="E744" s="0" t="n">
        <v>2012</v>
      </c>
      <c r="F744" s="0" t="n">
        <v>5</v>
      </c>
      <c r="G744" s="38" t="n">
        <v>6300375.12</v>
      </c>
    </row>
    <row r="745" customFormat="false" ht="15" hidden="false" customHeight="false" outlineLevel="0" collapsed="false">
      <c r="A745" s="0" t="n">
        <v>24</v>
      </c>
      <c r="B745" s="0" t="s">
        <v>60</v>
      </c>
      <c r="C745" s="36" t="n">
        <v>203819</v>
      </c>
      <c r="D745" s="37" t="n">
        <v>40695</v>
      </c>
      <c r="E745" s="0" t="n">
        <v>2012</v>
      </c>
      <c r="F745" s="0" t="n">
        <v>5</v>
      </c>
      <c r="G745" s="38" t="n">
        <v>5904493.58</v>
      </c>
    </row>
    <row r="746" customFormat="false" ht="15" hidden="false" customHeight="false" outlineLevel="0" collapsed="false">
      <c r="A746" s="0" t="n">
        <v>25</v>
      </c>
      <c r="B746" s="0" t="s">
        <v>62</v>
      </c>
      <c r="C746" s="36" t="n">
        <v>128107</v>
      </c>
      <c r="D746" s="37" t="n">
        <v>40695</v>
      </c>
      <c r="E746" s="0" t="n">
        <v>2012</v>
      </c>
      <c r="F746" s="0" t="n">
        <v>5</v>
      </c>
      <c r="G746" s="38" t="n">
        <v>3078316.98</v>
      </c>
    </row>
    <row r="747" customFormat="false" ht="15" hidden="false" customHeight="false" outlineLevel="0" collapsed="false">
      <c r="A747" s="0" t="n">
        <v>26</v>
      </c>
      <c r="B747" s="0" t="s">
        <v>60</v>
      </c>
      <c r="C747" s="36" t="n">
        <v>152513</v>
      </c>
      <c r="D747" s="37" t="n">
        <v>40695</v>
      </c>
      <c r="E747" s="0" t="n">
        <v>2012</v>
      </c>
      <c r="F747" s="0" t="n">
        <v>5</v>
      </c>
      <c r="G747" s="38" t="n">
        <v>4442334.04</v>
      </c>
    </row>
    <row r="748" customFormat="false" ht="15" hidden="false" customHeight="false" outlineLevel="0" collapsed="false">
      <c r="A748" s="0" t="n">
        <v>27</v>
      </c>
      <c r="B748" s="0" t="s">
        <v>60</v>
      </c>
      <c r="C748" s="36" t="n">
        <v>204184</v>
      </c>
      <c r="D748" s="37" t="n">
        <v>40695</v>
      </c>
      <c r="E748" s="0" t="n">
        <v>2012</v>
      </c>
      <c r="F748" s="0" t="n">
        <v>5</v>
      </c>
      <c r="G748" s="38" t="n">
        <v>7995685.32</v>
      </c>
    </row>
    <row r="749" customFormat="false" ht="15" hidden="false" customHeight="false" outlineLevel="0" collapsed="false">
      <c r="A749" s="0" t="n">
        <v>28</v>
      </c>
      <c r="B749" s="0" t="s">
        <v>60</v>
      </c>
      <c r="C749" s="36" t="n">
        <v>206302</v>
      </c>
      <c r="D749" s="37" t="n">
        <v>40695</v>
      </c>
      <c r="E749" s="0" t="n">
        <v>2012</v>
      </c>
      <c r="F749" s="0" t="n">
        <v>5</v>
      </c>
      <c r="G749" s="38" t="n">
        <v>5549523.5</v>
      </c>
    </row>
    <row r="750" customFormat="false" ht="15" hidden="false" customHeight="false" outlineLevel="0" collapsed="false">
      <c r="A750" s="0" t="n">
        <v>29</v>
      </c>
      <c r="B750" s="0" t="s">
        <v>62</v>
      </c>
      <c r="C750" s="36" t="n">
        <v>93638</v>
      </c>
      <c r="D750" s="37" t="n">
        <v>40695</v>
      </c>
      <c r="E750" s="0" t="n">
        <v>2012</v>
      </c>
      <c r="F750" s="0" t="n">
        <v>5</v>
      </c>
      <c r="G750" s="38" t="n">
        <v>2383205.52</v>
      </c>
    </row>
    <row r="751" customFormat="false" ht="15" hidden="false" customHeight="false" outlineLevel="0" collapsed="false">
      <c r="A751" s="0" t="n">
        <v>30</v>
      </c>
      <c r="B751" s="0" t="s">
        <v>64</v>
      </c>
      <c r="C751" s="36" t="n">
        <v>42988</v>
      </c>
      <c r="D751" s="37" t="n">
        <v>40695</v>
      </c>
      <c r="E751" s="0" t="n">
        <v>2012</v>
      </c>
      <c r="F751" s="0" t="n">
        <v>5</v>
      </c>
      <c r="G751" s="38" t="n">
        <v>1835910.88</v>
      </c>
    </row>
    <row r="752" customFormat="false" ht="15" hidden="false" customHeight="false" outlineLevel="0" collapsed="false">
      <c r="A752" s="0" t="n">
        <v>31</v>
      </c>
      <c r="B752" s="0" t="s">
        <v>60</v>
      </c>
      <c r="C752" s="36" t="n">
        <v>203750</v>
      </c>
      <c r="D752" s="37" t="n">
        <v>40695</v>
      </c>
      <c r="E752" s="0" t="n">
        <v>2012</v>
      </c>
      <c r="F752" s="0" t="n">
        <v>5</v>
      </c>
      <c r="G752" s="38" t="n">
        <v>6081212.4</v>
      </c>
    </row>
    <row r="753" customFormat="false" ht="15" hidden="false" customHeight="false" outlineLevel="0" collapsed="false">
      <c r="A753" s="0" t="n">
        <v>32</v>
      </c>
      <c r="B753" s="0" t="s">
        <v>60</v>
      </c>
      <c r="C753" s="36" t="n">
        <v>203007</v>
      </c>
      <c r="D753" s="37" t="n">
        <v>40695</v>
      </c>
      <c r="E753" s="0" t="n">
        <v>2012</v>
      </c>
      <c r="F753" s="0" t="n">
        <v>5</v>
      </c>
      <c r="G753" s="38" t="n">
        <v>5124548.31</v>
      </c>
    </row>
    <row r="754" customFormat="false" ht="15" hidden="false" customHeight="false" outlineLevel="0" collapsed="false">
      <c r="A754" s="0" t="n">
        <v>33</v>
      </c>
      <c r="B754" s="0" t="s">
        <v>60</v>
      </c>
      <c r="C754" s="36" t="n">
        <v>39690</v>
      </c>
      <c r="D754" s="37" t="n">
        <v>40695</v>
      </c>
      <c r="E754" s="0" t="n">
        <v>2012</v>
      </c>
      <c r="F754" s="0" t="n">
        <v>5</v>
      </c>
      <c r="G754" s="38" t="n">
        <v>1033697.21</v>
      </c>
    </row>
    <row r="755" customFormat="false" ht="15" hidden="false" customHeight="false" outlineLevel="0" collapsed="false">
      <c r="A755" s="0" t="n">
        <v>34</v>
      </c>
      <c r="B755" s="0" t="s">
        <v>60</v>
      </c>
      <c r="C755" s="36" t="n">
        <v>158114</v>
      </c>
      <c r="D755" s="37" t="n">
        <v>40695</v>
      </c>
      <c r="E755" s="0" t="n">
        <v>2012</v>
      </c>
      <c r="F755" s="0" t="n">
        <v>5</v>
      </c>
      <c r="G755" s="38" t="n">
        <v>4022869.5</v>
      </c>
    </row>
    <row r="756" customFormat="false" ht="15" hidden="false" customHeight="false" outlineLevel="0" collapsed="false">
      <c r="A756" s="0" t="n">
        <v>35</v>
      </c>
      <c r="B756" s="0" t="s">
        <v>62</v>
      </c>
      <c r="C756" s="36" t="n">
        <v>103681</v>
      </c>
      <c r="D756" s="37" t="n">
        <v>40695</v>
      </c>
      <c r="E756" s="0" t="n">
        <v>2012</v>
      </c>
      <c r="F756" s="0" t="n">
        <v>5</v>
      </c>
      <c r="G756" s="38" t="n">
        <v>3692140.35</v>
      </c>
    </row>
    <row r="757" customFormat="false" ht="15" hidden="false" customHeight="false" outlineLevel="0" collapsed="false">
      <c r="A757" s="0" t="n">
        <v>36</v>
      </c>
      <c r="B757" s="0" t="s">
        <v>60</v>
      </c>
      <c r="C757" s="36" t="n">
        <v>39910</v>
      </c>
      <c r="D757" s="37" t="n">
        <v>40695</v>
      </c>
      <c r="E757" s="0" t="n">
        <v>2012</v>
      </c>
      <c r="F757" s="0" t="n">
        <v>5</v>
      </c>
      <c r="G757" s="38" t="n">
        <v>1592656.7</v>
      </c>
    </row>
    <row r="758" customFormat="false" ht="15" hidden="false" customHeight="false" outlineLevel="0" collapsed="false">
      <c r="A758" s="0" t="n">
        <v>37</v>
      </c>
      <c r="B758" s="0" t="s">
        <v>64</v>
      </c>
      <c r="C758" s="36" t="n">
        <v>39910</v>
      </c>
      <c r="D758" s="37" t="n">
        <v>40695</v>
      </c>
      <c r="E758" s="0" t="n">
        <v>2012</v>
      </c>
      <c r="F758" s="0" t="n">
        <v>5</v>
      </c>
      <c r="G758" s="38" t="n">
        <v>2201666.07</v>
      </c>
    </row>
    <row r="759" customFormat="false" ht="15" hidden="false" customHeight="false" outlineLevel="0" collapsed="false">
      <c r="A759" s="0" t="n">
        <v>38</v>
      </c>
      <c r="B759" s="0" t="s">
        <v>64</v>
      </c>
      <c r="C759" s="36" t="n">
        <v>39690</v>
      </c>
      <c r="D759" s="37" t="n">
        <v>40695</v>
      </c>
      <c r="E759" s="0" t="n">
        <v>2012</v>
      </c>
      <c r="F759" s="0" t="n">
        <v>5</v>
      </c>
      <c r="G759" s="38" t="n">
        <v>1594707.88</v>
      </c>
    </row>
    <row r="760" customFormat="false" ht="15" hidden="false" customHeight="false" outlineLevel="0" collapsed="false">
      <c r="A760" s="0" t="n">
        <v>39</v>
      </c>
      <c r="B760" s="0" t="s">
        <v>60</v>
      </c>
      <c r="C760" s="36" t="n">
        <v>184109</v>
      </c>
      <c r="D760" s="37" t="n">
        <v>40695</v>
      </c>
      <c r="E760" s="0" t="n">
        <v>2012</v>
      </c>
      <c r="F760" s="0" t="n">
        <v>5</v>
      </c>
      <c r="G760" s="38" t="n">
        <v>6142968.82</v>
      </c>
    </row>
    <row r="761" customFormat="false" ht="15" hidden="false" customHeight="false" outlineLevel="0" collapsed="false">
      <c r="A761" s="0" t="n">
        <v>40</v>
      </c>
      <c r="B761" s="0" t="s">
        <v>60</v>
      </c>
      <c r="C761" s="36" t="n">
        <v>155083</v>
      </c>
      <c r="D761" s="37" t="n">
        <v>40695</v>
      </c>
      <c r="E761" s="0" t="n">
        <v>2012</v>
      </c>
      <c r="F761" s="0" t="n">
        <v>5</v>
      </c>
      <c r="G761" s="38" t="n">
        <v>4292899.61</v>
      </c>
    </row>
    <row r="762" customFormat="false" ht="15" hidden="false" customHeight="false" outlineLevel="0" collapsed="false">
      <c r="A762" s="0" t="n">
        <v>41</v>
      </c>
      <c r="B762" s="0" t="s">
        <v>60</v>
      </c>
      <c r="C762" s="36" t="n">
        <v>196321</v>
      </c>
      <c r="D762" s="37" t="n">
        <v>40695</v>
      </c>
      <c r="E762" s="0" t="n">
        <v>2012</v>
      </c>
      <c r="F762" s="0" t="n">
        <v>5</v>
      </c>
      <c r="G762" s="38" t="n">
        <v>5544201.31</v>
      </c>
    </row>
    <row r="763" customFormat="false" ht="15" hidden="false" customHeight="false" outlineLevel="0" collapsed="false">
      <c r="A763" s="0" t="n">
        <v>42</v>
      </c>
      <c r="B763" s="0" t="s">
        <v>64</v>
      </c>
      <c r="C763" s="36" t="n">
        <v>39690</v>
      </c>
      <c r="D763" s="37" t="n">
        <v>40695</v>
      </c>
      <c r="E763" s="0" t="n">
        <v>2012</v>
      </c>
      <c r="F763" s="0" t="n">
        <v>5</v>
      </c>
      <c r="G763" s="38" t="n">
        <v>2332785.59</v>
      </c>
    </row>
    <row r="764" customFormat="false" ht="15" hidden="false" customHeight="false" outlineLevel="0" collapsed="false">
      <c r="A764" s="0" t="n">
        <v>43</v>
      </c>
      <c r="B764" s="0" t="s">
        <v>64</v>
      </c>
      <c r="C764" s="36" t="n">
        <v>41062</v>
      </c>
      <c r="D764" s="37" t="n">
        <v>40695</v>
      </c>
      <c r="E764" s="0" t="n">
        <v>2012</v>
      </c>
      <c r="F764" s="0" t="n">
        <v>5</v>
      </c>
      <c r="G764" s="38" t="n">
        <v>2687121.03</v>
      </c>
    </row>
    <row r="765" customFormat="false" ht="15" hidden="false" customHeight="false" outlineLevel="0" collapsed="false">
      <c r="A765" s="0" t="n">
        <v>44</v>
      </c>
      <c r="B765" s="0" t="s">
        <v>64</v>
      </c>
      <c r="C765" s="36" t="n">
        <v>39910</v>
      </c>
      <c r="D765" s="37" t="n">
        <v>40695</v>
      </c>
      <c r="E765" s="0" t="n">
        <v>2012</v>
      </c>
      <c r="F765" s="0" t="n">
        <v>5</v>
      </c>
      <c r="G765" s="38" t="n">
        <v>1308433.11</v>
      </c>
    </row>
    <row r="766" customFormat="false" ht="15" hidden="false" customHeight="false" outlineLevel="0" collapsed="false">
      <c r="A766" s="0" t="n">
        <v>45</v>
      </c>
      <c r="B766" s="0" t="s">
        <v>62</v>
      </c>
      <c r="C766" s="36" t="n">
        <v>118221</v>
      </c>
      <c r="D766" s="37" t="n">
        <v>40695</v>
      </c>
      <c r="E766" s="0" t="n">
        <v>2012</v>
      </c>
      <c r="F766" s="0" t="n">
        <v>5</v>
      </c>
      <c r="G766" s="38" t="n">
        <v>3442873.76</v>
      </c>
    </row>
    <row r="767" customFormat="false" ht="15" hidden="false" customHeight="false" outlineLevel="0" collapsed="false">
      <c r="A767" s="0" t="n">
        <v>1</v>
      </c>
      <c r="B767" s="0" t="s">
        <v>60</v>
      </c>
      <c r="C767" s="36" t="n">
        <v>151315</v>
      </c>
      <c r="D767" s="37" t="n">
        <v>40725</v>
      </c>
      <c r="E767" s="0" t="n">
        <v>2012</v>
      </c>
      <c r="F767" s="0" t="n">
        <v>6</v>
      </c>
      <c r="G767" s="38" t="n">
        <v>6415874.16</v>
      </c>
    </row>
    <row r="768" customFormat="false" ht="15" hidden="false" customHeight="false" outlineLevel="0" collapsed="false">
      <c r="A768" s="0" t="n">
        <v>2</v>
      </c>
      <c r="B768" s="0" t="s">
        <v>60</v>
      </c>
      <c r="C768" s="36" t="n">
        <v>202307</v>
      </c>
      <c r="D768" s="37" t="n">
        <v>40725</v>
      </c>
      <c r="E768" s="0" t="n">
        <v>2012</v>
      </c>
      <c r="F768" s="0" t="n">
        <v>6</v>
      </c>
      <c r="G768" s="38" t="n">
        <v>7865666.12</v>
      </c>
    </row>
    <row r="769" customFormat="false" ht="15" hidden="false" customHeight="false" outlineLevel="0" collapsed="false">
      <c r="A769" s="0" t="n">
        <v>3</v>
      </c>
      <c r="B769" s="0" t="s">
        <v>62</v>
      </c>
      <c r="C769" s="36" t="n">
        <v>37392</v>
      </c>
      <c r="D769" s="37" t="n">
        <v>40725</v>
      </c>
      <c r="E769" s="0" t="n">
        <v>2012</v>
      </c>
      <c r="F769" s="0" t="n">
        <v>6</v>
      </c>
      <c r="G769" s="38" t="n">
        <v>1644445.66</v>
      </c>
    </row>
    <row r="770" customFormat="false" ht="15" hidden="false" customHeight="false" outlineLevel="0" collapsed="false">
      <c r="A770" s="0" t="n">
        <v>4</v>
      </c>
      <c r="B770" s="0" t="s">
        <v>60</v>
      </c>
      <c r="C770" s="36" t="n">
        <v>205863</v>
      </c>
      <c r="D770" s="37" t="n">
        <v>40725</v>
      </c>
      <c r="E770" s="0" t="n">
        <v>2012</v>
      </c>
      <c r="F770" s="0" t="n">
        <v>6</v>
      </c>
      <c r="G770" s="38" t="n">
        <v>9051729.72</v>
      </c>
    </row>
    <row r="771" customFormat="false" ht="15" hidden="false" customHeight="false" outlineLevel="0" collapsed="false">
      <c r="A771" s="0" t="n">
        <v>5</v>
      </c>
      <c r="B771" s="0" t="s">
        <v>62</v>
      </c>
      <c r="C771" s="36" t="n">
        <v>34875</v>
      </c>
      <c r="D771" s="37" t="n">
        <v>40725</v>
      </c>
      <c r="E771" s="0" t="n">
        <v>2012</v>
      </c>
      <c r="F771" s="0" t="n">
        <v>6</v>
      </c>
      <c r="G771" s="38" t="n">
        <v>1299245.63</v>
      </c>
    </row>
    <row r="772" customFormat="false" ht="15" hidden="false" customHeight="false" outlineLevel="0" collapsed="false">
      <c r="A772" s="0" t="n">
        <v>6</v>
      </c>
      <c r="B772" s="0" t="s">
        <v>60</v>
      </c>
      <c r="C772" s="36" t="n">
        <v>202505</v>
      </c>
      <c r="D772" s="37" t="n">
        <v>40725</v>
      </c>
      <c r="E772" s="0" t="n">
        <v>2012</v>
      </c>
      <c r="F772" s="0" t="n">
        <v>6</v>
      </c>
      <c r="G772" s="38" t="n">
        <v>6946346.29</v>
      </c>
    </row>
    <row r="773" customFormat="false" ht="15" hidden="false" customHeight="false" outlineLevel="0" collapsed="false">
      <c r="A773" s="0" t="n">
        <v>7</v>
      </c>
      <c r="B773" s="0" t="s">
        <v>62</v>
      </c>
      <c r="C773" s="36" t="n">
        <v>70713</v>
      </c>
      <c r="D773" s="37" t="n">
        <v>40725</v>
      </c>
      <c r="E773" s="0" t="n">
        <v>2012</v>
      </c>
      <c r="F773" s="0" t="n">
        <v>6</v>
      </c>
      <c r="G773" s="38" t="n">
        <v>3045272.99</v>
      </c>
    </row>
    <row r="774" customFormat="false" ht="15" hidden="false" customHeight="false" outlineLevel="0" collapsed="false">
      <c r="A774" s="0" t="n">
        <v>8</v>
      </c>
      <c r="B774" s="0" t="s">
        <v>60</v>
      </c>
      <c r="C774" s="36" t="n">
        <v>155078</v>
      </c>
      <c r="D774" s="37" t="n">
        <v>40725</v>
      </c>
      <c r="E774" s="0" t="n">
        <v>2012</v>
      </c>
      <c r="F774" s="0" t="n">
        <v>6</v>
      </c>
      <c r="G774" s="38" t="n">
        <v>3730085.22</v>
      </c>
    </row>
    <row r="775" customFormat="false" ht="15" hidden="false" customHeight="false" outlineLevel="0" collapsed="false">
      <c r="A775" s="0" t="n">
        <v>9</v>
      </c>
      <c r="B775" s="0" t="s">
        <v>62</v>
      </c>
      <c r="C775" s="36" t="n">
        <v>125833</v>
      </c>
      <c r="D775" s="37" t="n">
        <v>40725</v>
      </c>
      <c r="E775" s="0" t="n">
        <v>2012</v>
      </c>
      <c r="F775" s="0" t="n">
        <v>6</v>
      </c>
      <c r="G775" s="38" t="n">
        <v>2246977.55</v>
      </c>
    </row>
    <row r="776" customFormat="false" ht="15" hidden="false" customHeight="false" outlineLevel="0" collapsed="false">
      <c r="A776" s="0" t="n">
        <v>10</v>
      </c>
      <c r="B776" s="0" t="s">
        <v>62</v>
      </c>
      <c r="C776" s="36" t="n">
        <v>126512</v>
      </c>
      <c r="D776" s="37" t="n">
        <v>40725</v>
      </c>
      <c r="E776" s="0" t="n">
        <v>2012</v>
      </c>
      <c r="F776" s="0" t="n">
        <v>6</v>
      </c>
      <c r="G776" s="38" t="n">
        <v>7784099.3</v>
      </c>
    </row>
    <row r="777" customFormat="false" ht="15" hidden="false" customHeight="false" outlineLevel="0" collapsed="false">
      <c r="A777" s="0" t="n">
        <v>11</v>
      </c>
      <c r="B777" s="0" t="s">
        <v>60</v>
      </c>
      <c r="C777" s="36" t="n">
        <v>207499</v>
      </c>
      <c r="D777" s="37" t="n">
        <v>40725</v>
      </c>
      <c r="E777" s="0" t="n">
        <v>2012</v>
      </c>
      <c r="F777" s="0" t="n">
        <v>6</v>
      </c>
      <c r="G777" s="38" t="n">
        <v>5690956.93</v>
      </c>
    </row>
    <row r="778" customFormat="false" ht="15" hidden="false" customHeight="false" outlineLevel="0" collapsed="false">
      <c r="A778" s="0" t="n">
        <v>12</v>
      </c>
      <c r="B778" s="0" t="s">
        <v>62</v>
      </c>
      <c r="C778" s="36" t="n">
        <v>112238</v>
      </c>
      <c r="D778" s="37" t="n">
        <v>40725</v>
      </c>
      <c r="E778" s="0" t="n">
        <v>2012</v>
      </c>
      <c r="F778" s="0" t="n">
        <v>6</v>
      </c>
      <c r="G778" s="38" t="n">
        <v>4112415.26</v>
      </c>
    </row>
    <row r="779" customFormat="false" ht="15" hidden="false" customHeight="false" outlineLevel="0" collapsed="false">
      <c r="A779" s="0" t="n">
        <v>13</v>
      </c>
      <c r="B779" s="0" t="s">
        <v>60</v>
      </c>
      <c r="C779" s="36" t="n">
        <v>219622</v>
      </c>
      <c r="D779" s="37" t="n">
        <v>40725</v>
      </c>
      <c r="E779" s="0" t="n">
        <v>2012</v>
      </c>
      <c r="F779" s="0" t="n">
        <v>6</v>
      </c>
      <c r="G779" s="38" t="n">
        <v>8732173.33</v>
      </c>
    </row>
    <row r="780" customFormat="false" ht="15" hidden="false" customHeight="false" outlineLevel="0" collapsed="false">
      <c r="A780" s="0" t="n">
        <v>14</v>
      </c>
      <c r="B780" s="0" t="s">
        <v>60</v>
      </c>
      <c r="C780" s="36" t="n">
        <v>200898</v>
      </c>
      <c r="D780" s="37" t="n">
        <v>40725</v>
      </c>
      <c r="E780" s="0" t="n">
        <v>2012</v>
      </c>
      <c r="F780" s="0" t="n">
        <v>6</v>
      </c>
      <c r="G780" s="38" t="n">
        <v>8656710.52</v>
      </c>
    </row>
    <row r="781" customFormat="false" ht="15" hidden="false" customHeight="false" outlineLevel="0" collapsed="false">
      <c r="A781" s="0" t="n">
        <v>15</v>
      </c>
      <c r="B781" s="0" t="s">
        <v>62</v>
      </c>
      <c r="C781" s="36" t="n">
        <v>123737</v>
      </c>
      <c r="D781" s="37" t="n">
        <v>40725</v>
      </c>
      <c r="E781" s="0" t="n">
        <v>2012</v>
      </c>
      <c r="F781" s="0" t="n">
        <v>6</v>
      </c>
      <c r="G781" s="38" t="n">
        <v>2714304.04</v>
      </c>
    </row>
    <row r="782" customFormat="false" ht="15" hidden="false" customHeight="false" outlineLevel="0" collapsed="false">
      <c r="A782" s="0" t="n">
        <v>16</v>
      </c>
      <c r="B782" s="0" t="s">
        <v>62</v>
      </c>
      <c r="C782" s="36" t="n">
        <v>57197</v>
      </c>
      <c r="D782" s="37" t="n">
        <v>40725</v>
      </c>
      <c r="E782" s="0" t="n">
        <v>2012</v>
      </c>
      <c r="F782" s="0" t="n">
        <v>6</v>
      </c>
      <c r="G782" s="38" t="n">
        <v>2642002.33</v>
      </c>
    </row>
    <row r="783" customFormat="false" ht="15" hidden="false" customHeight="false" outlineLevel="0" collapsed="false">
      <c r="A783" s="0" t="n">
        <v>17</v>
      </c>
      <c r="B783" s="0" t="s">
        <v>62</v>
      </c>
      <c r="C783" s="36" t="n">
        <v>93188</v>
      </c>
      <c r="D783" s="37" t="n">
        <v>40725</v>
      </c>
      <c r="E783" s="0" t="n">
        <v>2012</v>
      </c>
      <c r="F783" s="0" t="n">
        <v>6</v>
      </c>
      <c r="G783" s="38" t="n">
        <v>3960577.42</v>
      </c>
    </row>
    <row r="784" customFormat="false" ht="15" hidden="false" customHeight="false" outlineLevel="0" collapsed="false">
      <c r="A784" s="0" t="n">
        <v>18</v>
      </c>
      <c r="B784" s="0" t="s">
        <v>62</v>
      </c>
      <c r="C784" s="36" t="n">
        <v>120653</v>
      </c>
      <c r="D784" s="37" t="n">
        <v>40725</v>
      </c>
      <c r="E784" s="0" t="n">
        <v>2012</v>
      </c>
      <c r="F784" s="0" t="n">
        <v>6</v>
      </c>
      <c r="G784" s="38" t="n">
        <v>4410938.99</v>
      </c>
    </row>
    <row r="785" customFormat="false" ht="15" hidden="false" customHeight="false" outlineLevel="0" collapsed="false">
      <c r="A785" s="0" t="n">
        <v>19</v>
      </c>
      <c r="B785" s="0" t="s">
        <v>60</v>
      </c>
      <c r="C785" s="36" t="n">
        <v>203819</v>
      </c>
      <c r="D785" s="37" t="n">
        <v>40725</v>
      </c>
      <c r="E785" s="0" t="n">
        <v>2012</v>
      </c>
      <c r="F785" s="0" t="n">
        <v>6</v>
      </c>
      <c r="G785" s="38" t="n">
        <v>6144489.54</v>
      </c>
    </row>
    <row r="786" customFormat="false" ht="15" hidden="false" customHeight="false" outlineLevel="0" collapsed="false">
      <c r="A786" s="0" t="n">
        <v>20</v>
      </c>
      <c r="B786" s="0" t="s">
        <v>60</v>
      </c>
      <c r="C786" s="36" t="n">
        <v>203742</v>
      </c>
      <c r="D786" s="37" t="n">
        <v>40725</v>
      </c>
      <c r="E786" s="0" t="n">
        <v>2012</v>
      </c>
      <c r="F786" s="0" t="n">
        <v>6</v>
      </c>
      <c r="G786" s="38" t="n">
        <v>8891848.23</v>
      </c>
    </row>
    <row r="787" customFormat="false" ht="15" hidden="false" customHeight="false" outlineLevel="0" collapsed="false">
      <c r="A787" s="0" t="n">
        <v>21</v>
      </c>
      <c r="B787" s="0" t="s">
        <v>62</v>
      </c>
      <c r="C787" s="36" t="n">
        <v>140167</v>
      </c>
      <c r="D787" s="37" t="n">
        <v>40725</v>
      </c>
      <c r="E787" s="0" t="n">
        <v>2012</v>
      </c>
      <c r="F787" s="0" t="n">
        <v>6</v>
      </c>
      <c r="G787" s="38" t="n">
        <v>3334049.62</v>
      </c>
    </row>
    <row r="788" customFormat="false" ht="15" hidden="false" customHeight="false" outlineLevel="0" collapsed="false">
      <c r="A788" s="0" t="n">
        <v>22</v>
      </c>
      <c r="B788" s="0" t="s">
        <v>62</v>
      </c>
      <c r="C788" s="36" t="n">
        <v>119557</v>
      </c>
      <c r="D788" s="37" t="n">
        <v>40725</v>
      </c>
      <c r="E788" s="0" t="n">
        <v>2012</v>
      </c>
      <c r="F788" s="0" t="n">
        <v>6</v>
      </c>
      <c r="G788" s="38" t="n">
        <v>4323497.81</v>
      </c>
    </row>
    <row r="789" customFormat="false" ht="15" hidden="false" customHeight="false" outlineLevel="0" collapsed="false">
      <c r="A789" s="0" t="n">
        <v>23</v>
      </c>
      <c r="B789" s="0" t="s">
        <v>62</v>
      </c>
      <c r="C789" s="36" t="n">
        <v>114533</v>
      </c>
      <c r="D789" s="37" t="n">
        <v>40725</v>
      </c>
      <c r="E789" s="0" t="n">
        <v>2012</v>
      </c>
      <c r="F789" s="0" t="n">
        <v>6</v>
      </c>
      <c r="G789" s="38" t="n">
        <v>6039805.45</v>
      </c>
    </row>
    <row r="790" customFormat="false" ht="15" hidden="false" customHeight="false" outlineLevel="0" collapsed="false">
      <c r="A790" s="0" t="n">
        <v>24</v>
      </c>
      <c r="B790" s="0" t="s">
        <v>60</v>
      </c>
      <c r="C790" s="36" t="n">
        <v>203819</v>
      </c>
      <c r="D790" s="37" t="n">
        <v>40725</v>
      </c>
      <c r="E790" s="0" t="n">
        <v>2012</v>
      </c>
      <c r="F790" s="0" t="n">
        <v>6</v>
      </c>
      <c r="G790" s="38" t="n">
        <v>6204471.5</v>
      </c>
    </row>
    <row r="791" customFormat="false" ht="15" hidden="false" customHeight="false" outlineLevel="0" collapsed="false">
      <c r="A791" s="0" t="n">
        <v>25</v>
      </c>
      <c r="B791" s="0" t="s">
        <v>62</v>
      </c>
      <c r="C791" s="36" t="n">
        <v>128107</v>
      </c>
      <c r="D791" s="37" t="n">
        <v>40725</v>
      </c>
      <c r="E791" s="0" t="n">
        <v>2012</v>
      </c>
      <c r="F791" s="0" t="n">
        <v>6</v>
      </c>
      <c r="G791" s="38" t="n">
        <v>3013374.04</v>
      </c>
    </row>
    <row r="792" customFormat="false" ht="15" hidden="false" customHeight="false" outlineLevel="0" collapsed="false">
      <c r="A792" s="0" t="n">
        <v>26</v>
      </c>
      <c r="B792" s="0" t="s">
        <v>60</v>
      </c>
      <c r="C792" s="36" t="n">
        <v>152513</v>
      </c>
      <c r="D792" s="37" t="n">
        <v>40725</v>
      </c>
      <c r="E792" s="0" t="n">
        <v>2012</v>
      </c>
      <c r="F792" s="0" t="n">
        <v>6</v>
      </c>
      <c r="G792" s="38" t="n">
        <v>4647887.72</v>
      </c>
    </row>
    <row r="793" customFormat="false" ht="15" hidden="false" customHeight="false" outlineLevel="0" collapsed="false">
      <c r="A793" s="0" t="n">
        <v>27</v>
      </c>
      <c r="B793" s="0" t="s">
        <v>60</v>
      </c>
      <c r="C793" s="36" t="n">
        <v>204184</v>
      </c>
      <c r="D793" s="37" t="n">
        <v>40725</v>
      </c>
      <c r="E793" s="0" t="n">
        <v>2012</v>
      </c>
      <c r="F793" s="0" t="n">
        <v>6</v>
      </c>
      <c r="G793" s="38" t="n">
        <v>8039764.27</v>
      </c>
    </row>
    <row r="794" customFormat="false" ht="15" hidden="false" customHeight="false" outlineLevel="0" collapsed="false">
      <c r="A794" s="0" t="n">
        <v>28</v>
      </c>
      <c r="B794" s="0" t="s">
        <v>60</v>
      </c>
      <c r="C794" s="36" t="n">
        <v>206302</v>
      </c>
      <c r="D794" s="37" t="n">
        <v>40725</v>
      </c>
      <c r="E794" s="0" t="n">
        <v>2012</v>
      </c>
      <c r="F794" s="0" t="n">
        <v>6</v>
      </c>
      <c r="G794" s="38" t="n">
        <v>5561257.86</v>
      </c>
    </row>
    <row r="795" customFormat="false" ht="15" hidden="false" customHeight="false" outlineLevel="0" collapsed="false">
      <c r="A795" s="0" t="n">
        <v>29</v>
      </c>
      <c r="B795" s="0" t="s">
        <v>62</v>
      </c>
      <c r="C795" s="36" t="n">
        <v>93638</v>
      </c>
      <c r="D795" s="37" t="n">
        <v>40725</v>
      </c>
      <c r="E795" s="0" t="n">
        <v>2012</v>
      </c>
      <c r="F795" s="0" t="n">
        <v>6</v>
      </c>
      <c r="G795" s="38" t="n">
        <v>2259690.65</v>
      </c>
    </row>
    <row r="796" customFormat="false" ht="15" hidden="false" customHeight="false" outlineLevel="0" collapsed="false">
      <c r="A796" s="0" t="n">
        <v>30</v>
      </c>
      <c r="B796" s="0" t="s">
        <v>64</v>
      </c>
      <c r="C796" s="36" t="n">
        <v>42988</v>
      </c>
      <c r="D796" s="37" t="n">
        <v>40725</v>
      </c>
      <c r="E796" s="0" t="n">
        <v>2012</v>
      </c>
      <c r="F796" s="0" t="n">
        <v>6</v>
      </c>
      <c r="G796" s="38" t="n">
        <v>1862593.38</v>
      </c>
    </row>
    <row r="797" customFormat="false" ht="15" hidden="false" customHeight="false" outlineLevel="0" collapsed="false">
      <c r="A797" s="0" t="n">
        <v>31</v>
      </c>
      <c r="B797" s="0" t="s">
        <v>60</v>
      </c>
      <c r="C797" s="36" t="n">
        <v>203750</v>
      </c>
      <c r="D797" s="37" t="n">
        <v>40725</v>
      </c>
      <c r="E797" s="0" t="n">
        <v>2012</v>
      </c>
      <c r="F797" s="0" t="n">
        <v>6</v>
      </c>
      <c r="G797" s="38" t="n">
        <v>6152953.32</v>
      </c>
    </row>
    <row r="798" customFormat="false" ht="15" hidden="false" customHeight="false" outlineLevel="0" collapsed="false">
      <c r="A798" s="0" t="n">
        <v>32</v>
      </c>
      <c r="B798" s="0" t="s">
        <v>60</v>
      </c>
      <c r="C798" s="36" t="n">
        <v>203007</v>
      </c>
      <c r="D798" s="37" t="n">
        <v>40725</v>
      </c>
      <c r="E798" s="0" t="n">
        <v>2012</v>
      </c>
      <c r="F798" s="0" t="n">
        <v>6</v>
      </c>
      <c r="G798" s="38" t="n">
        <v>5124909.51</v>
      </c>
    </row>
    <row r="799" customFormat="false" ht="15" hidden="false" customHeight="false" outlineLevel="0" collapsed="false">
      <c r="A799" s="0" t="n">
        <v>33</v>
      </c>
      <c r="B799" s="0" t="s">
        <v>60</v>
      </c>
      <c r="C799" s="36" t="n">
        <v>39690</v>
      </c>
      <c r="D799" s="37" t="n">
        <v>40725</v>
      </c>
      <c r="E799" s="0" t="n">
        <v>2012</v>
      </c>
      <c r="F799" s="0" t="n">
        <v>6</v>
      </c>
      <c r="G799" s="38" t="n">
        <v>1093102.52</v>
      </c>
    </row>
    <row r="800" customFormat="false" ht="15" hidden="false" customHeight="false" outlineLevel="0" collapsed="false">
      <c r="A800" s="0" t="n">
        <v>34</v>
      </c>
      <c r="B800" s="0" t="s">
        <v>60</v>
      </c>
      <c r="C800" s="36" t="n">
        <v>158114</v>
      </c>
      <c r="D800" s="37" t="n">
        <v>40725</v>
      </c>
      <c r="E800" s="0" t="n">
        <v>2012</v>
      </c>
      <c r="F800" s="0" t="n">
        <v>6</v>
      </c>
      <c r="G800" s="38" t="n">
        <v>3994884.51</v>
      </c>
    </row>
    <row r="801" customFormat="false" ht="15" hidden="false" customHeight="false" outlineLevel="0" collapsed="false">
      <c r="A801" s="0" t="n">
        <v>35</v>
      </c>
      <c r="B801" s="0" t="s">
        <v>62</v>
      </c>
      <c r="C801" s="36" t="n">
        <v>103681</v>
      </c>
      <c r="D801" s="37" t="n">
        <v>40725</v>
      </c>
      <c r="E801" s="0" t="n">
        <v>2012</v>
      </c>
      <c r="F801" s="0" t="n">
        <v>6</v>
      </c>
      <c r="G801" s="38" t="n">
        <v>3593728.51</v>
      </c>
    </row>
    <row r="802" customFormat="false" ht="15" hidden="false" customHeight="false" outlineLevel="0" collapsed="false">
      <c r="A802" s="0" t="n">
        <v>36</v>
      </c>
      <c r="B802" s="0" t="s">
        <v>60</v>
      </c>
      <c r="C802" s="36" t="n">
        <v>39910</v>
      </c>
      <c r="D802" s="37" t="n">
        <v>40725</v>
      </c>
      <c r="E802" s="0" t="n">
        <v>2012</v>
      </c>
      <c r="F802" s="0" t="n">
        <v>6</v>
      </c>
      <c r="G802" s="38" t="n">
        <v>1638240.95</v>
      </c>
    </row>
    <row r="803" customFormat="false" ht="15" hidden="false" customHeight="false" outlineLevel="0" collapsed="false">
      <c r="A803" s="0" t="n">
        <v>37</v>
      </c>
      <c r="B803" s="0" t="s">
        <v>64</v>
      </c>
      <c r="C803" s="36" t="n">
        <v>39910</v>
      </c>
      <c r="D803" s="37" t="n">
        <v>40725</v>
      </c>
      <c r="E803" s="0" t="n">
        <v>2012</v>
      </c>
      <c r="F803" s="0" t="n">
        <v>6</v>
      </c>
      <c r="G803" s="38" t="n">
        <v>2218127.48</v>
      </c>
    </row>
    <row r="804" customFormat="false" ht="15" hidden="false" customHeight="false" outlineLevel="0" collapsed="false">
      <c r="A804" s="0" t="n">
        <v>38</v>
      </c>
      <c r="B804" s="0" t="s">
        <v>64</v>
      </c>
      <c r="C804" s="36" t="n">
        <v>39690</v>
      </c>
      <c r="D804" s="37" t="n">
        <v>40725</v>
      </c>
      <c r="E804" s="0" t="n">
        <v>2012</v>
      </c>
      <c r="F804" s="0" t="n">
        <v>6</v>
      </c>
      <c r="G804" s="38" t="n">
        <v>1667945.86</v>
      </c>
    </row>
    <row r="805" customFormat="false" ht="15" hidden="false" customHeight="false" outlineLevel="0" collapsed="false">
      <c r="A805" s="0" t="n">
        <v>39</v>
      </c>
      <c r="B805" s="0" t="s">
        <v>60</v>
      </c>
      <c r="C805" s="36" t="n">
        <v>184109</v>
      </c>
      <c r="D805" s="37" t="n">
        <v>40725</v>
      </c>
      <c r="E805" s="0" t="n">
        <v>2012</v>
      </c>
      <c r="F805" s="0" t="n">
        <v>6</v>
      </c>
      <c r="G805" s="38" t="n">
        <v>6275447.36</v>
      </c>
    </row>
    <row r="806" customFormat="false" ht="15" hidden="false" customHeight="false" outlineLevel="0" collapsed="false">
      <c r="A806" s="0" t="n">
        <v>40</v>
      </c>
      <c r="B806" s="0" t="s">
        <v>60</v>
      </c>
      <c r="C806" s="36" t="n">
        <v>155083</v>
      </c>
      <c r="D806" s="37" t="n">
        <v>40725</v>
      </c>
      <c r="E806" s="0" t="n">
        <v>2012</v>
      </c>
      <c r="F806" s="0" t="n">
        <v>6</v>
      </c>
      <c r="G806" s="38" t="n">
        <v>4424143.29</v>
      </c>
    </row>
    <row r="807" customFormat="false" ht="15" hidden="false" customHeight="false" outlineLevel="0" collapsed="false">
      <c r="A807" s="0" t="n">
        <v>41</v>
      </c>
      <c r="B807" s="0" t="s">
        <v>60</v>
      </c>
      <c r="C807" s="36" t="n">
        <v>196321</v>
      </c>
      <c r="D807" s="37" t="n">
        <v>40725</v>
      </c>
      <c r="E807" s="0" t="n">
        <v>2012</v>
      </c>
      <c r="F807" s="0" t="n">
        <v>6</v>
      </c>
      <c r="G807" s="38" t="n">
        <v>5716912.74</v>
      </c>
    </row>
    <row r="808" customFormat="false" ht="15" hidden="false" customHeight="false" outlineLevel="0" collapsed="false">
      <c r="A808" s="0" t="n">
        <v>42</v>
      </c>
      <c r="B808" s="0" t="s">
        <v>64</v>
      </c>
      <c r="C808" s="36" t="n">
        <v>39690</v>
      </c>
      <c r="D808" s="37" t="n">
        <v>40725</v>
      </c>
      <c r="E808" s="0" t="n">
        <v>2012</v>
      </c>
      <c r="F808" s="0" t="n">
        <v>6</v>
      </c>
      <c r="G808" s="38" t="n">
        <v>2411446.95</v>
      </c>
    </row>
    <row r="809" customFormat="false" ht="15" hidden="false" customHeight="false" outlineLevel="0" collapsed="false">
      <c r="A809" s="0" t="n">
        <v>43</v>
      </c>
      <c r="B809" s="0" t="s">
        <v>64</v>
      </c>
      <c r="C809" s="36" t="n">
        <v>41062</v>
      </c>
      <c r="D809" s="37" t="n">
        <v>40725</v>
      </c>
      <c r="E809" s="0" t="n">
        <v>2012</v>
      </c>
      <c r="F809" s="0" t="n">
        <v>6</v>
      </c>
      <c r="G809" s="38" t="n">
        <v>2671203.55</v>
      </c>
    </row>
    <row r="810" customFormat="false" ht="15" hidden="false" customHeight="false" outlineLevel="0" collapsed="false">
      <c r="A810" s="0" t="n">
        <v>44</v>
      </c>
      <c r="B810" s="0" t="s">
        <v>64</v>
      </c>
      <c r="C810" s="36" t="n">
        <v>39910</v>
      </c>
      <c r="D810" s="37" t="n">
        <v>40725</v>
      </c>
      <c r="E810" s="0" t="n">
        <v>2012</v>
      </c>
      <c r="F810" s="0" t="n">
        <v>6</v>
      </c>
      <c r="G810" s="38" t="n">
        <v>1297530.87</v>
      </c>
    </row>
    <row r="811" customFormat="false" ht="15" hidden="false" customHeight="false" outlineLevel="0" collapsed="false">
      <c r="A811" s="0" t="n">
        <v>45</v>
      </c>
      <c r="B811" s="0" t="s">
        <v>62</v>
      </c>
      <c r="C811" s="36" t="n">
        <v>118221</v>
      </c>
      <c r="D811" s="37" t="n">
        <v>40725</v>
      </c>
      <c r="E811" s="0" t="n">
        <v>2012</v>
      </c>
      <c r="F811" s="0" t="n">
        <v>6</v>
      </c>
      <c r="G811" s="38" t="n">
        <v>3295386.55</v>
      </c>
    </row>
    <row r="812" customFormat="false" ht="15" hidden="false" customHeight="false" outlineLevel="0" collapsed="false">
      <c r="A812" s="0" t="n">
        <v>1</v>
      </c>
      <c r="B812" s="0" t="s">
        <v>60</v>
      </c>
      <c r="C812" s="36" t="n">
        <v>151315</v>
      </c>
      <c r="D812" s="37" t="n">
        <v>40756</v>
      </c>
      <c r="E812" s="0" t="n">
        <v>2012</v>
      </c>
      <c r="F812" s="0" t="n">
        <v>7</v>
      </c>
      <c r="G812" s="38" t="n">
        <v>6788182.68</v>
      </c>
    </row>
    <row r="813" customFormat="false" ht="15" hidden="false" customHeight="false" outlineLevel="0" collapsed="false">
      <c r="A813" s="0" t="n">
        <v>2</v>
      </c>
      <c r="B813" s="0" t="s">
        <v>60</v>
      </c>
      <c r="C813" s="36" t="n">
        <v>202307</v>
      </c>
      <c r="D813" s="37" t="n">
        <v>40756</v>
      </c>
      <c r="E813" s="0" t="n">
        <v>2012</v>
      </c>
      <c r="F813" s="0" t="n">
        <v>7</v>
      </c>
      <c r="G813" s="38" t="n">
        <v>8110734.15</v>
      </c>
    </row>
    <row r="814" customFormat="false" ht="15" hidden="false" customHeight="false" outlineLevel="0" collapsed="false">
      <c r="A814" s="0" t="n">
        <v>3</v>
      </c>
      <c r="B814" s="0" t="s">
        <v>62</v>
      </c>
      <c r="C814" s="36" t="n">
        <v>37392</v>
      </c>
      <c r="D814" s="37" t="n">
        <v>40756</v>
      </c>
      <c r="E814" s="0" t="n">
        <v>2012</v>
      </c>
      <c r="F814" s="0" t="n">
        <v>7</v>
      </c>
      <c r="G814" s="38" t="n">
        <v>1687868.39</v>
      </c>
    </row>
    <row r="815" customFormat="false" ht="15" hidden="false" customHeight="false" outlineLevel="0" collapsed="false">
      <c r="A815" s="0" t="n">
        <v>4</v>
      </c>
      <c r="B815" s="0" t="s">
        <v>60</v>
      </c>
      <c r="C815" s="36" t="n">
        <v>205863</v>
      </c>
      <c r="D815" s="37" t="n">
        <v>40756</v>
      </c>
      <c r="E815" s="0" t="n">
        <v>2012</v>
      </c>
      <c r="F815" s="0" t="n">
        <v>7</v>
      </c>
      <c r="G815" s="38" t="n">
        <v>9354535.12</v>
      </c>
    </row>
    <row r="816" customFormat="false" ht="15" hidden="false" customHeight="false" outlineLevel="0" collapsed="false">
      <c r="A816" s="0" t="n">
        <v>5</v>
      </c>
      <c r="B816" s="0" t="s">
        <v>62</v>
      </c>
      <c r="C816" s="36" t="n">
        <v>34875</v>
      </c>
      <c r="D816" s="37" t="n">
        <v>40756</v>
      </c>
      <c r="E816" s="0" t="n">
        <v>2012</v>
      </c>
      <c r="F816" s="0" t="n">
        <v>7</v>
      </c>
      <c r="G816" s="38" t="n">
        <v>1356285.35</v>
      </c>
    </row>
    <row r="817" customFormat="false" ht="15" hidden="false" customHeight="false" outlineLevel="0" collapsed="false">
      <c r="A817" s="0" t="n">
        <v>6</v>
      </c>
      <c r="B817" s="0" t="s">
        <v>60</v>
      </c>
      <c r="C817" s="36" t="n">
        <v>202505</v>
      </c>
      <c r="D817" s="37" t="n">
        <v>40756</v>
      </c>
      <c r="E817" s="0" t="n">
        <v>2012</v>
      </c>
      <c r="F817" s="0" t="n">
        <v>7</v>
      </c>
      <c r="G817" s="38" t="n">
        <v>6601232.92</v>
      </c>
    </row>
    <row r="818" customFormat="false" ht="15" hidden="false" customHeight="false" outlineLevel="0" collapsed="false">
      <c r="A818" s="0" t="n">
        <v>7</v>
      </c>
      <c r="B818" s="0" t="s">
        <v>62</v>
      </c>
      <c r="C818" s="36" t="n">
        <v>70713</v>
      </c>
      <c r="D818" s="37" t="n">
        <v>40756</v>
      </c>
      <c r="E818" s="0" t="n">
        <v>2012</v>
      </c>
      <c r="F818" s="0" t="n">
        <v>7</v>
      </c>
      <c r="G818" s="38" t="n">
        <v>2865641.2</v>
      </c>
    </row>
    <row r="819" customFormat="false" ht="15" hidden="false" customHeight="false" outlineLevel="0" collapsed="false">
      <c r="A819" s="0" t="n">
        <v>8</v>
      </c>
      <c r="B819" s="0" t="s">
        <v>60</v>
      </c>
      <c r="C819" s="36" t="n">
        <v>155078</v>
      </c>
      <c r="D819" s="37" t="n">
        <v>40756</v>
      </c>
      <c r="E819" s="0" t="n">
        <v>2012</v>
      </c>
      <c r="F819" s="0" t="n">
        <v>7</v>
      </c>
      <c r="G819" s="38" t="n">
        <v>3938534.65</v>
      </c>
    </row>
    <row r="820" customFormat="false" ht="15" hidden="false" customHeight="false" outlineLevel="0" collapsed="false">
      <c r="A820" s="0" t="n">
        <v>9</v>
      </c>
      <c r="B820" s="0" t="s">
        <v>62</v>
      </c>
      <c r="C820" s="36" t="n">
        <v>125833</v>
      </c>
      <c r="D820" s="37" t="n">
        <v>40756</v>
      </c>
      <c r="E820" s="0" t="n">
        <v>2012</v>
      </c>
      <c r="F820" s="0" t="n">
        <v>7</v>
      </c>
      <c r="G820" s="38" t="n">
        <v>2389141.35</v>
      </c>
    </row>
    <row r="821" customFormat="false" ht="15" hidden="false" customHeight="false" outlineLevel="0" collapsed="false">
      <c r="A821" s="0" t="n">
        <v>10</v>
      </c>
      <c r="B821" s="0" t="s">
        <v>62</v>
      </c>
      <c r="C821" s="36" t="n">
        <v>126512</v>
      </c>
      <c r="D821" s="37" t="n">
        <v>40756</v>
      </c>
      <c r="E821" s="0" t="n">
        <v>2012</v>
      </c>
      <c r="F821" s="0" t="n">
        <v>7</v>
      </c>
      <c r="G821" s="38" t="n">
        <v>8204137.33</v>
      </c>
    </row>
    <row r="822" customFormat="false" ht="15" hidden="false" customHeight="false" outlineLevel="0" collapsed="false">
      <c r="A822" s="0" t="n">
        <v>11</v>
      </c>
      <c r="B822" s="0" t="s">
        <v>60</v>
      </c>
      <c r="C822" s="36" t="n">
        <v>207499</v>
      </c>
      <c r="D822" s="37" t="n">
        <v>40756</v>
      </c>
      <c r="E822" s="0" t="n">
        <v>2012</v>
      </c>
      <c r="F822" s="0" t="n">
        <v>7</v>
      </c>
      <c r="G822" s="38" t="n">
        <v>6072344.43</v>
      </c>
    </row>
    <row r="823" customFormat="false" ht="15" hidden="false" customHeight="false" outlineLevel="0" collapsed="false">
      <c r="A823" s="0" t="n">
        <v>12</v>
      </c>
      <c r="B823" s="0" t="s">
        <v>62</v>
      </c>
      <c r="C823" s="36" t="n">
        <v>112238</v>
      </c>
      <c r="D823" s="37" t="n">
        <v>40756</v>
      </c>
      <c r="E823" s="0" t="n">
        <v>2012</v>
      </c>
      <c r="F823" s="0" t="n">
        <v>7</v>
      </c>
      <c r="G823" s="38" t="n">
        <v>4398012.98</v>
      </c>
    </row>
    <row r="824" customFormat="false" ht="15" hidden="false" customHeight="false" outlineLevel="0" collapsed="false">
      <c r="A824" s="0" t="n">
        <v>13</v>
      </c>
      <c r="B824" s="0" t="s">
        <v>60</v>
      </c>
      <c r="C824" s="36" t="n">
        <v>219622</v>
      </c>
      <c r="D824" s="37" t="n">
        <v>40756</v>
      </c>
      <c r="E824" s="0" t="n">
        <v>2012</v>
      </c>
      <c r="F824" s="0" t="n">
        <v>7</v>
      </c>
      <c r="G824" s="38" t="n">
        <v>8974398.79</v>
      </c>
    </row>
    <row r="825" customFormat="false" ht="15" hidden="false" customHeight="false" outlineLevel="0" collapsed="false">
      <c r="A825" s="0" t="n">
        <v>14</v>
      </c>
      <c r="B825" s="0" t="s">
        <v>60</v>
      </c>
      <c r="C825" s="36" t="n">
        <v>200898</v>
      </c>
      <c r="D825" s="37" t="n">
        <v>40756</v>
      </c>
      <c r="E825" s="0" t="n">
        <v>2012</v>
      </c>
      <c r="F825" s="0" t="n">
        <v>7</v>
      </c>
      <c r="G825" s="38" t="n">
        <v>8825484.21</v>
      </c>
    </row>
    <row r="826" customFormat="false" ht="15" hidden="false" customHeight="false" outlineLevel="0" collapsed="false">
      <c r="A826" s="0" t="n">
        <v>15</v>
      </c>
      <c r="B826" s="0" t="s">
        <v>62</v>
      </c>
      <c r="C826" s="36" t="n">
        <v>123737</v>
      </c>
      <c r="D826" s="37" t="n">
        <v>40756</v>
      </c>
      <c r="E826" s="0" t="n">
        <v>2012</v>
      </c>
      <c r="F826" s="0" t="n">
        <v>7</v>
      </c>
      <c r="G826" s="38" t="n">
        <v>2693682.05</v>
      </c>
    </row>
    <row r="827" customFormat="false" ht="15" hidden="false" customHeight="false" outlineLevel="0" collapsed="false">
      <c r="A827" s="0" t="n">
        <v>16</v>
      </c>
      <c r="B827" s="0" t="s">
        <v>62</v>
      </c>
      <c r="C827" s="36" t="n">
        <v>57197</v>
      </c>
      <c r="D827" s="37" t="n">
        <v>40756</v>
      </c>
      <c r="E827" s="0" t="n">
        <v>2012</v>
      </c>
      <c r="F827" s="0" t="n">
        <v>7</v>
      </c>
      <c r="G827" s="38" t="n">
        <v>2514245.91</v>
      </c>
    </row>
    <row r="828" customFormat="false" ht="15" hidden="false" customHeight="false" outlineLevel="0" collapsed="false">
      <c r="A828" s="0" t="n">
        <v>17</v>
      </c>
      <c r="B828" s="0" t="s">
        <v>62</v>
      </c>
      <c r="C828" s="36" t="n">
        <v>93188</v>
      </c>
      <c r="D828" s="37" t="n">
        <v>40756</v>
      </c>
      <c r="E828" s="0" t="n">
        <v>2012</v>
      </c>
      <c r="F828" s="0" t="n">
        <v>7</v>
      </c>
      <c r="G828" s="38" t="n">
        <v>3659708.56</v>
      </c>
    </row>
    <row r="829" customFormat="false" ht="15" hidden="false" customHeight="false" outlineLevel="0" collapsed="false">
      <c r="A829" s="0" t="n">
        <v>18</v>
      </c>
      <c r="B829" s="0" t="s">
        <v>62</v>
      </c>
      <c r="C829" s="36" t="n">
        <v>120653</v>
      </c>
      <c r="D829" s="37" t="n">
        <v>40756</v>
      </c>
      <c r="E829" s="0" t="n">
        <v>2012</v>
      </c>
      <c r="F829" s="0" t="n">
        <v>7</v>
      </c>
      <c r="G829" s="38" t="n">
        <v>4111720.92</v>
      </c>
    </row>
    <row r="830" customFormat="false" ht="15" hidden="false" customHeight="false" outlineLevel="0" collapsed="false">
      <c r="A830" s="0" t="n">
        <v>19</v>
      </c>
      <c r="B830" s="0" t="s">
        <v>60</v>
      </c>
      <c r="C830" s="36" t="n">
        <v>203819</v>
      </c>
      <c r="D830" s="37" t="n">
        <v>40756</v>
      </c>
      <c r="E830" s="0" t="n">
        <v>2012</v>
      </c>
      <c r="F830" s="0" t="n">
        <v>7</v>
      </c>
      <c r="G830" s="38" t="n">
        <v>6456862.49</v>
      </c>
    </row>
    <row r="831" customFormat="false" ht="15" hidden="false" customHeight="false" outlineLevel="0" collapsed="false">
      <c r="A831" s="0" t="n">
        <v>20</v>
      </c>
      <c r="B831" s="0" t="s">
        <v>60</v>
      </c>
      <c r="C831" s="36" t="n">
        <v>203742</v>
      </c>
      <c r="D831" s="37" t="n">
        <v>40756</v>
      </c>
      <c r="E831" s="0" t="n">
        <v>2012</v>
      </c>
      <c r="F831" s="0" t="n">
        <v>7</v>
      </c>
      <c r="G831" s="38" t="n">
        <v>9069498.41</v>
      </c>
    </row>
    <row r="832" customFormat="false" ht="15" hidden="false" customHeight="false" outlineLevel="0" collapsed="false">
      <c r="A832" s="0" t="n">
        <v>21</v>
      </c>
      <c r="B832" s="0" t="s">
        <v>62</v>
      </c>
      <c r="C832" s="36" t="n">
        <v>140167</v>
      </c>
      <c r="D832" s="37" t="n">
        <v>40756</v>
      </c>
      <c r="E832" s="0" t="n">
        <v>2012</v>
      </c>
      <c r="F832" s="0" t="n">
        <v>7</v>
      </c>
      <c r="G832" s="38" t="n">
        <v>3517302.17</v>
      </c>
    </row>
    <row r="833" customFormat="false" ht="15" hidden="false" customHeight="false" outlineLevel="0" collapsed="false">
      <c r="A833" s="0" t="n">
        <v>22</v>
      </c>
      <c r="B833" s="0" t="s">
        <v>62</v>
      </c>
      <c r="C833" s="36" t="n">
        <v>119557</v>
      </c>
      <c r="D833" s="37" t="n">
        <v>40756</v>
      </c>
      <c r="E833" s="0" t="n">
        <v>2012</v>
      </c>
      <c r="F833" s="0" t="n">
        <v>7</v>
      </c>
      <c r="G833" s="38" t="n">
        <v>4500882.06</v>
      </c>
    </row>
    <row r="834" customFormat="false" ht="15" hidden="false" customHeight="false" outlineLevel="0" collapsed="false">
      <c r="A834" s="0" t="n">
        <v>23</v>
      </c>
      <c r="B834" s="0" t="s">
        <v>62</v>
      </c>
      <c r="C834" s="36" t="n">
        <v>114533</v>
      </c>
      <c r="D834" s="37" t="n">
        <v>40756</v>
      </c>
      <c r="E834" s="0" t="n">
        <v>2012</v>
      </c>
      <c r="F834" s="0" t="n">
        <v>7</v>
      </c>
      <c r="G834" s="38" t="n">
        <v>6529235.15</v>
      </c>
    </row>
    <row r="835" customFormat="false" ht="15" hidden="false" customHeight="false" outlineLevel="0" collapsed="false">
      <c r="A835" s="0" t="n">
        <v>24</v>
      </c>
      <c r="B835" s="0" t="s">
        <v>60</v>
      </c>
      <c r="C835" s="36" t="n">
        <v>203819</v>
      </c>
      <c r="D835" s="37" t="n">
        <v>40756</v>
      </c>
      <c r="E835" s="0" t="n">
        <v>2012</v>
      </c>
      <c r="F835" s="0" t="n">
        <v>7</v>
      </c>
      <c r="G835" s="38" t="n">
        <v>6024174.44</v>
      </c>
    </row>
    <row r="836" customFormat="false" ht="15" hidden="false" customHeight="false" outlineLevel="0" collapsed="false">
      <c r="A836" s="0" t="n">
        <v>25</v>
      </c>
      <c r="B836" s="0" t="s">
        <v>62</v>
      </c>
      <c r="C836" s="36" t="n">
        <v>128107</v>
      </c>
      <c r="D836" s="37" t="n">
        <v>40756</v>
      </c>
      <c r="E836" s="0" t="n">
        <v>2012</v>
      </c>
      <c r="F836" s="0" t="n">
        <v>7</v>
      </c>
      <c r="G836" s="38" t="n">
        <v>3067858.23</v>
      </c>
    </row>
    <row r="837" customFormat="false" ht="15" hidden="false" customHeight="false" outlineLevel="0" collapsed="false">
      <c r="A837" s="0" t="n">
        <v>26</v>
      </c>
      <c r="B837" s="0" t="s">
        <v>60</v>
      </c>
      <c r="C837" s="36" t="n">
        <v>152513</v>
      </c>
      <c r="D837" s="37" t="n">
        <v>40756</v>
      </c>
      <c r="E837" s="0" t="n">
        <v>2012</v>
      </c>
      <c r="F837" s="0" t="n">
        <v>7</v>
      </c>
      <c r="G837" s="38" t="n">
        <v>4708097.15</v>
      </c>
    </row>
    <row r="838" customFormat="false" ht="15" hidden="false" customHeight="false" outlineLevel="0" collapsed="false">
      <c r="A838" s="0" t="n">
        <v>27</v>
      </c>
      <c r="B838" s="0" t="s">
        <v>60</v>
      </c>
      <c r="C838" s="36" t="n">
        <v>204184</v>
      </c>
      <c r="D838" s="37" t="n">
        <v>40756</v>
      </c>
      <c r="E838" s="0" t="n">
        <v>2012</v>
      </c>
      <c r="F838" s="0" t="n">
        <v>7</v>
      </c>
      <c r="G838" s="38" t="n">
        <v>7902606.16</v>
      </c>
    </row>
    <row r="839" customFormat="false" ht="15" hidden="false" customHeight="false" outlineLevel="0" collapsed="false">
      <c r="A839" s="0" t="n">
        <v>28</v>
      </c>
      <c r="B839" s="0" t="s">
        <v>60</v>
      </c>
      <c r="C839" s="36" t="n">
        <v>206302</v>
      </c>
      <c r="D839" s="37" t="n">
        <v>40756</v>
      </c>
      <c r="E839" s="0" t="n">
        <v>2012</v>
      </c>
      <c r="F839" s="0" t="n">
        <v>7</v>
      </c>
      <c r="G839" s="38" t="n">
        <v>5722937.3</v>
      </c>
    </row>
    <row r="840" customFormat="false" ht="15" hidden="false" customHeight="false" outlineLevel="0" collapsed="false">
      <c r="A840" s="0" t="n">
        <v>29</v>
      </c>
      <c r="B840" s="0" t="s">
        <v>62</v>
      </c>
      <c r="C840" s="36" t="n">
        <v>93638</v>
      </c>
      <c r="D840" s="37" t="n">
        <v>40756</v>
      </c>
      <c r="E840" s="0" t="n">
        <v>2012</v>
      </c>
      <c r="F840" s="0" t="n">
        <v>7</v>
      </c>
      <c r="G840" s="38" t="n">
        <v>2292356.94</v>
      </c>
    </row>
    <row r="841" customFormat="false" ht="15" hidden="false" customHeight="false" outlineLevel="0" collapsed="false">
      <c r="A841" s="0" t="n">
        <v>30</v>
      </c>
      <c r="B841" s="0" t="s">
        <v>64</v>
      </c>
      <c r="C841" s="36" t="n">
        <v>42988</v>
      </c>
      <c r="D841" s="37" t="n">
        <v>40756</v>
      </c>
      <c r="E841" s="0" t="n">
        <v>2012</v>
      </c>
      <c r="F841" s="0" t="n">
        <v>7</v>
      </c>
      <c r="G841" s="38" t="n">
        <v>1787135.08</v>
      </c>
    </row>
    <row r="842" customFormat="false" ht="15" hidden="false" customHeight="false" outlineLevel="0" collapsed="false">
      <c r="A842" s="0" t="n">
        <v>31</v>
      </c>
      <c r="B842" s="0" t="s">
        <v>60</v>
      </c>
      <c r="C842" s="36" t="n">
        <v>203750</v>
      </c>
      <c r="D842" s="37" t="n">
        <v>40756</v>
      </c>
      <c r="E842" s="0" t="n">
        <v>2012</v>
      </c>
      <c r="F842" s="0" t="n">
        <v>7</v>
      </c>
      <c r="G842" s="38" t="n">
        <v>6358665.62</v>
      </c>
    </row>
    <row r="843" customFormat="false" ht="15" hidden="false" customHeight="false" outlineLevel="0" collapsed="false">
      <c r="A843" s="0" t="n">
        <v>32</v>
      </c>
      <c r="B843" s="0" t="s">
        <v>60</v>
      </c>
      <c r="C843" s="36" t="n">
        <v>203007</v>
      </c>
      <c r="D843" s="37" t="n">
        <v>40756</v>
      </c>
      <c r="E843" s="0" t="n">
        <v>2012</v>
      </c>
      <c r="F843" s="0" t="n">
        <v>7</v>
      </c>
      <c r="G843" s="38" t="n">
        <v>5293148.88</v>
      </c>
    </row>
    <row r="844" customFormat="false" ht="15" hidden="false" customHeight="false" outlineLevel="0" collapsed="false">
      <c r="A844" s="0" t="n">
        <v>33</v>
      </c>
      <c r="B844" s="0" t="s">
        <v>60</v>
      </c>
      <c r="C844" s="36" t="n">
        <v>39690</v>
      </c>
      <c r="D844" s="37" t="n">
        <v>40756</v>
      </c>
      <c r="E844" s="0" t="n">
        <v>2012</v>
      </c>
      <c r="F844" s="0" t="n">
        <v>7</v>
      </c>
      <c r="G844" s="38" t="n">
        <v>1098628.12</v>
      </c>
    </row>
    <row r="845" customFormat="false" ht="15" hidden="false" customHeight="false" outlineLevel="0" collapsed="false">
      <c r="A845" s="0" t="n">
        <v>34</v>
      </c>
      <c r="B845" s="0" t="s">
        <v>60</v>
      </c>
      <c r="C845" s="36" t="n">
        <v>158114</v>
      </c>
      <c r="D845" s="37" t="n">
        <v>40756</v>
      </c>
      <c r="E845" s="0" t="n">
        <v>2012</v>
      </c>
      <c r="F845" s="0" t="n">
        <v>7</v>
      </c>
      <c r="G845" s="38" t="n">
        <v>4122854.35</v>
      </c>
    </row>
    <row r="846" customFormat="false" ht="15" hidden="false" customHeight="false" outlineLevel="0" collapsed="false">
      <c r="A846" s="0" t="n">
        <v>35</v>
      </c>
      <c r="B846" s="0" t="s">
        <v>62</v>
      </c>
      <c r="C846" s="36" t="n">
        <v>103681</v>
      </c>
      <c r="D846" s="37" t="n">
        <v>40756</v>
      </c>
      <c r="E846" s="0" t="n">
        <v>2012</v>
      </c>
      <c r="F846" s="0" t="n">
        <v>7</v>
      </c>
      <c r="G846" s="38" t="n">
        <v>3708885.55</v>
      </c>
    </row>
    <row r="847" customFormat="false" ht="15" hidden="false" customHeight="false" outlineLevel="0" collapsed="false">
      <c r="A847" s="0" t="n">
        <v>36</v>
      </c>
      <c r="B847" s="0" t="s">
        <v>60</v>
      </c>
      <c r="C847" s="36" t="n">
        <v>39910</v>
      </c>
      <c r="D847" s="37" t="n">
        <v>40756</v>
      </c>
      <c r="E847" s="0" t="n">
        <v>2012</v>
      </c>
      <c r="F847" s="0" t="n">
        <v>7</v>
      </c>
      <c r="G847" s="38" t="n">
        <v>1620773.35</v>
      </c>
    </row>
    <row r="848" customFormat="false" ht="15" hidden="false" customHeight="false" outlineLevel="0" collapsed="false">
      <c r="A848" s="0" t="n">
        <v>37</v>
      </c>
      <c r="B848" s="0" t="s">
        <v>64</v>
      </c>
      <c r="C848" s="36" t="n">
        <v>39910</v>
      </c>
      <c r="D848" s="37" t="n">
        <v>40756</v>
      </c>
      <c r="E848" s="0" t="n">
        <v>2012</v>
      </c>
      <c r="F848" s="0" t="n">
        <v>7</v>
      </c>
      <c r="G848" s="38" t="n">
        <v>2281031.93</v>
      </c>
    </row>
    <row r="849" customFormat="false" ht="15" hidden="false" customHeight="false" outlineLevel="0" collapsed="false">
      <c r="A849" s="0" t="n">
        <v>38</v>
      </c>
      <c r="B849" s="0" t="s">
        <v>64</v>
      </c>
      <c r="C849" s="36" t="n">
        <v>39690</v>
      </c>
      <c r="D849" s="37" t="n">
        <v>40756</v>
      </c>
      <c r="E849" s="0" t="n">
        <v>2012</v>
      </c>
      <c r="F849" s="0" t="n">
        <v>7</v>
      </c>
      <c r="G849" s="38" t="n">
        <v>1726159.13</v>
      </c>
    </row>
    <row r="850" customFormat="false" ht="15" hidden="false" customHeight="false" outlineLevel="0" collapsed="false">
      <c r="A850" s="0" t="n">
        <v>39</v>
      </c>
      <c r="B850" s="0" t="s">
        <v>60</v>
      </c>
      <c r="C850" s="36" t="n">
        <v>184109</v>
      </c>
      <c r="D850" s="37" t="n">
        <v>40756</v>
      </c>
      <c r="E850" s="0" t="n">
        <v>2012</v>
      </c>
      <c r="F850" s="0" t="n">
        <v>7</v>
      </c>
      <c r="G850" s="38" t="n">
        <v>6848364.89</v>
      </c>
    </row>
    <row r="851" customFormat="false" ht="15" hidden="false" customHeight="false" outlineLevel="0" collapsed="false">
      <c r="A851" s="0" t="n">
        <v>40</v>
      </c>
      <c r="B851" s="0" t="s">
        <v>60</v>
      </c>
      <c r="C851" s="36" t="n">
        <v>155083</v>
      </c>
      <c r="D851" s="37" t="n">
        <v>40756</v>
      </c>
      <c r="E851" s="0" t="n">
        <v>2012</v>
      </c>
      <c r="F851" s="0" t="n">
        <v>7</v>
      </c>
      <c r="G851" s="38" t="n">
        <v>4312009.98</v>
      </c>
    </row>
    <row r="852" customFormat="false" ht="15" hidden="false" customHeight="false" outlineLevel="0" collapsed="false">
      <c r="A852" s="0" t="n">
        <v>41</v>
      </c>
      <c r="B852" s="0" t="s">
        <v>60</v>
      </c>
      <c r="C852" s="36" t="n">
        <v>196321</v>
      </c>
      <c r="D852" s="37" t="n">
        <v>40756</v>
      </c>
      <c r="E852" s="0" t="n">
        <v>2012</v>
      </c>
      <c r="F852" s="0" t="n">
        <v>7</v>
      </c>
      <c r="G852" s="38" t="n">
        <v>6017021.33</v>
      </c>
    </row>
    <row r="853" customFormat="false" ht="15" hidden="false" customHeight="false" outlineLevel="0" collapsed="false">
      <c r="A853" s="0" t="n">
        <v>42</v>
      </c>
      <c r="B853" s="0" t="s">
        <v>64</v>
      </c>
      <c r="C853" s="36" t="n">
        <v>39690</v>
      </c>
      <c r="D853" s="37" t="n">
        <v>40756</v>
      </c>
      <c r="E853" s="0" t="n">
        <v>2012</v>
      </c>
      <c r="F853" s="0" t="n">
        <v>7</v>
      </c>
      <c r="G853" s="38" t="n">
        <v>2426172.36</v>
      </c>
    </row>
    <row r="854" customFormat="false" ht="15" hidden="false" customHeight="false" outlineLevel="0" collapsed="false">
      <c r="A854" s="0" t="n">
        <v>43</v>
      </c>
      <c r="B854" s="0" t="s">
        <v>64</v>
      </c>
      <c r="C854" s="36" t="n">
        <v>41062</v>
      </c>
      <c r="D854" s="37" t="n">
        <v>40756</v>
      </c>
      <c r="E854" s="0" t="n">
        <v>2012</v>
      </c>
      <c r="F854" s="0" t="n">
        <v>7</v>
      </c>
      <c r="G854" s="38" t="n">
        <v>2677868.45</v>
      </c>
    </row>
    <row r="855" customFormat="false" ht="15" hidden="false" customHeight="false" outlineLevel="0" collapsed="false">
      <c r="A855" s="0" t="n">
        <v>44</v>
      </c>
      <c r="B855" s="0" t="s">
        <v>64</v>
      </c>
      <c r="C855" s="36" t="n">
        <v>39910</v>
      </c>
      <c r="D855" s="37" t="n">
        <v>40756</v>
      </c>
      <c r="E855" s="0" t="n">
        <v>2012</v>
      </c>
      <c r="F855" s="0" t="n">
        <v>7</v>
      </c>
      <c r="G855" s="38" t="n">
        <v>1339501.24</v>
      </c>
    </row>
    <row r="856" customFormat="false" ht="15" hidden="false" customHeight="false" outlineLevel="0" collapsed="false">
      <c r="A856" s="0" t="n">
        <v>45</v>
      </c>
      <c r="B856" s="0" t="s">
        <v>62</v>
      </c>
      <c r="C856" s="36" t="n">
        <v>118221</v>
      </c>
      <c r="D856" s="37" t="n">
        <v>40756</v>
      </c>
      <c r="E856" s="0" t="n">
        <v>2012</v>
      </c>
      <c r="F856" s="0" t="n">
        <v>7</v>
      </c>
      <c r="G856" s="38" t="n">
        <v>3336579.26</v>
      </c>
    </row>
    <row r="857" customFormat="false" ht="15" hidden="false" customHeight="false" outlineLevel="0" collapsed="false">
      <c r="A857" s="0" t="n">
        <v>1</v>
      </c>
      <c r="B857" s="0" t="s">
        <v>60</v>
      </c>
      <c r="C857" s="36" t="n">
        <v>151315</v>
      </c>
      <c r="D857" s="37" t="n">
        <v>40787</v>
      </c>
      <c r="E857" s="0" t="n">
        <v>2012</v>
      </c>
      <c r="F857" s="0" t="n">
        <v>8</v>
      </c>
      <c r="G857" s="38" t="n">
        <v>6272235.75</v>
      </c>
    </row>
    <row r="858" customFormat="false" ht="15" hidden="false" customHeight="false" outlineLevel="0" collapsed="false">
      <c r="A858" s="0" t="n">
        <v>2</v>
      </c>
      <c r="B858" s="0" t="s">
        <v>60</v>
      </c>
      <c r="C858" s="36" t="n">
        <v>202307</v>
      </c>
      <c r="D858" s="37" t="n">
        <v>40787</v>
      </c>
      <c r="E858" s="0" t="n">
        <v>2012</v>
      </c>
      <c r="F858" s="0" t="n">
        <v>8</v>
      </c>
      <c r="G858" s="38" t="n">
        <v>7276025.73</v>
      </c>
    </row>
    <row r="859" customFormat="false" ht="15" hidden="false" customHeight="false" outlineLevel="0" collapsed="false">
      <c r="A859" s="0" t="n">
        <v>3</v>
      </c>
      <c r="B859" s="0" t="s">
        <v>62</v>
      </c>
      <c r="C859" s="36" t="n">
        <v>37392</v>
      </c>
      <c r="D859" s="37" t="n">
        <v>40787</v>
      </c>
      <c r="E859" s="0" t="n">
        <v>2012</v>
      </c>
      <c r="F859" s="0" t="n">
        <v>8</v>
      </c>
      <c r="G859" s="38" t="n">
        <v>1594129.21</v>
      </c>
    </row>
    <row r="860" customFormat="false" ht="15" hidden="false" customHeight="false" outlineLevel="0" collapsed="false">
      <c r="A860" s="0" t="n">
        <v>4</v>
      </c>
      <c r="B860" s="0" t="s">
        <v>60</v>
      </c>
      <c r="C860" s="36" t="n">
        <v>205863</v>
      </c>
      <c r="D860" s="37" t="n">
        <v>40787</v>
      </c>
      <c r="E860" s="0" t="n">
        <v>2012</v>
      </c>
      <c r="F860" s="0" t="n">
        <v>8</v>
      </c>
      <c r="G860" s="38" t="n">
        <v>8723443.76</v>
      </c>
    </row>
    <row r="861" customFormat="false" ht="15" hidden="false" customHeight="false" outlineLevel="0" collapsed="false">
      <c r="A861" s="0" t="n">
        <v>5</v>
      </c>
      <c r="B861" s="0" t="s">
        <v>62</v>
      </c>
      <c r="C861" s="36" t="n">
        <v>34875</v>
      </c>
      <c r="D861" s="37" t="n">
        <v>40787</v>
      </c>
      <c r="E861" s="0" t="n">
        <v>2012</v>
      </c>
      <c r="F861" s="0" t="n">
        <v>8</v>
      </c>
      <c r="G861" s="38" t="n">
        <v>1273164.75</v>
      </c>
    </row>
    <row r="862" customFormat="false" ht="15" hidden="false" customHeight="false" outlineLevel="0" collapsed="false">
      <c r="A862" s="0" t="n">
        <v>6</v>
      </c>
      <c r="B862" s="0" t="s">
        <v>60</v>
      </c>
      <c r="C862" s="36" t="n">
        <v>202505</v>
      </c>
      <c r="D862" s="37" t="n">
        <v>40787</v>
      </c>
      <c r="E862" s="0" t="n">
        <v>2012</v>
      </c>
      <c r="F862" s="0" t="n">
        <v>8</v>
      </c>
      <c r="G862" s="38" t="n">
        <v>5901898.47</v>
      </c>
    </row>
    <row r="863" customFormat="false" ht="15" hidden="false" customHeight="false" outlineLevel="0" collapsed="false">
      <c r="A863" s="0" t="n">
        <v>7</v>
      </c>
      <c r="B863" s="0" t="s">
        <v>62</v>
      </c>
      <c r="C863" s="36" t="n">
        <v>70713</v>
      </c>
      <c r="D863" s="37" t="n">
        <v>40787</v>
      </c>
      <c r="E863" s="0" t="n">
        <v>2012</v>
      </c>
      <c r="F863" s="0" t="n">
        <v>8</v>
      </c>
      <c r="G863" s="38" t="n">
        <v>2366386.08</v>
      </c>
    </row>
    <row r="864" customFormat="false" ht="15" hidden="false" customHeight="false" outlineLevel="0" collapsed="false">
      <c r="A864" s="0" t="n">
        <v>8</v>
      </c>
      <c r="B864" s="0" t="s">
        <v>60</v>
      </c>
      <c r="C864" s="36" t="n">
        <v>155078</v>
      </c>
      <c r="D864" s="37" t="n">
        <v>40787</v>
      </c>
      <c r="E864" s="0" t="n">
        <v>2012</v>
      </c>
      <c r="F864" s="0" t="n">
        <v>8</v>
      </c>
      <c r="G864" s="38" t="n">
        <v>3589505.59</v>
      </c>
    </row>
    <row r="865" customFormat="false" ht="15" hidden="false" customHeight="false" outlineLevel="0" collapsed="false">
      <c r="A865" s="0" t="n">
        <v>9</v>
      </c>
      <c r="B865" s="0" t="s">
        <v>62</v>
      </c>
      <c r="C865" s="36" t="n">
        <v>125833</v>
      </c>
      <c r="D865" s="37" t="n">
        <v>40787</v>
      </c>
      <c r="E865" s="0" t="n">
        <v>2012</v>
      </c>
      <c r="F865" s="0" t="n">
        <v>8</v>
      </c>
      <c r="G865" s="38" t="n">
        <v>2199982.09</v>
      </c>
    </row>
    <row r="866" customFormat="false" ht="15" hidden="false" customHeight="false" outlineLevel="0" collapsed="false">
      <c r="A866" s="0" t="n">
        <v>10</v>
      </c>
      <c r="B866" s="0" t="s">
        <v>62</v>
      </c>
      <c r="C866" s="36" t="n">
        <v>126512</v>
      </c>
      <c r="D866" s="37" t="n">
        <v>40787</v>
      </c>
      <c r="E866" s="0" t="n">
        <v>2012</v>
      </c>
      <c r="F866" s="0" t="n">
        <v>8</v>
      </c>
      <c r="G866" s="38" t="n">
        <v>7137545.53</v>
      </c>
    </row>
    <row r="867" customFormat="false" ht="15" hidden="false" customHeight="false" outlineLevel="0" collapsed="false">
      <c r="A867" s="0" t="n">
        <v>11</v>
      </c>
      <c r="B867" s="0" t="s">
        <v>60</v>
      </c>
      <c r="C867" s="36" t="n">
        <v>207499</v>
      </c>
      <c r="D867" s="37" t="n">
        <v>40787</v>
      </c>
      <c r="E867" s="0" t="n">
        <v>2012</v>
      </c>
      <c r="F867" s="0" t="n">
        <v>8</v>
      </c>
      <c r="G867" s="38" t="n">
        <v>5317344.76</v>
      </c>
    </row>
    <row r="868" customFormat="false" ht="15" hidden="false" customHeight="false" outlineLevel="0" collapsed="false">
      <c r="A868" s="0" t="n">
        <v>12</v>
      </c>
      <c r="B868" s="0" t="s">
        <v>62</v>
      </c>
      <c r="C868" s="36" t="n">
        <v>112238</v>
      </c>
      <c r="D868" s="37" t="n">
        <v>40787</v>
      </c>
      <c r="E868" s="0" t="n">
        <v>2012</v>
      </c>
      <c r="F868" s="0" t="n">
        <v>8</v>
      </c>
      <c r="G868" s="38" t="n">
        <v>3850821.14</v>
      </c>
    </row>
    <row r="869" customFormat="false" ht="15" hidden="false" customHeight="false" outlineLevel="0" collapsed="false">
      <c r="A869" s="0" t="n">
        <v>13</v>
      </c>
      <c r="B869" s="0" t="s">
        <v>60</v>
      </c>
      <c r="C869" s="36" t="n">
        <v>219622</v>
      </c>
      <c r="D869" s="37" t="n">
        <v>40787</v>
      </c>
      <c r="E869" s="0" t="n">
        <v>2012</v>
      </c>
      <c r="F869" s="0" t="n">
        <v>8</v>
      </c>
      <c r="G869" s="38" t="n">
        <v>8037418.45</v>
      </c>
    </row>
    <row r="870" customFormat="false" ht="15" hidden="false" customHeight="false" outlineLevel="0" collapsed="false">
      <c r="A870" s="0" t="n">
        <v>14</v>
      </c>
      <c r="B870" s="0" t="s">
        <v>60</v>
      </c>
      <c r="C870" s="36" t="n">
        <v>200898</v>
      </c>
      <c r="D870" s="37" t="n">
        <v>40787</v>
      </c>
      <c r="E870" s="0" t="n">
        <v>2012</v>
      </c>
      <c r="F870" s="0" t="n">
        <v>8</v>
      </c>
      <c r="G870" s="38" t="n">
        <v>8249180.45</v>
      </c>
    </row>
    <row r="871" customFormat="false" ht="15" hidden="false" customHeight="false" outlineLevel="0" collapsed="false">
      <c r="A871" s="0" t="n">
        <v>15</v>
      </c>
      <c r="B871" s="0" t="s">
        <v>62</v>
      </c>
      <c r="C871" s="36" t="n">
        <v>123737</v>
      </c>
      <c r="D871" s="37" t="n">
        <v>40787</v>
      </c>
      <c r="E871" s="0" t="n">
        <v>2012</v>
      </c>
      <c r="F871" s="0" t="n">
        <v>8</v>
      </c>
      <c r="G871" s="38" t="n">
        <v>2404988.22</v>
      </c>
    </row>
    <row r="872" customFormat="false" ht="15" hidden="false" customHeight="false" outlineLevel="0" collapsed="false">
      <c r="A872" s="0" t="n">
        <v>16</v>
      </c>
      <c r="B872" s="0" t="s">
        <v>62</v>
      </c>
      <c r="C872" s="36" t="n">
        <v>57197</v>
      </c>
      <c r="D872" s="37" t="n">
        <v>40787</v>
      </c>
      <c r="E872" s="0" t="n">
        <v>2012</v>
      </c>
      <c r="F872" s="0" t="n">
        <v>8</v>
      </c>
      <c r="G872" s="38" t="n">
        <v>2234580.27</v>
      </c>
    </row>
    <row r="873" customFormat="false" ht="15" hidden="false" customHeight="false" outlineLevel="0" collapsed="false">
      <c r="A873" s="0" t="n">
        <v>17</v>
      </c>
      <c r="B873" s="0" t="s">
        <v>62</v>
      </c>
      <c r="C873" s="36" t="n">
        <v>93188</v>
      </c>
      <c r="D873" s="37" t="n">
        <v>40787</v>
      </c>
      <c r="E873" s="0" t="n">
        <v>2012</v>
      </c>
      <c r="F873" s="0" t="n">
        <v>8</v>
      </c>
      <c r="G873" s="38" t="n">
        <v>4218852.08</v>
      </c>
    </row>
    <row r="874" customFormat="false" ht="15" hidden="false" customHeight="false" outlineLevel="0" collapsed="false">
      <c r="A874" s="0" t="n">
        <v>18</v>
      </c>
      <c r="B874" s="0" t="s">
        <v>62</v>
      </c>
      <c r="C874" s="36" t="n">
        <v>120653</v>
      </c>
      <c r="D874" s="37" t="n">
        <v>40787</v>
      </c>
      <c r="E874" s="0" t="n">
        <v>2012</v>
      </c>
      <c r="F874" s="0" t="n">
        <v>8</v>
      </c>
      <c r="G874" s="38" t="n">
        <v>3652235.68</v>
      </c>
    </row>
    <row r="875" customFormat="false" ht="15" hidden="false" customHeight="false" outlineLevel="0" collapsed="false">
      <c r="A875" s="0" t="n">
        <v>19</v>
      </c>
      <c r="B875" s="0" t="s">
        <v>60</v>
      </c>
      <c r="C875" s="36" t="n">
        <v>203819</v>
      </c>
      <c r="D875" s="37" t="n">
        <v>40787</v>
      </c>
      <c r="E875" s="0" t="n">
        <v>2012</v>
      </c>
      <c r="F875" s="0" t="n">
        <v>8</v>
      </c>
      <c r="G875" s="38" t="n">
        <v>6023465.33</v>
      </c>
    </row>
    <row r="876" customFormat="false" ht="15" hidden="false" customHeight="false" outlineLevel="0" collapsed="false">
      <c r="A876" s="0" t="n">
        <v>20</v>
      </c>
      <c r="B876" s="0" t="s">
        <v>60</v>
      </c>
      <c r="C876" s="36" t="n">
        <v>203742</v>
      </c>
      <c r="D876" s="37" t="n">
        <v>40787</v>
      </c>
      <c r="E876" s="0" t="n">
        <v>2012</v>
      </c>
      <c r="F876" s="0" t="n">
        <v>8</v>
      </c>
      <c r="G876" s="38" t="n">
        <v>8475413.14</v>
      </c>
    </row>
    <row r="877" customFormat="false" ht="15" hidden="false" customHeight="false" outlineLevel="0" collapsed="false">
      <c r="A877" s="0" t="n">
        <v>21</v>
      </c>
      <c r="B877" s="0" t="s">
        <v>62</v>
      </c>
      <c r="C877" s="36" t="n">
        <v>140167</v>
      </c>
      <c r="D877" s="37" t="n">
        <v>40787</v>
      </c>
      <c r="E877" s="0" t="n">
        <v>2012</v>
      </c>
      <c r="F877" s="0" t="n">
        <v>8</v>
      </c>
      <c r="G877" s="38" t="n">
        <v>2842987.23</v>
      </c>
    </row>
    <row r="878" customFormat="false" ht="15" hidden="false" customHeight="false" outlineLevel="0" collapsed="false">
      <c r="A878" s="0" t="n">
        <v>22</v>
      </c>
      <c r="B878" s="0" t="s">
        <v>62</v>
      </c>
      <c r="C878" s="36" t="n">
        <v>119557</v>
      </c>
      <c r="D878" s="37" t="n">
        <v>40787</v>
      </c>
      <c r="E878" s="0" t="n">
        <v>2012</v>
      </c>
      <c r="F878" s="0" t="n">
        <v>8</v>
      </c>
      <c r="G878" s="38" t="n">
        <v>4055793.48</v>
      </c>
    </row>
    <row r="879" customFormat="false" ht="15" hidden="false" customHeight="false" outlineLevel="0" collapsed="false">
      <c r="A879" s="0" t="n">
        <v>23</v>
      </c>
      <c r="B879" s="0" t="s">
        <v>62</v>
      </c>
      <c r="C879" s="36" t="n">
        <v>114533</v>
      </c>
      <c r="D879" s="37" t="n">
        <v>40787</v>
      </c>
      <c r="E879" s="0" t="n">
        <v>2012</v>
      </c>
      <c r="F879" s="0" t="n">
        <v>8</v>
      </c>
      <c r="G879" s="38" t="n">
        <v>5659669.92</v>
      </c>
    </row>
    <row r="880" customFormat="false" ht="15" hidden="false" customHeight="false" outlineLevel="0" collapsed="false">
      <c r="A880" s="0" t="n">
        <v>24</v>
      </c>
      <c r="B880" s="0" t="s">
        <v>60</v>
      </c>
      <c r="C880" s="36" t="n">
        <v>203819</v>
      </c>
      <c r="D880" s="37" t="n">
        <v>40787</v>
      </c>
      <c r="E880" s="0" t="n">
        <v>2012</v>
      </c>
      <c r="F880" s="0" t="n">
        <v>8</v>
      </c>
      <c r="G880" s="38" t="n">
        <v>5575354.64</v>
      </c>
    </row>
    <row r="881" customFormat="false" ht="15" hidden="false" customHeight="false" outlineLevel="0" collapsed="false">
      <c r="A881" s="0" t="n">
        <v>25</v>
      </c>
      <c r="B881" s="0" t="s">
        <v>62</v>
      </c>
      <c r="C881" s="36" t="n">
        <v>128107</v>
      </c>
      <c r="D881" s="37" t="n">
        <v>40787</v>
      </c>
      <c r="E881" s="0" t="n">
        <v>2012</v>
      </c>
      <c r="F881" s="0" t="n">
        <v>8</v>
      </c>
      <c r="G881" s="38" t="n">
        <v>2761951.94</v>
      </c>
    </row>
    <row r="882" customFormat="false" ht="15" hidden="false" customHeight="false" outlineLevel="0" collapsed="false">
      <c r="A882" s="0" t="n">
        <v>26</v>
      </c>
      <c r="B882" s="0" t="s">
        <v>60</v>
      </c>
      <c r="C882" s="36" t="n">
        <v>152513</v>
      </c>
      <c r="D882" s="37" t="n">
        <v>40787</v>
      </c>
      <c r="E882" s="0" t="n">
        <v>2012</v>
      </c>
      <c r="F882" s="0" t="n">
        <v>8</v>
      </c>
      <c r="G882" s="38" t="n">
        <v>4201448.69</v>
      </c>
    </row>
    <row r="883" customFormat="false" ht="15" hidden="false" customHeight="false" outlineLevel="0" collapsed="false">
      <c r="A883" s="0" t="n">
        <v>27</v>
      </c>
      <c r="B883" s="0" t="s">
        <v>60</v>
      </c>
      <c r="C883" s="36" t="n">
        <v>204184</v>
      </c>
      <c r="D883" s="37" t="n">
        <v>40787</v>
      </c>
      <c r="E883" s="0" t="n">
        <v>2012</v>
      </c>
      <c r="F883" s="0" t="n">
        <v>8</v>
      </c>
      <c r="G883" s="38" t="n">
        <v>7162998.96</v>
      </c>
    </row>
    <row r="884" customFormat="false" ht="15" hidden="false" customHeight="false" outlineLevel="0" collapsed="false">
      <c r="A884" s="0" t="n">
        <v>28</v>
      </c>
      <c r="B884" s="0" t="s">
        <v>60</v>
      </c>
      <c r="C884" s="36" t="n">
        <v>206302</v>
      </c>
      <c r="D884" s="37" t="n">
        <v>40787</v>
      </c>
      <c r="E884" s="0" t="n">
        <v>2012</v>
      </c>
      <c r="F884" s="0" t="n">
        <v>8</v>
      </c>
      <c r="G884" s="38" t="n">
        <v>5118814.35</v>
      </c>
    </row>
    <row r="885" customFormat="false" ht="15" hidden="false" customHeight="false" outlineLevel="0" collapsed="false">
      <c r="A885" s="0" t="n">
        <v>29</v>
      </c>
      <c r="B885" s="0" t="s">
        <v>62</v>
      </c>
      <c r="C885" s="36" t="n">
        <v>93638</v>
      </c>
      <c r="D885" s="37" t="n">
        <v>40787</v>
      </c>
      <c r="E885" s="0" t="n">
        <v>2012</v>
      </c>
      <c r="F885" s="0" t="n">
        <v>8</v>
      </c>
      <c r="G885" s="38" t="n">
        <v>2043773.24</v>
      </c>
    </row>
    <row r="886" customFormat="false" ht="15" hidden="false" customHeight="false" outlineLevel="0" collapsed="false">
      <c r="A886" s="0" t="n">
        <v>30</v>
      </c>
      <c r="B886" s="0" t="s">
        <v>64</v>
      </c>
      <c r="C886" s="36" t="n">
        <v>42988</v>
      </c>
      <c r="D886" s="37" t="n">
        <v>40787</v>
      </c>
      <c r="E886" s="0" t="n">
        <v>2012</v>
      </c>
      <c r="F886" s="0" t="n">
        <v>8</v>
      </c>
      <c r="G886" s="38" t="n">
        <v>1638286.12</v>
      </c>
    </row>
    <row r="887" customFormat="false" ht="15" hidden="false" customHeight="false" outlineLevel="0" collapsed="false">
      <c r="A887" s="0" t="n">
        <v>31</v>
      </c>
      <c r="B887" s="0" t="s">
        <v>60</v>
      </c>
      <c r="C887" s="36" t="n">
        <v>203750</v>
      </c>
      <c r="D887" s="37" t="n">
        <v>40787</v>
      </c>
      <c r="E887" s="0" t="n">
        <v>2012</v>
      </c>
      <c r="F887" s="0" t="n">
        <v>8</v>
      </c>
      <c r="G887" s="38" t="n">
        <v>5769207.58</v>
      </c>
    </row>
    <row r="888" customFormat="false" ht="15" hidden="false" customHeight="false" outlineLevel="0" collapsed="false">
      <c r="A888" s="0" t="n">
        <v>32</v>
      </c>
      <c r="B888" s="0" t="s">
        <v>60</v>
      </c>
      <c r="C888" s="36" t="n">
        <v>203007</v>
      </c>
      <c r="D888" s="37" t="n">
        <v>40787</v>
      </c>
      <c r="E888" s="0" t="n">
        <v>2012</v>
      </c>
      <c r="F888" s="0" t="n">
        <v>8</v>
      </c>
      <c r="G888" s="38" t="n">
        <v>4804997.25</v>
      </c>
    </row>
    <row r="889" customFormat="false" ht="15" hidden="false" customHeight="false" outlineLevel="0" collapsed="false">
      <c r="A889" s="0" t="n">
        <v>33</v>
      </c>
      <c r="B889" s="0" t="s">
        <v>60</v>
      </c>
      <c r="C889" s="36" t="n">
        <v>39690</v>
      </c>
      <c r="D889" s="37" t="n">
        <v>40787</v>
      </c>
      <c r="E889" s="0" t="n">
        <v>2012</v>
      </c>
      <c r="F889" s="0" t="n">
        <v>8</v>
      </c>
      <c r="G889" s="38" t="n">
        <v>1077117.33</v>
      </c>
    </row>
    <row r="890" customFormat="false" ht="15" hidden="false" customHeight="false" outlineLevel="0" collapsed="false">
      <c r="A890" s="0" t="n">
        <v>34</v>
      </c>
      <c r="B890" s="0" t="s">
        <v>60</v>
      </c>
      <c r="C890" s="36" t="n">
        <v>158114</v>
      </c>
      <c r="D890" s="37" t="n">
        <v>40787</v>
      </c>
      <c r="E890" s="0" t="n">
        <v>2012</v>
      </c>
      <c r="F890" s="0" t="n">
        <v>8</v>
      </c>
      <c r="G890" s="38" t="n">
        <v>3897157.9</v>
      </c>
    </row>
    <row r="891" customFormat="false" ht="15" hidden="false" customHeight="false" outlineLevel="0" collapsed="false">
      <c r="A891" s="0" t="n">
        <v>35</v>
      </c>
      <c r="B891" s="0" t="s">
        <v>62</v>
      </c>
      <c r="C891" s="36" t="n">
        <v>103681</v>
      </c>
      <c r="D891" s="37" t="n">
        <v>40787</v>
      </c>
      <c r="E891" s="0" t="n">
        <v>2012</v>
      </c>
      <c r="F891" s="0" t="n">
        <v>8</v>
      </c>
      <c r="G891" s="38" t="n">
        <v>3349136.92</v>
      </c>
    </row>
    <row r="892" customFormat="false" ht="15" hidden="false" customHeight="false" outlineLevel="0" collapsed="false">
      <c r="A892" s="0" t="n">
        <v>36</v>
      </c>
      <c r="B892" s="0" t="s">
        <v>60</v>
      </c>
      <c r="C892" s="36" t="n">
        <v>39910</v>
      </c>
      <c r="D892" s="37" t="n">
        <v>40787</v>
      </c>
      <c r="E892" s="0" t="n">
        <v>2012</v>
      </c>
      <c r="F892" s="0" t="n">
        <v>8</v>
      </c>
      <c r="G892" s="38" t="n">
        <v>1433463.18</v>
      </c>
    </row>
    <row r="893" customFormat="false" ht="15" hidden="false" customHeight="false" outlineLevel="0" collapsed="false">
      <c r="A893" s="0" t="n">
        <v>37</v>
      </c>
      <c r="B893" s="0" t="s">
        <v>64</v>
      </c>
      <c r="C893" s="36" t="n">
        <v>39910</v>
      </c>
      <c r="D893" s="37" t="n">
        <v>40787</v>
      </c>
      <c r="E893" s="0" t="n">
        <v>2012</v>
      </c>
      <c r="F893" s="0" t="n">
        <v>8</v>
      </c>
      <c r="G893" s="38" t="n">
        <v>2204108.38</v>
      </c>
    </row>
    <row r="894" customFormat="false" ht="15" hidden="false" customHeight="false" outlineLevel="0" collapsed="false">
      <c r="A894" s="0" t="n">
        <v>38</v>
      </c>
      <c r="B894" s="0" t="s">
        <v>64</v>
      </c>
      <c r="C894" s="36" t="n">
        <v>39690</v>
      </c>
      <c r="D894" s="37" t="n">
        <v>40787</v>
      </c>
      <c r="E894" s="0" t="n">
        <v>2012</v>
      </c>
      <c r="F894" s="0" t="n">
        <v>8</v>
      </c>
      <c r="G894" s="38" t="n">
        <v>1686575.27</v>
      </c>
    </row>
    <row r="895" customFormat="false" ht="15" hidden="false" customHeight="false" outlineLevel="0" collapsed="false">
      <c r="A895" s="0" t="n">
        <v>39</v>
      </c>
      <c r="B895" s="0" t="s">
        <v>60</v>
      </c>
      <c r="C895" s="36" t="n">
        <v>184109</v>
      </c>
      <c r="D895" s="37" t="n">
        <v>40787</v>
      </c>
      <c r="E895" s="0" t="n">
        <v>2012</v>
      </c>
      <c r="F895" s="0" t="n">
        <v>8</v>
      </c>
      <c r="G895" s="38" t="n">
        <v>5870877.39</v>
      </c>
    </row>
    <row r="896" customFormat="false" ht="15" hidden="false" customHeight="false" outlineLevel="0" collapsed="false">
      <c r="A896" s="0" t="n">
        <v>40</v>
      </c>
      <c r="B896" s="0" t="s">
        <v>60</v>
      </c>
      <c r="C896" s="36" t="n">
        <v>155083</v>
      </c>
      <c r="D896" s="37" t="n">
        <v>40787</v>
      </c>
      <c r="E896" s="0" t="n">
        <v>2012</v>
      </c>
      <c r="F896" s="0" t="n">
        <v>8</v>
      </c>
      <c r="G896" s="38" t="n">
        <v>3975008.62</v>
      </c>
    </row>
    <row r="897" customFormat="false" ht="15" hidden="false" customHeight="false" outlineLevel="0" collapsed="false">
      <c r="A897" s="0" t="n">
        <v>41</v>
      </c>
      <c r="B897" s="0" t="s">
        <v>60</v>
      </c>
      <c r="C897" s="36" t="n">
        <v>196321</v>
      </c>
      <c r="D897" s="37" t="n">
        <v>40787</v>
      </c>
      <c r="E897" s="0" t="n">
        <v>2012</v>
      </c>
      <c r="F897" s="0" t="n">
        <v>8</v>
      </c>
      <c r="G897" s="38" t="n">
        <v>5178471.88</v>
      </c>
    </row>
    <row r="898" customFormat="false" ht="15" hidden="false" customHeight="false" outlineLevel="0" collapsed="false">
      <c r="A898" s="0" t="n">
        <v>42</v>
      </c>
      <c r="B898" s="0" t="s">
        <v>64</v>
      </c>
      <c r="C898" s="36" t="n">
        <v>39690</v>
      </c>
      <c r="D898" s="37" t="n">
        <v>40787</v>
      </c>
      <c r="E898" s="0" t="n">
        <v>2012</v>
      </c>
      <c r="F898" s="0" t="n">
        <v>8</v>
      </c>
      <c r="G898" s="38" t="n">
        <v>2377422.5</v>
      </c>
    </row>
    <row r="899" customFormat="false" ht="15" hidden="false" customHeight="false" outlineLevel="0" collapsed="false">
      <c r="A899" s="0" t="n">
        <v>43</v>
      </c>
      <c r="B899" s="0" t="s">
        <v>64</v>
      </c>
      <c r="C899" s="36" t="n">
        <v>41062</v>
      </c>
      <c r="D899" s="37" t="n">
        <v>40787</v>
      </c>
      <c r="E899" s="0" t="n">
        <v>2012</v>
      </c>
      <c r="F899" s="0" t="n">
        <v>8</v>
      </c>
      <c r="G899" s="38" t="n">
        <v>2579075.74</v>
      </c>
    </row>
    <row r="900" customFormat="false" ht="15" hidden="false" customHeight="false" outlineLevel="0" collapsed="false">
      <c r="A900" s="0" t="n">
        <v>44</v>
      </c>
      <c r="B900" s="0" t="s">
        <v>64</v>
      </c>
      <c r="C900" s="36" t="n">
        <v>39910</v>
      </c>
      <c r="D900" s="37" t="n">
        <v>40787</v>
      </c>
      <c r="E900" s="0" t="n">
        <v>2012</v>
      </c>
      <c r="F900" s="0" t="n">
        <v>8</v>
      </c>
      <c r="G900" s="38" t="n">
        <v>1295393.44</v>
      </c>
    </row>
    <row r="901" customFormat="false" ht="15" hidden="false" customHeight="false" outlineLevel="0" collapsed="false">
      <c r="A901" s="0" t="n">
        <v>45</v>
      </c>
      <c r="B901" s="0" t="s">
        <v>62</v>
      </c>
      <c r="C901" s="36" t="n">
        <v>118221</v>
      </c>
      <c r="D901" s="37" t="n">
        <v>40787</v>
      </c>
      <c r="E901" s="0" t="n">
        <v>2012</v>
      </c>
      <c r="F901" s="0" t="n">
        <v>8</v>
      </c>
      <c r="G901" s="38" t="n">
        <v>3078156.28</v>
      </c>
    </row>
    <row r="902" customFormat="false" ht="15" hidden="false" customHeight="false" outlineLevel="0" collapsed="false">
      <c r="A902" s="0" t="n">
        <v>1</v>
      </c>
      <c r="B902" s="0" t="s">
        <v>60</v>
      </c>
      <c r="C902" s="36" t="n">
        <v>151315</v>
      </c>
      <c r="D902" s="37" t="n">
        <v>40817</v>
      </c>
      <c r="E902" s="0" t="n">
        <v>2012</v>
      </c>
      <c r="F902" s="0" t="n">
        <v>9</v>
      </c>
      <c r="G902" s="38" t="n">
        <v>6799711.87</v>
      </c>
    </row>
    <row r="903" customFormat="false" ht="15" hidden="false" customHeight="false" outlineLevel="0" collapsed="false">
      <c r="A903" s="0" t="n">
        <v>2</v>
      </c>
      <c r="B903" s="0" t="s">
        <v>60</v>
      </c>
      <c r="C903" s="36" t="n">
        <v>202307</v>
      </c>
      <c r="D903" s="37" t="n">
        <v>40817</v>
      </c>
      <c r="E903" s="0" t="n">
        <v>2012</v>
      </c>
      <c r="F903" s="0" t="n">
        <v>9</v>
      </c>
      <c r="G903" s="38" t="n">
        <v>8025286.92</v>
      </c>
    </row>
    <row r="904" customFormat="false" ht="15" hidden="false" customHeight="false" outlineLevel="0" collapsed="false">
      <c r="A904" s="0" t="n">
        <v>3</v>
      </c>
      <c r="B904" s="0" t="s">
        <v>62</v>
      </c>
      <c r="C904" s="36" t="n">
        <v>37392</v>
      </c>
      <c r="D904" s="37" t="n">
        <v>40817</v>
      </c>
      <c r="E904" s="0" t="n">
        <v>2012</v>
      </c>
      <c r="F904" s="0" t="n">
        <v>9</v>
      </c>
      <c r="G904" s="38" t="n">
        <v>1753046.18</v>
      </c>
    </row>
    <row r="905" customFormat="false" ht="15" hidden="false" customHeight="false" outlineLevel="0" collapsed="false">
      <c r="A905" s="0" t="n">
        <v>4</v>
      </c>
      <c r="B905" s="0" t="s">
        <v>60</v>
      </c>
      <c r="C905" s="36" t="n">
        <v>205863</v>
      </c>
      <c r="D905" s="37" t="n">
        <v>40817</v>
      </c>
      <c r="E905" s="0" t="n">
        <v>2012</v>
      </c>
      <c r="F905" s="0" t="n">
        <v>9</v>
      </c>
      <c r="G905" s="38" t="n">
        <v>9578352.8</v>
      </c>
    </row>
    <row r="906" customFormat="false" ht="15" hidden="false" customHeight="false" outlineLevel="0" collapsed="false">
      <c r="A906" s="0" t="n">
        <v>5</v>
      </c>
      <c r="B906" s="0" t="s">
        <v>62</v>
      </c>
      <c r="C906" s="36" t="n">
        <v>34875</v>
      </c>
      <c r="D906" s="37" t="n">
        <v>40817</v>
      </c>
      <c r="E906" s="0" t="n">
        <v>2012</v>
      </c>
      <c r="F906" s="0" t="n">
        <v>9</v>
      </c>
      <c r="G906" s="38" t="n">
        <v>1359898.69</v>
      </c>
    </row>
    <row r="907" customFormat="false" ht="15" hidden="false" customHeight="false" outlineLevel="0" collapsed="false">
      <c r="A907" s="0" t="n">
        <v>6</v>
      </c>
      <c r="B907" s="0" t="s">
        <v>60</v>
      </c>
      <c r="C907" s="36" t="n">
        <v>202505</v>
      </c>
      <c r="D907" s="37" t="n">
        <v>40817</v>
      </c>
      <c r="E907" s="0" t="n">
        <v>2012</v>
      </c>
      <c r="F907" s="0" t="n">
        <v>9</v>
      </c>
      <c r="G907" s="38" t="n">
        <v>6358522.13</v>
      </c>
    </row>
    <row r="908" customFormat="false" ht="15" hidden="false" customHeight="false" outlineLevel="0" collapsed="false">
      <c r="A908" s="0" t="n">
        <v>7</v>
      </c>
      <c r="B908" s="0" t="s">
        <v>62</v>
      </c>
      <c r="C908" s="36" t="n">
        <v>70713</v>
      </c>
      <c r="D908" s="37" t="n">
        <v>40817</v>
      </c>
      <c r="E908" s="0" t="n">
        <v>2012</v>
      </c>
      <c r="F908" s="0" t="n">
        <v>9</v>
      </c>
      <c r="G908" s="38" t="n">
        <v>2355800.56</v>
      </c>
    </row>
    <row r="909" customFormat="false" ht="15" hidden="false" customHeight="false" outlineLevel="0" collapsed="false">
      <c r="A909" s="0" t="n">
        <v>8</v>
      </c>
      <c r="B909" s="0" t="s">
        <v>60</v>
      </c>
      <c r="C909" s="36" t="n">
        <v>155078</v>
      </c>
      <c r="D909" s="37" t="n">
        <v>40817</v>
      </c>
      <c r="E909" s="0" t="n">
        <v>2012</v>
      </c>
      <c r="F909" s="0" t="n">
        <v>9</v>
      </c>
      <c r="G909" s="38" t="n">
        <v>3982068.09</v>
      </c>
    </row>
    <row r="910" customFormat="false" ht="15" hidden="false" customHeight="false" outlineLevel="0" collapsed="false">
      <c r="A910" s="0" t="n">
        <v>9</v>
      </c>
      <c r="B910" s="0" t="s">
        <v>62</v>
      </c>
      <c r="C910" s="36" t="n">
        <v>125833</v>
      </c>
      <c r="D910" s="37" t="n">
        <v>40817</v>
      </c>
      <c r="E910" s="0" t="n">
        <v>2012</v>
      </c>
      <c r="F910" s="0" t="n">
        <v>9</v>
      </c>
      <c r="G910" s="38" t="n">
        <v>2445178.92</v>
      </c>
    </row>
    <row r="911" customFormat="false" ht="15" hidden="false" customHeight="false" outlineLevel="0" collapsed="false">
      <c r="A911" s="0" t="n">
        <v>10</v>
      </c>
      <c r="B911" s="0" t="s">
        <v>62</v>
      </c>
      <c r="C911" s="36" t="n">
        <v>126512</v>
      </c>
      <c r="D911" s="37" t="n">
        <v>40817</v>
      </c>
      <c r="E911" s="0" t="n">
        <v>2012</v>
      </c>
      <c r="F911" s="0" t="n">
        <v>9</v>
      </c>
      <c r="G911" s="38" t="n">
        <v>7826890.14</v>
      </c>
    </row>
    <row r="912" customFormat="false" ht="15" hidden="false" customHeight="false" outlineLevel="0" collapsed="false">
      <c r="A912" s="0" t="n">
        <v>11</v>
      </c>
      <c r="B912" s="0" t="s">
        <v>60</v>
      </c>
      <c r="C912" s="36" t="n">
        <v>207499</v>
      </c>
      <c r="D912" s="37" t="n">
        <v>40817</v>
      </c>
      <c r="E912" s="0" t="n">
        <v>2012</v>
      </c>
      <c r="F912" s="0" t="n">
        <v>9</v>
      </c>
      <c r="G912" s="38" t="n">
        <v>5893431.92</v>
      </c>
    </row>
    <row r="913" customFormat="false" ht="15" hidden="false" customHeight="false" outlineLevel="0" collapsed="false">
      <c r="A913" s="0" t="n">
        <v>12</v>
      </c>
      <c r="B913" s="0" t="s">
        <v>62</v>
      </c>
      <c r="C913" s="36" t="n">
        <v>112238</v>
      </c>
      <c r="D913" s="37" t="n">
        <v>40817</v>
      </c>
      <c r="E913" s="0" t="n">
        <v>2012</v>
      </c>
      <c r="F913" s="0" t="n">
        <v>9</v>
      </c>
      <c r="G913" s="38" t="n">
        <v>4259209.13</v>
      </c>
    </row>
    <row r="914" customFormat="false" ht="15" hidden="false" customHeight="false" outlineLevel="0" collapsed="false">
      <c r="A914" s="0" t="n">
        <v>13</v>
      </c>
      <c r="B914" s="0" t="s">
        <v>60</v>
      </c>
      <c r="C914" s="36" t="n">
        <v>219622</v>
      </c>
      <c r="D914" s="37" t="n">
        <v>40817</v>
      </c>
      <c r="E914" s="0" t="n">
        <v>2012</v>
      </c>
      <c r="F914" s="0" t="n">
        <v>9</v>
      </c>
      <c r="G914" s="38" t="n">
        <v>8791877.24</v>
      </c>
    </row>
    <row r="915" customFormat="false" ht="15" hidden="false" customHeight="false" outlineLevel="0" collapsed="false">
      <c r="A915" s="0" t="n">
        <v>14</v>
      </c>
      <c r="B915" s="0" t="s">
        <v>60</v>
      </c>
      <c r="C915" s="36" t="n">
        <v>200898</v>
      </c>
      <c r="D915" s="37" t="n">
        <v>40817</v>
      </c>
      <c r="E915" s="0" t="n">
        <v>2012</v>
      </c>
      <c r="F915" s="0" t="n">
        <v>9</v>
      </c>
      <c r="G915" s="38" t="n">
        <v>8967256.83</v>
      </c>
    </row>
    <row r="916" customFormat="false" ht="15" hidden="false" customHeight="false" outlineLevel="0" collapsed="false">
      <c r="A916" s="0" t="n">
        <v>15</v>
      </c>
      <c r="B916" s="0" t="s">
        <v>62</v>
      </c>
      <c r="C916" s="36" t="n">
        <v>123737</v>
      </c>
      <c r="D916" s="37" t="n">
        <v>40817</v>
      </c>
      <c r="E916" s="0" t="n">
        <v>2012</v>
      </c>
      <c r="F916" s="0" t="n">
        <v>9</v>
      </c>
      <c r="G916" s="38" t="n">
        <v>2573155.03</v>
      </c>
    </row>
    <row r="917" customFormat="false" ht="15" hidden="false" customHeight="false" outlineLevel="0" collapsed="false">
      <c r="A917" s="0" t="n">
        <v>16</v>
      </c>
      <c r="B917" s="0" t="s">
        <v>62</v>
      </c>
      <c r="C917" s="36" t="n">
        <v>57197</v>
      </c>
      <c r="D917" s="37" t="n">
        <v>40817</v>
      </c>
      <c r="E917" s="0" t="n">
        <v>2012</v>
      </c>
      <c r="F917" s="0" t="n">
        <v>9</v>
      </c>
      <c r="G917" s="38" t="n">
        <v>2266216.05</v>
      </c>
    </row>
    <row r="918" customFormat="false" ht="15" hidden="false" customHeight="false" outlineLevel="0" collapsed="false">
      <c r="A918" s="0" t="n">
        <v>17</v>
      </c>
      <c r="B918" s="0" t="s">
        <v>62</v>
      </c>
      <c r="C918" s="36" t="n">
        <v>93188</v>
      </c>
      <c r="D918" s="37" t="n">
        <v>40817</v>
      </c>
      <c r="E918" s="0" t="n">
        <v>2012</v>
      </c>
      <c r="F918" s="0" t="n">
        <v>9</v>
      </c>
      <c r="G918" s="38" t="n">
        <v>4013505.75</v>
      </c>
    </row>
    <row r="919" customFormat="false" ht="15" hidden="false" customHeight="false" outlineLevel="0" collapsed="false">
      <c r="A919" s="0" t="n">
        <v>18</v>
      </c>
      <c r="B919" s="0" t="s">
        <v>62</v>
      </c>
      <c r="C919" s="36" t="n">
        <v>120653</v>
      </c>
      <c r="D919" s="37" t="n">
        <v>40817</v>
      </c>
      <c r="E919" s="0" t="n">
        <v>2012</v>
      </c>
      <c r="F919" s="0" t="n">
        <v>9</v>
      </c>
      <c r="G919" s="38" t="n">
        <v>4599826.77</v>
      </c>
    </row>
    <row r="920" customFormat="false" ht="15" hidden="false" customHeight="false" outlineLevel="0" collapsed="false">
      <c r="A920" s="0" t="n">
        <v>19</v>
      </c>
      <c r="B920" s="0" t="s">
        <v>60</v>
      </c>
      <c r="C920" s="36" t="n">
        <v>203819</v>
      </c>
      <c r="D920" s="37" t="n">
        <v>40817</v>
      </c>
      <c r="E920" s="0" t="n">
        <v>2012</v>
      </c>
      <c r="F920" s="0" t="n">
        <v>9</v>
      </c>
      <c r="G920" s="38" t="n">
        <v>6186509.66</v>
      </c>
    </row>
    <row r="921" customFormat="false" ht="15" hidden="false" customHeight="false" outlineLevel="0" collapsed="false">
      <c r="A921" s="0" t="n">
        <v>20</v>
      </c>
      <c r="B921" s="0" t="s">
        <v>60</v>
      </c>
      <c r="C921" s="36" t="n">
        <v>203742</v>
      </c>
      <c r="D921" s="37" t="n">
        <v>40817</v>
      </c>
      <c r="E921" s="0" t="n">
        <v>2012</v>
      </c>
      <c r="F921" s="0" t="n">
        <v>9</v>
      </c>
      <c r="G921" s="38" t="n">
        <v>9294656.69</v>
      </c>
    </row>
    <row r="922" customFormat="false" ht="15" hidden="false" customHeight="false" outlineLevel="0" collapsed="false">
      <c r="A922" s="0" t="n">
        <v>21</v>
      </c>
      <c r="B922" s="0" t="s">
        <v>62</v>
      </c>
      <c r="C922" s="36" t="n">
        <v>140167</v>
      </c>
      <c r="D922" s="37" t="n">
        <v>40817</v>
      </c>
      <c r="E922" s="0" t="n">
        <v>2012</v>
      </c>
      <c r="F922" s="0" t="n">
        <v>9</v>
      </c>
      <c r="G922" s="38" t="n">
        <v>3131547.83</v>
      </c>
    </row>
    <row r="923" customFormat="false" ht="15" hidden="false" customHeight="false" outlineLevel="0" collapsed="false">
      <c r="A923" s="0" t="n">
        <v>22</v>
      </c>
      <c r="B923" s="0" t="s">
        <v>62</v>
      </c>
      <c r="C923" s="36" t="n">
        <v>119557</v>
      </c>
      <c r="D923" s="37" t="n">
        <v>40817</v>
      </c>
      <c r="E923" s="0" t="n">
        <v>2012</v>
      </c>
      <c r="F923" s="0" t="n">
        <v>9</v>
      </c>
      <c r="G923" s="38" t="n">
        <v>4492939.6</v>
      </c>
    </row>
    <row r="924" customFormat="false" ht="15" hidden="false" customHeight="false" outlineLevel="0" collapsed="false">
      <c r="A924" s="0" t="n">
        <v>23</v>
      </c>
      <c r="B924" s="0" t="s">
        <v>62</v>
      </c>
      <c r="C924" s="36" t="n">
        <v>114533</v>
      </c>
      <c r="D924" s="37" t="n">
        <v>40817</v>
      </c>
      <c r="E924" s="0" t="n">
        <v>2012</v>
      </c>
      <c r="F924" s="0" t="n">
        <v>9</v>
      </c>
      <c r="G924" s="38" t="n">
        <v>6181691.86</v>
      </c>
    </row>
    <row r="925" customFormat="false" ht="15" hidden="false" customHeight="false" outlineLevel="0" collapsed="false">
      <c r="A925" s="0" t="n">
        <v>24</v>
      </c>
      <c r="B925" s="0" t="s">
        <v>60</v>
      </c>
      <c r="C925" s="36" t="n">
        <v>203819</v>
      </c>
      <c r="D925" s="37" t="n">
        <v>40817</v>
      </c>
      <c r="E925" s="0" t="n">
        <v>2012</v>
      </c>
      <c r="F925" s="0" t="n">
        <v>9</v>
      </c>
      <c r="G925" s="38" t="n">
        <v>5923875.77</v>
      </c>
    </row>
    <row r="926" customFormat="false" ht="15" hidden="false" customHeight="false" outlineLevel="0" collapsed="false">
      <c r="A926" s="0" t="n">
        <v>25</v>
      </c>
      <c r="B926" s="0" t="s">
        <v>62</v>
      </c>
      <c r="C926" s="36" t="n">
        <v>128107</v>
      </c>
      <c r="D926" s="37" t="n">
        <v>40817</v>
      </c>
      <c r="E926" s="0" t="n">
        <v>2012</v>
      </c>
      <c r="F926" s="0" t="n">
        <v>9</v>
      </c>
      <c r="G926" s="38" t="n">
        <v>3041440.82</v>
      </c>
    </row>
    <row r="927" customFormat="false" ht="15" hidden="false" customHeight="false" outlineLevel="0" collapsed="false">
      <c r="A927" s="0" t="n">
        <v>26</v>
      </c>
      <c r="B927" s="0" t="s">
        <v>60</v>
      </c>
      <c r="C927" s="36" t="n">
        <v>152513</v>
      </c>
      <c r="D927" s="37" t="n">
        <v>40817</v>
      </c>
      <c r="E927" s="0" t="n">
        <v>2012</v>
      </c>
      <c r="F927" s="0" t="n">
        <v>9</v>
      </c>
      <c r="G927" s="38" t="n">
        <v>4488909.4</v>
      </c>
    </row>
    <row r="928" customFormat="false" ht="15" hidden="false" customHeight="false" outlineLevel="0" collapsed="false">
      <c r="A928" s="0" t="n">
        <v>27</v>
      </c>
      <c r="B928" s="0" t="s">
        <v>60</v>
      </c>
      <c r="C928" s="36" t="n">
        <v>204184</v>
      </c>
      <c r="D928" s="37" t="n">
        <v>40817</v>
      </c>
      <c r="E928" s="0" t="n">
        <v>2012</v>
      </c>
      <c r="F928" s="0" t="n">
        <v>9</v>
      </c>
      <c r="G928" s="38" t="n">
        <v>7449716.72</v>
      </c>
    </row>
    <row r="929" customFormat="false" ht="15" hidden="false" customHeight="false" outlineLevel="0" collapsed="false">
      <c r="A929" s="0" t="n">
        <v>28</v>
      </c>
      <c r="B929" s="0" t="s">
        <v>60</v>
      </c>
      <c r="C929" s="36" t="n">
        <v>206302</v>
      </c>
      <c r="D929" s="37" t="n">
        <v>40817</v>
      </c>
      <c r="E929" s="0" t="n">
        <v>2012</v>
      </c>
      <c r="F929" s="0" t="n">
        <v>9</v>
      </c>
      <c r="G929" s="38" t="n">
        <v>5899926.79</v>
      </c>
    </row>
    <row r="930" customFormat="false" ht="15" hidden="false" customHeight="false" outlineLevel="0" collapsed="false">
      <c r="A930" s="0" t="n">
        <v>29</v>
      </c>
      <c r="B930" s="0" t="s">
        <v>62</v>
      </c>
      <c r="C930" s="36" t="n">
        <v>93638</v>
      </c>
      <c r="D930" s="37" t="n">
        <v>40817</v>
      </c>
      <c r="E930" s="0" t="n">
        <v>2012</v>
      </c>
      <c r="F930" s="0" t="n">
        <v>9</v>
      </c>
      <c r="G930" s="38" t="n">
        <v>2276986.94</v>
      </c>
    </row>
    <row r="931" customFormat="false" ht="15" hidden="false" customHeight="false" outlineLevel="0" collapsed="false">
      <c r="A931" s="0" t="n">
        <v>30</v>
      </c>
      <c r="B931" s="0" t="s">
        <v>64</v>
      </c>
      <c r="C931" s="36" t="n">
        <v>42988</v>
      </c>
      <c r="D931" s="37" t="n">
        <v>40817</v>
      </c>
      <c r="E931" s="0" t="n">
        <v>2012</v>
      </c>
      <c r="F931" s="0" t="n">
        <v>9</v>
      </c>
      <c r="G931" s="38" t="n">
        <v>1868647.41</v>
      </c>
    </row>
    <row r="932" customFormat="false" ht="15" hidden="false" customHeight="false" outlineLevel="0" collapsed="false">
      <c r="A932" s="0" t="n">
        <v>31</v>
      </c>
      <c r="B932" s="0" t="s">
        <v>60</v>
      </c>
      <c r="C932" s="36" t="n">
        <v>203750</v>
      </c>
      <c r="D932" s="37" t="n">
        <v>40817</v>
      </c>
      <c r="E932" s="0" t="n">
        <v>2012</v>
      </c>
      <c r="F932" s="0" t="n">
        <v>9</v>
      </c>
      <c r="G932" s="38" t="n">
        <v>6173213.18</v>
      </c>
    </row>
    <row r="933" customFormat="false" ht="15" hidden="false" customHeight="false" outlineLevel="0" collapsed="false">
      <c r="A933" s="0" t="n">
        <v>32</v>
      </c>
      <c r="B933" s="0" t="s">
        <v>60</v>
      </c>
      <c r="C933" s="36" t="n">
        <v>203007</v>
      </c>
      <c r="D933" s="37" t="n">
        <v>40817</v>
      </c>
      <c r="E933" s="0" t="n">
        <v>2012</v>
      </c>
      <c r="F933" s="0" t="n">
        <v>9</v>
      </c>
      <c r="G933" s="38" t="n">
        <v>5177788.28</v>
      </c>
    </row>
    <row r="934" customFormat="false" ht="15" hidden="false" customHeight="false" outlineLevel="0" collapsed="false">
      <c r="A934" s="0" t="n">
        <v>33</v>
      </c>
      <c r="B934" s="0" t="s">
        <v>60</v>
      </c>
      <c r="C934" s="36" t="n">
        <v>39690</v>
      </c>
      <c r="D934" s="37" t="n">
        <v>40817</v>
      </c>
      <c r="E934" s="0" t="n">
        <v>2012</v>
      </c>
      <c r="F934" s="0" t="n">
        <v>9</v>
      </c>
      <c r="G934" s="38" t="n">
        <v>1100719.72</v>
      </c>
    </row>
    <row r="935" customFormat="false" ht="15" hidden="false" customHeight="false" outlineLevel="0" collapsed="false">
      <c r="A935" s="0" t="n">
        <v>34</v>
      </c>
      <c r="B935" s="0" t="s">
        <v>60</v>
      </c>
      <c r="C935" s="36" t="n">
        <v>158114</v>
      </c>
      <c r="D935" s="37" t="n">
        <v>40817</v>
      </c>
      <c r="E935" s="0" t="n">
        <v>2012</v>
      </c>
      <c r="F935" s="0" t="n">
        <v>9</v>
      </c>
      <c r="G935" s="38" t="n">
        <v>4203024.73</v>
      </c>
    </row>
    <row r="936" customFormat="false" ht="15" hidden="false" customHeight="false" outlineLevel="0" collapsed="false">
      <c r="A936" s="0" t="n">
        <v>35</v>
      </c>
      <c r="B936" s="0" t="s">
        <v>62</v>
      </c>
      <c r="C936" s="36" t="n">
        <v>103681</v>
      </c>
      <c r="D936" s="37" t="n">
        <v>40817</v>
      </c>
      <c r="E936" s="0" t="n">
        <v>2012</v>
      </c>
      <c r="F936" s="0" t="n">
        <v>9</v>
      </c>
      <c r="G936" s="38" t="n">
        <v>3464704.73</v>
      </c>
    </row>
    <row r="937" customFormat="false" ht="15" hidden="false" customHeight="false" outlineLevel="0" collapsed="false">
      <c r="A937" s="0" t="n">
        <v>36</v>
      </c>
      <c r="B937" s="0" t="s">
        <v>60</v>
      </c>
      <c r="C937" s="36" t="n">
        <v>39910</v>
      </c>
      <c r="D937" s="37" t="n">
        <v>40817</v>
      </c>
      <c r="E937" s="0" t="n">
        <v>2012</v>
      </c>
      <c r="F937" s="0" t="n">
        <v>9</v>
      </c>
      <c r="G937" s="38" t="n">
        <v>1457350.76</v>
      </c>
    </row>
    <row r="938" customFormat="false" ht="15" hidden="false" customHeight="false" outlineLevel="0" collapsed="false">
      <c r="A938" s="0" t="n">
        <v>37</v>
      </c>
      <c r="B938" s="0" t="s">
        <v>64</v>
      </c>
      <c r="C938" s="36" t="n">
        <v>39910</v>
      </c>
      <c r="D938" s="37" t="n">
        <v>40817</v>
      </c>
      <c r="E938" s="0" t="n">
        <v>2012</v>
      </c>
      <c r="F938" s="0" t="n">
        <v>9</v>
      </c>
      <c r="G938" s="38" t="n">
        <v>2314846.45</v>
      </c>
    </row>
    <row r="939" customFormat="false" ht="15" hidden="false" customHeight="false" outlineLevel="0" collapsed="false">
      <c r="A939" s="0" t="n">
        <v>38</v>
      </c>
      <c r="B939" s="0" t="s">
        <v>64</v>
      </c>
      <c r="C939" s="36" t="n">
        <v>39690</v>
      </c>
      <c r="D939" s="37" t="n">
        <v>40817</v>
      </c>
      <c r="E939" s="0" t="n">
        <v>2012</v>
      </c>
      <c r="F939" s="0" t="n">
        <v>9</v>
      </c>
      <c r="G939" s="38" t="n">
        <v>1818468.29</v>
      </c>
    </row>
    <row r="940" customFormat="false" ht="15" hidden="false" customHeight="false" outlineLevel="0" collapsed="false">
      <c r="A940" s="0" t="n">
        <v>39</v>
      </c>
      <c r="B940" s="0" t="s">
        <v>60</v>
      </c>
      <c r="C940" s="36" t="n">
        <v>184109</v>
      </c>
      <c r="D940" s="37" t="n">
        <v>40817</v>
      </c>
      <c r="E940" s="0" t="n">
        <v>2012</v>
      </c>
      <c r="F940" s="0" t="n">
        <v>9</v>
      </c>
      <c r="G940" s="38" t="n">
        <v>6432393.88</v>
      </c>
    </row>
    <row r="941" customFormat="false" ht="15" hidden="false" customHeight="false" outlineLevel="0" collapsed="false">
      <c r="A941" s="0" t="n">
        <v>40</v>
      </c>
      <c r="B941" s="0" t="s">
        <v>60</v>
      </c>
      <c r="C941" s="36" t="n">
        <v>155083</v>
      </c>
      <c r="D941" s="37" t="n">
        <v>40817</v>
      </c>
      <c r="E941" s="0" t="n">
        <v>2012</v>
      </c>
      <c r="F941" s="0" t="n">
        <v>9</v>
      </c>
      <c r="G941" s="38" t="n">
        <v>4324560.65</v>
      </c>
    </row>
    <row r="942" customFormat="false" ht="15" hidden="false" customHeight="false" outlineLevel="0" collapsed="false">
      <c r="A942" s="0" t="n">
        <v>41</v>
      </c>
      <c r="B942" s="0" t="s">
        <v>60</v>
      </c>
      <c r="C942" s="36" t="n">
        <v>196321</v>
      </c>
      <c r="D942" s="37" t="n">
        <v>40817</v>
      </c>
      <c r="E942" s="0" t="n">
        <v>2012</v>
      </c>
      <c r="F942" s="0" t="n">
        <v>9</v>
      </c>
      <c r="G942" s="38" t="n">
        <v>5578285.2</v>
      </c>
    </row>
    <row r="943" customFormat="false" ht="15" hidden="false" customHeight="false" outlineLevel="0" collapsed="false">
      <c r="A943" s="0" t="n">
        <v>42</v>
      </c>
      <c r="B943" s="0" t="s">
        <v>64</v>
      </c>
      <c r="C943" s="36" t="n">
        <v>39690</v>
      </c>
      <c r="D943" s="37" t="n">
        <v>40817</v>
      </c>
      <c r="E943" s="0" t="n">
        <v>2012</v>
      </c>
      <c r="F943" s="0" t="n">
        <v>9</v>
      </c>
      <c r="G943" s="38" t="n">
        <v>2571661.57</v>
      </c>
    </row>
    <row r="944" customFormat="false" ht="15" hidden="false" customHeight="false" outlineLevel="0" collapsed="false">
      <c r="A944" s="0" t="n">
        <v>43</v>
      </c>
      <c r="B944" s="0" t="s">
        <v>64</v>
      </c>
      <c r="C944" s="36" t="n">
        <v>41062</v>
      </c>
      <c r="D944" s="37" t="n">
        <v>40817</v>
      </c>
      <c r="E944" s="0" t="n">
        <v>2012</v>
      </c>
      <c r="F944" s="0" t="n">
        <v>9</v>
      </c>
      <c r="G944" s="38" t="n">
        <v>2676058.03</v>
      </c>
    </row>
    <row r="945" customFormat="false" ht="15" hidden="false" customHeight="false" outlineLevel="0" collapsed="false">
      <c r="A945" s="0" t="n">
        <v>44</v>
      </c>
      <c r="B945" s="0" t="s">
        <v>64</v>
      </c>
      <c r="C945" s="36" t="n">
        <v>39910</v>
      </c>
      <c r="D945" s="37" t="n">
        <v>40817</v>
      </c>
      <c r="E945" s="0" t="n">
        <v>2012</v>
      </c>
      <c r="F945" s="0" t="n">
        <v>9</v>
      </c>
      <c r="G945" s="38" t="n">
        <v>1349540.61</v>
      </c>
    </row>
    <row r="946" customFormat="false" ht="15" hidden="false" customHeight="false" outlineLevel="0" collapsed="false">
      <c r="A946" s="0" t="n">
        <v>45</v>
      </c>
      <c r="B946" s="0" t="s">
        <v>62</v>
      </c>
      <c r="C946" s="36" t="n">
        <v>118221</v>
      </c>
      <c r="D946" s="37" t="n">
        <v>40817</v>
      </c>
      <c r="E946" s="0" t="n">
        <v>2012</v>
      </c>
      <c r="F946" s="0" t="n">
        <v>9</v>
      </c>
      <c r="G946" s="38" t="n">
        <v>3384958.97</v>
      </c>
    </row>
    <row r="947" customFormat="false" ht="15" hidden="false" customHeight="false" outlineLevel="0" collapsed="false">
      <c r="A947" s="0" t="n">
        <v>1</v>
      </c>
      <c r="B947" s="0" t="s">
        <v>60</v>
      </c>
      <c r="C947" s="36" t="n">
        <v>151315</v>
      </c>
      <c r="D947" s="37" t="n">
        <v>40848</v>
      </c>
      <c r="E947" s="0" t="n">
        <v>2012</v>
      </c>
      <c r="F947" s="0" t="n">
        <v>10</v>
      </c>
      <c r="G947" s="38" t="n">
        <v>7269077.26</v>
      </c>
    </row>
    <row r="948" customFormat="false" ht="15" hidden="false" customHeight="false" outlineLevel="0" collapsed="false">
      <c r="A948" s="0" t="n">
        <v>2</v>
      </c>
      <c r="B948" s="0" t="s">
        <v>60</v>
      </c>
      <c r="C948" s="36" t="n">
        <v>202307</v>
      </c>
      <c r="D948" s="37" t="n">
        <v>40848</v>
      </c>
      <c r="E948" s="0" t="n">
        <v>2012</v>
      </c>
      <c r="F948" s="0" t="n">
        <v>10</v>
      </c>
      <c r="G948" s="38" t="n">
        <v>8953917.36</v>
      </c>
    </row>
    <row r="949" customFormat="false" ht="15" hidden="false" customHeight="false" outlineLevel="0" collapsed="false">
      <c r="A949" s="0" t="n">
        <v>3</v>
      </c>
      <c r="B949" s="0" t="s">
        <v>62</v>
      </c>
      <c r="C949" s="36" t="n">
        <v>37392</v>
      </c>
      <c r="D949" s="37" t="n">
        <v>40848</v>
      </c>
      <c r="E949" s="0" t="n">
        <v>2012</v>
      </c>
      <c r="F949" s="0" t="n">
        <v>10</v>
      </c>
      <c r="G949" s="38" t="n">
        <v>1963575.48</v>
      </c>
    </row>
    <row r="950" customFormat="false" ht="15" hidden="false" customHeight="false" outlineLevel="0" collapsed="false">
      <c r="A950" s="0" t="n">
        <v>4</v>
      </c>
      <c r="B950" s="0" t="s">
        <v>60</v>
      </c>
      <c r="C950" s="36" t="n">
        <v>205863</v>
      </c>
      <c r="D950" s="37" t="n">
        <v>40848</v>
      </c>
      <c r="E950" s="0" t="n">
        <v>2012</v>
      </c>
      <c r="F950" s="0" t="n">
        <v>10</v>
      </c>
      <c r="G950" s="38" t="n">
        <v>10313087.25</v>
      </c>
    </row>
    <row r="951" customFormat="false" ht="15" hidden="false" customHeight="false" outlineLevel="0" collapsed="false">
      <c r="A951" s="0" t="n">
        <v>5</v>
      </c>
      <c r="B951" s="0" t="s">
        <v>62</v>
      </c>
      <c r="C951" s="36" t="n">
        <v>34875</v>
      </c>
      <c r="D951" s="37" t="n">
        <v>40848</v>
      </c>
      <c r="E951" s="0" t="n">
        <v>2012</v>
      </c>
      <c r="F951" s="0" t="n">
        <v>10</v>
      </c>
      <c r="G951" s="38" t="n">
        <v>1598570.7</v>
      </c>
    </row>
    <row r="952" customFormat="false" ht="15" hidden="false" customHeight="false" outlineLevel="0" collapsed="false">
      <c r="A952" s="0" t="n">
        <v>6</v>
      </c>
      <c r="B952" s="0" t="s">
        <v>60</v>
      </c>
      <c r="C952" s="36" t="n">
        <v>202505</v>
      </c>
      <c r="D952" s="37" t="n">
        <v>40848</v>
      </c>
      <c r="E952" s="0" t="n">
        <v>2012</v>
      </c>
      <c r="F952" s="0" t="n">
        <v>10</v>
      </c>
      <c r="G952" s="38" t="n">
        <v>7386997.89</v>
      </c>
    </row>
    <row r="953" customFormat="false" ht="15" hidden="false" customHeight="false" outlineLevel="0" collapsed="false">
      <c r="A953" s="0" t="n">
        <v>7</v>
      </c>
      <c r="B953" s="0" t="s">
        <v>62</v>
      </c>
      <c r="C953" s="36" t="n">
        <v>70713</v>
      </c>
      <c r="D953" s="37" t="n">
        <v>40848</v>
      </c>
      <c r="E953" s="0" t="n">
        <v>2012</v>
      </c>
      <c r="F953" s="0" t="n">
        <v>10</v>
      </c>
      <c r="G953" s="38" t="n">
        <v>2790301.38</v>
      </c>
    </row>
    <row r="954" customFormat="false" ht="15" hidden="false" customHeight="false" outlineLevel="0" collapsed="false">
      <c r="A954" s="0" t="n">
        <v>8</v>
      </c>
      <c r="B954" s="0" t="s">
        <v>60</v>
      </c>
      <c r="C954" s="36" t="n">
        <v>155078</v>
      </c>
      <c r="D954" s="37" t="n">
        <v>40848</v>
      </c>
      <c r="E954" s="0" t="n">
        <v>2012</v>
      </c>
      <c r="F954" s="0" t="n">
        <v>10</v>
      </c>
      <c r="G954" s="38" t="n">
        <v>4295608.46</v>
      </c>
    </row>
    <row r="955" customFormat="false" ht="15" hidden="false" customHeight="false" outlineLevel="0" collapsed="false">
      <c r="A955" s="0" t="n">
        <v>9</v>
      </c>
      <c r="B955" s="0" t="s">
        <v>62</v>
      </c>
      <c r="C955" s="36" t="n">
        <v>125833</v>
      </c>
      <c r="D955" s="37" t="n">
        <v>40848</v>
      </c>
      <c r="E955" s="0" t="n">
        <v>2012</v>
      </c>
      <c r="F955" s="0" t="n">
        <v>10</v>
      </c>
      <c r="G955" s="38" t="n">
        <v>2731312.78</v>
      </c>
    </row>
    <row r="956" customFormat="false" ht="15" hidden="false" customHeight="false" outlineLevel="0" collapsed="false">
      <c r="A956" s="0" t="n">
        <v>10</v>
      </c>
      <c r="B956" s="0" t="s">
        <v>62</v>
      </c>
      <c r="C956" s="36" t="n">
        <v>126512</v>
      </c>
      <c r="D956" s="37" t="n">
        <v>40848</v>
      </c>
      <c r="E956" s="0" t="n">
        <v>2012</v>
      </c>
      <c r="F956" s="0" t="n">
        <v>10</v>
      </c>
      <c r="G956" s="38" t="n">
        <v>9461320.2</v>
      </c>
    </row>
    <row r="957" customFormat="false" ht="15" hidden="false" customHeight="false" outlineLevel="0" collapsed="false">
      <c r="A957" s="0" t="n">
        <v>11</v>
      </c>
      <c r="B957" s="0" t="s">
        <v>60</v>
      </c>
      <c r="C957" s="36" t="n">
        <v>207499</v>
      </c>
      <c r="D957" s="37" t="n">
        <v>40848</v>
      </c>
      <c r="E957" s="0" t="n">
        <v>2012</v>
      </c>
      <c r="F957" s="0" t="n">
        <v>10</v>
      </c>
      <c r="G957" s="38" t="n">
        <v>6362921.95</v>
      </c>
    </row>
    <row r="958" customFormat="false" ht="15" hidden="false" customHeight="false" outlineLevel="0" collapsed="false">
      <c r="A958" s="0" t="n">
        <v>12</v>
      </c>
      <c r="B958" s="0" t="s">
        <v>62</v>
      </c>
      <c r="C958" s="36" t="n">
        <v>112238</v>
      </c>
      <c r="D958" s="37" t="n">
        <v>40848</v>
      </c>
      <c r="E958" s="0" t="n">
        <v>2012</v>
      </c>
      <c r="F958" s="0" t="n">
        <v>10</v>
      </c>
      <c r="G958" s="38" t="n">
        <v>5024038.23</v>
      </c>
    </row>
    <row r="959" customFormat="false" ht="15" hidden="false" customHeight="false" outlineLevel="0" collapsed="false">
      <c r="A959" s="0" t="n">
        <v>13</v>
      </c>
      <c r="B959" s="0" t="s">
        <v>60</v>
      </c>
      <c r="C959" s="36" t="n">
        <v>219622</v>
      </c>
      <c r="D959" s="37" t="n">
        <v>40848</v>
      </c>
      <c r="E959" s="0" t="n">
        <v>2012</v>
      </c>
      <c r="F959" s="0" t="n">
        <v>10</v>
      </c>
      <c r="G959" s="38" t="n">
        <v>9620921.7</v>
      </c>
    </row>
    <row r="960" customFormat="false" ht="15" hidden="false" customHeight="false" outlineLevel="0" collapsed="false">
      <c r="A960" s="0" t="n">
        <v>14</v>
      </c>
      <c r="B960" s="0" t="s">
        <v>60</v>
      </c>
      <c r="C960" s="36" t="n">
        <v>200898</v>
      </c>
      <c r="D960" s="37" t="n">
        <v>40848</v>
      </c>
      <c r="E960" s="0" t="n">
        <v>2012</v>
      </c>
      <c r="F960" s="0" t="n">
        <v>10</v>
      </c>
      <c r="G960" s="38" t="n">
        <v>9509337.11</v>
      </c>
    </row>
    <row r="961" customFormat="false" ht="15" hidden="false" customHeight="false" outlineLevel="0" collapsed="false">
      <c r="A961" s="0" t="n">
        <v>15</v>
      </c>
      <c r="B961" s="0" t="s">
        <v>62</v>
      </c>
      <c r="C961" s="36" t="n">
        <v>123737</v>
      </c>
      <c r="D961" s="37" t="n">
        <v>40848</v>
      </c>
      <c r="E961" s="0" t="n">
        <v>2012</v>
      </c>
      <c r="F961" s="0" t="n">
        <v>10</v>
      </c>
      <c r="G961" s="38" t="n">
        <v>3134088.79</v>
      </c>
    </row>
    <row r="962" customFormat="false" ht="15" hidden="false" customHeight="false" outlineLevel="0" collapsed="false">
      <c r="A962" s="0" t="n">
        <v>16</v>
      </c>
      <c r="B962" s="0" t="s">
        <v>62</v>
      </c>
      <c r="C962" s="36" t="n">
        <v>57197</v>
      </c>
      <c r="D962" s="37" t="n">
        <v>40848</v>
      </c>
      <c r="E962" s="0" t="n">
        <v>2012</v>
      </c>
      <c r="F962" s="0" t="n">
        <v>10</v>
      </c>
      <c r="G962" s="38" t="n">
        <v>2376915.05</v>
      </c>
    </row>
    <row r="963" customFormat="false" ht="15" hidden="false" customHeight="false" outlineLevel="0" collapsed="false">
      <c r="A963" s="0" t="n">
        <v>17</v>
      </c>
      <c r="B963" s="0" t="s">
        <v>62</v>
      </c>
      <c r="C963" s="36" t="n">
        <v>93188</v>
      </c>
      <c r="D963" s="37" t="n">
        <v>40848</v>
      </c>
      <c r="E963" s="0" t="n">
        <v>2012</v>
      </c>
      <c r="F963" s="0" t="n">
        <v>10</v>
      </c>
      <c r="G963" s="38" t="n">
        <v>4223465.08</v>
      </c>
    </row>
    <row r="964" customFormat="false" ht="15" hidden="false" customHeight="false" outlineLevel="0" collapsed="false">
      <c r="A964" s="0" t="n">
        <v>18</v>
      </c>
      <c r="B964" s="0" t="s">
        <v>62</v>
      </c>
      <c r="C964" s="36" t="n">
        <v>120653</v>
      </c>
      <c r="D964" s="37" t="n">
        <v>40848</v>
      </c>
      <c r="E964" s="0" t="n">
        <v>2012</v>
      </c>
      <c r="F964" s="0" t="n">
        <v>10</v>
      </c>
      <c r="G964" s="38" t="n">
        <v>5238628.85</v>
      </c>
    </row>
    <row r="965" customFormat="false" ht="15" hidden="false" customHeight="false" outlineLevel="0" collapsed="false">
      <c r="A965" s="0" t="n">
        <v>19</v>
      </c>
      <c r="B965" s="0" t="s">
        <v>60</v>
      </c>
      <c r="C965" s="36" t="n">
        <v>203819</v>
      </c>
      <c r="D965" s="37" t="n">
        <v>40848</v>
      </c>
      <c r="E965" s="0" t="n">
        <v>2012</v>
      </c>
      <c r="F965" s="0" t="n">
        <v>10</v>
      </c>
      <c r="G965" s="38" t="n">
        <v>6794947.1</v>
      </c>
    </row>
    <row r="966" customFormat="false" ht="15" hidden="false" customHeight="false" outlineLevel="0" collapsed="false">
      <c r="A966" s="0" t="n">
        <v>20</v>
      </c>
      <c r="B966" s="0" t="s">
        <v>60</v>
      </c>
      <c r="C966" s="36" t="n">
        <v>203742</v>
      </c>
      <c r="D966" s="37" t="n">
        <v>40848</v>
      </c>
      <c r="E966" s="0" t="n">
        <v>2012</v>
      </c>
      <c r="F966" s="0" t="n">
        <v>10</v>
      </c>
      <c r="G966" s="38" t="n">
        <v>10293330.17</v>
      </c>
    </row>
    <row r="967" customFormat="false" ht="15" hidden="false" customHeight="false" outlineLevel="0" collapsed="false">
      <c r="A967" s="0" t="n">
        <v>21</v>
      </c>
      <c r="B967" s="0" t="s">
        <v>62</v>
      </c>
      <c r="C967" s="36" t="n">
        <v>140167</v>
      </c>
      <c r="D967" s="37" t="n">
        <v>40848</v>
      </c>
      <c r="E967" s="0" t="n">
        <v>2012</v>
      </c>
      <c r="F967" s="0" t="n">
        <v>10</v>
      </c>
      <c r="G967" s="38" t="n">
        <v>3718698.03</v>
      </c>
    </row>
    <row r="968" customFormat="false" ht="15" hidden="false" customHeight="false" outlineLevel="0" collapsed="false">
      <c r="A968" s="0" t="n">
        <v>22</v>
      </c>
      <c r="B968" s="0" t="s">
        <v>62</v>
      </c>
      <c r="C968" s="36" t="n">
        <v>119557</v>
      </c>
      <c r="D968" s="37" t="n">
        <v>40848</v>
      </c>
      <c r="E968" s="0" t="n">
        <v>2012</v>
      </c>
      <c r="F968" s="0" t="n">
        <v>10</v>
      </c>
      <c r="G968" s="38" t="n">
        <v>5061521.29</v>
      </c>
    </row>
    <row r="969" customFormat="false" ht="15" hidden="false" customHeight="false" outlineLevel="0" collapsed="false">
      <c r="A969" s="0" t="n">
        <v>23</v>
      </c>
      <c r="B969" s="0" t="s">
        <v>62</v>
      </c>
      <c r="C969" s="36" t="n">
        <v>114533</v>
      </c>
      <c r="D969" s="37" t="n">
        <v>40848</v>
      </c>
      <c r="E969" s="0" t="n">
        <v>2012</v>
      </c>
      <c r="F969" s="0" t="n">
        <v>10</v>
      </c>
      <c r="G969" s="38" t="n">
        <v>6765086.32</v>
      </c>
    </row>
    <row r="970" customFormat="false" ht="15" hidden="false" customHeight="false" outlineLevel="0" collapsed="false">
      <c r="A970" s="0" t="n">
        <v>24</v>
      </c>
      <c r="B970" s="0" t="s">
        <v>60</v>
      </c>
      <c r="C970" s="36" t="n">
        <v>203819</v>
      </c>
      <c r="D970" s="37" t="n">
        <v>40848</v>
      </c>
      <c r="E970" s="0" t="n">
        <v>2012</v>
      </c>
      <c r="F970" s="0" t="n">
        <v>10</v>
      </c>
      <c r="G970" s="38" t="n">
        <v>6229803.8</v>
      </c>
    </row>
    <row r="971" customFormat="false" ht="15" hidden="false" customHeight="false" outlineLevel="0" collapsed="false">
      <c r="A971" s="0" t="n">
        <v>25</v>
      </c>
      <c r="B971" s="0" t="s">
        <v>62</v>
      </c>
      <c r="C971" s="36" t="n">
        <v>128107</v>
      </c>
      <c r="D971" s="37" t="n">
        <v>40848</v>
      </c>
      <c r="E971" s="0" t="n">
        <v>2012</v>
      </c>
      <c r="F971" s="0" t="n">
        <v>10</v>
      </c>
      <c r="G971" s="38" t="n">
        <v>3601850.25</v>
      </c>
    </row>
    <row r="972" customFormat="false" ht="15" hidden="false" customHeight="false" outlineLevel="0" collapsed="false">
      <c r="A972" s="0" t="n">
        <v>26</v>
      </c>
      <c r="B972" s="0" t="s">
        <v>60</v>
      </c>
      <c r="C972" s="36" t="n">
        <v>152513</v>
      </c>
      <c r="D972" s="37" t="n">
        <v>40848</v>
      </c>
      <c r="E972" s="0" t="n">
        <v>2012</v>
      </c>
      <c r="F972" s="0" t="n">
        <v>10</v>
      </c>
      <c r="G972" s="38" t="n">
        <v>4594379.89</v>
      </c>
    </row>
    <row r="973" customFormat="false" ht="15" hidden="false" customHeight="false" outlineLevel="0" collapsed="false">
      <c r="A973" s="0" t="n">
        <v>27</v>
      </c>
      <c r="B973" s="0" t="s">
        <v>60</v>
      </c>
      <c r="C973" s="36" t="n">
        <v>204184</v>
      </c>
      <c r="D973" s="37" t="n">
        <v>40848</v>
      </c>
      <c r="E973" s="0" t="n">
        <v>2012</v>
      </c>
      <c r="F973" s="0" t="n">
        <v>10</v>
      </c>
      <c r="G973" s="38" t="n">
        <v>8245876.96</v>
      </c>
    </row>
    <row r="974" customFormat="false" ht="15" hidden="false" customHeight="false" outlineLevel="0" collapsed="false">
      <c r="A974" s="0" t="n">
        <v>28</v>
      </c>
      <c r="B974" s="0" t="s">
        <v>60</v>
      </c>
      <c r="C974" s="36" t="n">
        <v>206302</v>
      </c>
      <c r="D974" s="37" t="n">
        <v>40848</v>
      </c>
      <c r="E974" s="0" t="n">
        <v>2012</v>
      </c>
      <c r="F974" s="0" t="n">
        <v>10</v>
      </c>
      <c r="G974" s="38" t="n">
        <v>6465655.89</v>
      </c>
    </row>
    <row r="975" customFormat="false" ht="15" hidden="false" customHeight="false" outlineLevel="0" collapsed="false">
      <c r="A975" s="0" t="n">
        <v>29</v>
      </c>
      <c r="B975" s="0" t="s">
        <v>62</v>
      </c>
      <c r="C975" s="36" t="n">
        <v>93638</v>
      </c>
      <c r="D975" s="37" t="n">
        <v>40848</v>
      </c>
      <c r="E975" s="0" t="n">
        <v>2012</v>
      </c>
      <c r="F975" s="0" t="n">
        <v>10</v>
      </c>
      <c r="G975" s="38" t="n">
        <v>2718269.12</v>
      </c>
    </row>
    <row r="976" customFormat="false" ht="15" hidden="false" customHeight="false" outlineLevel="0" collapsed="false">
      <c r="A976" s="0" t="n">
        <v>30</v>
      </c>
      <c r="B976" s="0" t="s">
        <v>64</v>
      </c>
      <c r="C976" s="36" t="n">
        <v>42988</v>
      </c>
      <c r="D976" s="37" t="n">
        <v>40848</v>
      </c>
      <c r="E976" s="0" t="n">
        <v>2012</v>
      </c>
      <c r="F976" s="0" t="n">
        <v>10</v>
      </c>
      <c r="G976" s="38" t="n">
        <v>1839936.78</v>
      </c>
    </row>
    <row r="977" customFormat="false" ht="15" hidden="false" customHeight="false" outlineLevel="0" collapsed="false">
      <c r="A977" s="0" t="n">
        <v>31</v>
      </c>
      <c r="B977" s="0" t="s">
        <v>60</v>
      </c>
      <c r="C977" s="36" t="n">
        <v>203750</v>
      </c>
      <c r="D977" s="37" t="n">
        <v>40848</v>
      </c>
      <c r="E977" s="0" t="n">
        <v>2012</v>
      </c>
      <c r="F977" s="0" t="n">
        <v>10</v>
      </c>
      <c r="G977" s="38" t="n">
        <v>6631153.62</v>
      </c>
    </row>
    <row r="978" customFormat="false" ht="15" hidden="false" customHeight="false" outlineLevel="0" collapsed="false">
      <c r="A978" s="0" t="n">
        <v>32</v>
      </c>
      <c r="B978" s="0" t="s">
        <v>60</v>
      </c>
      <c r="C978" s="36" t="n">
        <v>203007</v>
      </c>
      <c r="D978" s="37" t="n">
        <v>40848</v>
      </c>
      <c r="E978" s="0" t="n">
        <v>2012</v>
      </c>
      <c r="F978" s="0" t="n">
        <v>10</v>
      </c>
      <c r="G978" s="38" t="n">
        <v>5579907.87</v>
      </c>
    </row>
    <row r="979" customFormat="false" ht="15" hidden="false" customHeight="false" outlineLevel="0" collapsed="false">
      <c r="A979" s="0" t="n">
        <v>33</v>
      </c>
      <c r="B979" s="0" t="s">
        <v>60</v>
      </c>
      <c r="C979" s="36" t="n">
        <v>39690</v>
      </c>
      <c r="D979" s="37" t="n">
        <v>40848</v>
      </c>
      <c r="E979" s="0" t="n">
        <v>2012</v>
      </c>
      <c r="F979" s="0" t="n">
        <v>10</v>
      </c>
      <c r="G979" s="38" t="n">
        <v>1071384.9</v>
      </c>
    </row>
    <row r="980" customFormat="false" ht="15" hidden="false" customHeight="false" outlineLevel="0" collapsed="false">
      <c r="A980" s="0" t="n">
        <v>34</v>
      </c>
      <c r="B980" s="0" t="s">
        <v>60</v>
      </c>
      <c r="C980" s="36" t="n">
        <v>158114</v>
      </c>
      <c r="D980" s="37" t="n">
        <v>40848</v>
      </c>
      <c r="E980" s="0" t="n">
        <v>2012</v>
      </c>
      <c r="F980" s="0" t="n">
        <v>10</v>
      </c>
      <c r="G980" s="38" t="n">
        <v>4558175.15</v>
      </c>
    </row>
    <row r="981" customFormat="false" ht="15" hidden="false" customHeight="false" outlineLevel="0" collapsed="false">
      <c r="A981" s="0" t="n">
        <v>35</v>
      </c>
      <c r="B981" s="0" t="s">
        <v>62</v>
      </c>
      <c r="C981" s="36" t="n">
        <v>103681</v>
      </c>
      <c r="D981" s="37" t="n">
        <v>40848</v>
      </c>
      <c r="E981" s="0" t="n">
        <v>2012</v>
      </c>
      <c r="F981" s="0" t="n">
        <v>10</v>
      </c>
      <c r="G981" s="38" t="n">
        <v>4454206.38</v>
      </c>
    </row>
    <row r="982" customFormat="false" ht="15" hidden="false" customHeight="false" outlineLevel="0" collapsed="false">
      <c r="A982" s="0" t="n">
        <v>36</v>
      </c>
      <c r="B982" s="0" t="s">
        <v>60</v>
      </c>
      <c r="C982" s="36" t="n">
        <v>39910</v>
      </c>
      <c r="D982" s="37" t="n">
        <v>40848</v>
      </c>
      <c r="E982" s="0" t="n">
        <v>2012</v>
      </c>
      <c r="F982" s="0" t="n">
        <v>10</v>
      </c>
      <c r="G982" s="38" t="n">
        <v>1382826.83</v>
      </c>
    </row>
    <row r="983" customFormat="false" ht="15" hidden="false" customHeight="false" outlineLevel="0" collapsed="false">
      <c r="A983" s="0" t="n">
        <v>37</v>
      </c>
      <c r="B983" s="0" t="s">
        <v>64</v>
      </c>
      <c r="C983" s="36" t="n">
        <v>39910</v>
      </c>
      <c r="D983" s="37" t="n">
        <v>40848</v>
      </c>
      <c r="E983" s="0" t="n">
        <v>2012</v>
      </c>
      <c r="F983" s="0" t="n">
        <v>10</v>
      </c>
      <c r="G983" s="38" t="n">
        <v>2245502.39</v>
      </c>
    </row>
    <row r="984" customFormat="false" ht="15" hidden="false" customHeight="false" outlineLevel="0" collapsed="false">
      <c r="A984" s="0" t="n">
        <v>38</v>
      </c>
      <c r="B984" s="0" t="s">
        <v>64</v>
      </c>
      <c r="C984" s="36" t="n">
        <v>39690</v>
      </c>
      <c r="D984" s="37" t="n">
        <v>40848</v>
      </c>
      <c r="E984" s="0" t="n">
        <v>2012</v>
      </c>
      <c r="F984" s="0" t="n">
        <v>10</v>
      </c>
      <c r="G984" s="38" t="n">
        <v>1740284.46</v>
      </c>
    </row>
    <row r="985" customFormat="false" ht="15" hidden="false" customHeight="false" outlineLevel="0" collapsed="false">
      <c r="A985" s="0" t="n">
        <v>39</v>
      </c>
      <c r="B985" s="0" t="s">
        <v>60</v>
      </c>
      <c r="C985" s="36" t="n">
        <v>184109</v>
      </c>
      <c r="D985" s="37" t="n">
        <v>40848</v>
      </c>
      <c r="E985" s="0" t="n">
        <v>2012</v>
      </c>
      <c r="F985" s="0" t="n">
        <v>10</v>
      </c>
      <c r="G985" s="38" t="n">
        <v>7360328.69</v>
      </c>
    </row>
    <row r="986" customFormat="false" ht="15" hidden="false" customHeight="false" outlineLevel="0" collapsed="false">
      <c r="A986" s="0" t="n">
        <v>40</v>
      </c>
      <c r="B986" s="0" t="s">
        <v>60</v>
      </c>
      <c r="C986" s="36" t="n">
        <v>155083</v>
      </c>
      <c r="D986" s="37" t="n">
        <v>40848</v>
      </c>
      <c r="E986" s="0" t="n">
        <v>2012</v>
      </c>
      <c r="F986" s="0" t="n">
        <v>10</v>
      </c>
      <c r="G986" s="38" t="n">
        <v>4507908.7</v>
      </c>
    </row>
    <row r="987" customFormat="false" ht="15" hidden="false" customHeight="false" outlineLevel="0" collapsed="false">
      <c r="A987" s="0" t="n">
        <v>41</v>
      </c>
      <c r="B987" s="0" t="s">
        <v>60</v>
      </c>
      <c r="C987" s="36" t="n">
        <v>196321</v>
      </c>
      <c r="D987" s="37" t="n">
        <v>40848</v>
      </c>
      <c r="E987" s="0" t="n">
        <v>2012</v>
      </c>
      <c r="F987" s="0" t="n">
        <v>10</v>
      </c>
      <c r="G987" s="38" t="n">
        <v>6114319.24</v>
      </c>
    </row>
    <row r="988" customFormat="false" ht="15" hidden="false" customHeight="false" outlineLevel="0" collapsed="false">
      <c r="A988" s="0" t="n">
        <v>42</v>
      </c>
      <c r="B988" s="0" t="s">
        <v>64</v>
      </c>
      <c r="C988" s="36" t="n">
        <v>39690</v>
      </c>
      <c r="D988" s="37" t="n">
        <v>40848</v>
      </c>
      <c r="E988" s="0" t="n">
        <v>2012</v>
      </c>
      <c r="F988" s="0" t="n">
        <v>10</v>
      </c>
      <c r="G988" s="38" t="n">
        <v>2495652.61</v>
      </c>
    </row>
    <row r="989" customFormat="false" ht="15" hidden="false" customHeight="false" outlineLevel="0" collapsed="false">
      <c r="A989" s="0" t="n">
        <v>43</v>
      </c>
      <c r="B989" s="0" t="s">
        <v>64</v>
      </c>
      <c r="C989" s="36" t="n">
        <v>41062</v>
      </c>
      <c r="D989" s="37" t="n">
        <v>40848</v>
      </c>
      <c r="E989" s="0" t="n">
        <v>2012</v>
      </c>
      <c r="F989" s="0" t="n">
        <v>10</v>
      </c>
      <c r="G989" s="38" t="n">
        <v>2698736.72</v>
      </c>
    </row>
    <row r="990" customFormat="false" ht="15" hidden="false" customHeight="false" outlineLevel="0" collapsed="false">
      <c r="A990" s="0" t="n">
        <v>44</v>
      </c>
      <c r="B990" s="0" t="s">
        <v>64</v>
      </c>
      <c r="C990" s="36" t="n">
        <v>39910</v>
      </c>
      <c r="D990" s="37" t="n">
        <v>40848</v>
      </c>
      <c r="E990" s="0" t="n">
        <v>2012</v>
      </c>
      <c r="F990" s="0" t="n">
        <v>10</v>
      </c>
      <c r="G990" s="38" t="n">
        <v>1310472.49</v>
      </c>
    </row>
    <row r="991" customFormat="false" ht="15" hidden="false" customHeight="false" outlineLevel="0" collapsed="false">
      <c r="A991" s="0" t="n">
        <v>45</v>
      </c>
      <c r="B991" s="0" t="s">
        <v>62</v>
      </c>
      <c r="C991" s="36" t="n">
        <v>118221</v>
      </c>
      <c r="D991" s="37" t="n">
        <v>40848</v>
      </c>
      <c r="E991" s="0" t="n">
        <v>2012</v>
      </c>
      <c r="F991" s="0" t="n">
        <v>10</v>
      </c>
      <c r="G991" s="38" t="n">
        <v>3854646.64</v>
      </c>
    </row>
    <row r="992" customFormat="false" ht="15" hidden="false" customHeight="false" outlineLevel="0" collapsed="false">
      <c r="A992" s="0" t="n">
        <v>1</v>
      </c>
      <c r="B992" s="0" t="s">
        <v>60</v>
      </c>
      <c r="C992" s="36" t="n">
        <v>151315</v>
      </c>
      <c r="D992" s="37" t="n">
        <v>40878</v>
      </c>
      <c r="E992" s="0" t="n">
        <v>2012</v>
      </c>
      <c r="F992" s="0" t="n">
        <v>11</v>
      </c>
      <c r="G992" s="38" t="n">
        <v>8122587.6</v>
      </c>
    </row>
    <row r="993" customFormat="false" ht="15" hidden="false" customHeight="false" outlineLevel="0" collapsed="false">
      <c r="A993" s="0" t="n">
        <v>2</v>
      </c>
      <c r="B993" s="0" t="s">
        <v>60</v>
      </c>
      <c r="C993" s="36" t="n">
        <v>202307</v>
      </c>
      <c r="D993" s="37" t="n">
        <v>40878</v>
      </c>
      <c r="E993" s="0" t="n">
        <v>2012</v>
      </c>
      <c r="F993" s="0" t="n">
        <v>11</v>
      </c>
      <c r="G993" s="38" t="n">
        <v>10637514.17</v>
      </c>
    </row>
    <row r="994" customFormat="false" ht="15" hidden="false" customHeight="false" outlineLevel="0" collapsed="false">
      <c r="A994" s="0" t="n">
        <v>3</v>
      </c>
      <c r="B994" s="0" t="s">
        <v>62</v>
      </c>
      <c r="C994" s="36" t="n">
        <v>37392</v>
      </c>
      <c r="D994" s="37" t="n">
        <v>40878</v>
      </c>
      <c r="E994" s="0" t="n">
        <v>2012</v>
      </c>
      <c r="F994" s="0" t="n">
        <v>11</v>
      </c>
      <c r="G994" s="38" t="n">
        <v>2133181.34</v>
      </c>
    </row>
    <row r="995" customFormat="false" ht="15" hidden="false" customHeight="false" outlineLevel="0" collapsed="false">
      <c r="A995" s="0" t="n">
        <v>4</v>
      </c>
      <c r="B995" s="0" t="s">
        <v>60</v>
      </c>
      <c r="C995" s="36" t="n">
        <v>205863</v>
      </c>
      <c r="D995" s="37" t="n">
        <v>40878</v>
      </c>
      <c r="E995" s="0" t="n">
        <v>2012</v>
      </c>
      <c r="F995" s="0" t="n">
        <v>11</v>
      </c>
      <c r="G995" s="38" t="n">
        <v>11879527.93</v>
      </c>
    </row>
    <row r="996" customFormat="false" ht="15" hidden="false" customHeight="false" outlineLevel="0" collapsed="false">
      <c r="A996" s="0" t="n">
        <v>5</v>
      </c>
      <c r="B996" s="0" t="s">
        <v>62</v>
      </c>
      <c r="C996" s="36" t="n">
        <v>34875</v>
      </c>
      <c r="D996" s="37" t="n">
        <v>40878</v>
      </c>
      <c r="E996" s="0" t="n">
        <v>2012</v>
      </c>
      <c r="F996" s="0" t="n">
        <v>11</v>
      </c>
      <c r="G996" s="38" t="n">
        <v>1707226.89</v>
      </c>
    </row>
    <row r="997" customFormat="false" ht="15" hidden="false" customHeight="false" outlineLevel="0" collapsed="false">
      <c r="A997" s="0" t="n">
        <v>6</v>
      </c>
      <c r="B997" s="0" t="s">
        <v>60</v>
      </c>
      <c r="C997" s="36" t="n">
        <v>202505</v>
      </c>
      <c r="D997" s="37" t="n">
        <v>40878</v>
      </c>
      <c r="E997" s="0" t="n">
        <v>2012</v>
      </c>
      <c r="F997" s="0" t="n">
        <v>11</v>
      </c>
      <c r="G997" s="38" t="n">
        <v>8862566.04</v>
      </c>
    </row>
    <row r="998" customFormat="false" ht="15" hidden="false" customHeight="false" outlineLevel="0" collapsed="false">
      <c r="A998" s="0" t="n">
        <v>7</v>
      </c>
      <c r="B998" s="0" t="s">
        <v>62</v>
      </c>
      <c r="C998" s="36" t="n">
        <v>70713</v>
      </c>
      <c r="D998" s="37" t="n">
        <v>40878</v>
      </c>
      <c r="E998" s="0" t="n">
        <v>2012</v>
      </c>
      <c r="F998" s="0" t="n">
        <v>11</v>
      </c>
      <c r="G998" s="38" t="n">
        <v>3520708.88</v>
      </c>
    </row>
    <row r="999" customFormat="false" ht="15" hidden="false" customHeight="false" outlineLevel="0" collapsed="false">
      <c r="A999" s="0" t="n">
        <v>8</v>
      </c>
      <c r="B999" s="0" t="s">
        <v>60</v>
      </c>
      <c r="C999" s="36" t="n">
        <v>155078</v>
      </c>
      <c r="D999" s="37" t="n">
        <v>40878</v>
      </c>
      <c r="E999" s="0" t="n">
        <v>2012</v>
      </c>
      <c r="F999" s="0" t="n">
        <v>11</v>
      </c>
      <c r="G999" s="38" t="n">
        <v>4897386.88</v>
      </c>
    </row>
    <row r="1000" customFormat="false" ht="15" hidden="false" customHeight="false" outlineLevel="0" collapsed="false">
      <c r="A1000" s="0" t="n">
        <v>9</v>
      </c>
      <c r="B1000" s="0" t="s">
        <v>62</v>
      </c>
      <c r="C1000" s="36" t="n">
        <v>125833</v>
      </c>
      <c r="D1000" s="37" t="n">
        <v>40878</v>
      </c>
      <c r="E1000" s="0" t="n">
        <v>2012</v>
      </c>
      <c r="F1000" s="0" t="n">
        <v>11</v>
      </c>
      <c r="G1000" s="38" t="n">
        <v>3040400.56</v>
      </c>
    </row>
    <row r="1001" customFormat="false" ht="15" hidden="false" customHeight="false" outlineLevel="0" collapsed="false">
      <c r="A1001" s="0" t="n">
        <v>10</v>
      </c>
      <c r="B1001" s="0" t="s">
        <v>62</v>
      </c>
      <c r="C1001" s="36" t="n">
        <v>126512</v>
      </c>
      <c r="D1001" s="37" t="n">
        <v>40878</v>
      </c>
      <c r="E1001" s="0" t="n">
        <v>2012</v>
      </c>
      <c r="F1001" s="0" t="n">
        <v>11</v>
      </c>
      <c r="G1001" s="38" t="n">
        <v>11234390.23</v>
      </c>
    </row>
    <row r="1002" customFormat="false" ht="15" hidden="false" customHeight="false" outlineLevel="0" collapsed="false">
      <c r="A1002" s="0" t="n">
        <v>11</v>
      </c>
      <c r="B1002" s="0" t="s">
        <v>60</v>
      </c>
      <c r="C1002" s="36" t="n">
        <v>207499</v>
      </c>
      <c r="D1002" s="37" t="n">
        <v>40878</v>
      </c>
      <c r="E1002" s="0" t="n">
        <v>2012</v>
      </c>
      <c r="F1002" s="0" t="n">
        <v>11</v>
      </c>
      <c r="G1002" s="38" t="n">
        <v>7579387.36</v>
      </c>
    </row>
    <row r="1003" customFormat="false" ht="15" hidden="false" customHeight="false" outlineLevel="0" collapsed="false">
      <c r="A1003" s="0" t="n">
        <v>12</v>
      </c>
      <c r="B1003" s="0" t="s">
        <v>62</v>
      </c>
      <c r="C1003" s="36" t="n">
        <v>112238</v>
      </c>
      <c r="D1003" s="37" t="n">
        <v>40878</v>
      </c>
      <c r="E1003" s="0" t="n">
        <v>2012</v>
      </c>
      <c r="F1003" s="0" t="n">
        <v>11</v>
      </c>
      <c r="G1003" s="38" t="n">
        <v>5653527.88</v>
      </c>
    </row>
    <row r="1004" customFormat="false" ht="15" hidden="false" customHeight="false" outlineLevel="0" collapsed="false">
      <c r="A1004" s="0" t="n">
        <v>13</v>
      </c>
      <c r="B1004" s="0" t="s">
        <v>60</v>
      </c>
      <c r="C1004" s="36" t="n">
        <v>219622</v>
      </c>
      <c r="D1004" s="37" t="n">
        <v>40878</v>
      </c>
      <c r="E1004" s="0" t="n">
        <v>2012</v>
      </c>
      <c r="F1004" s="0" t="n">
        <v>11</v>
      </c>
      <c r="G1004" s="38" t="n">
        <v>11601575.02</v>
      </c>
    </row>
    <row r="1005" customFormat="false" ht="15" hidden="false" customHeight="false" outlineLevel="0" collapsed="false">
      <c r="A1005" s="0" t="n">
        <v>14</v>
      </c>
      <c r="B1005" s="0" t="s">
        <v>60</v>
      </c>
      <c r="C1005" s="36" t="n">
        <v>200898</v>
      </c>
      <c r="D1005" s="37" t="n">
        <v>40878</v>
      </c>
      <c r="E1005" s="0" t="n">
        <v>2012</v>
      </c>
      <c r="F1005" s="0" t="n">
        <v>11</v>
      </c>
      <c r="G1005" s="38" t="n">
        <v>11226063.14</v>
      </c>
    </row>
    <row r="1006" customFormat="false" ht="15" hidden="false" customHeight="false" outlineLevel="0" collapsed="false">
      <c r="A1006" s="0" t="n">
        <v>15</v>
      </c>
      <c r="B1006" s="0" t="s">
        <v>62</v>
      </c>
      <c r="C1006" s="36" t="n">
        <v>123737</v>
      </c>
      <c r="D1006" s="37" t="n">
        <v>40878</v>
      </c>
      <c r="E1006" s="0" t="n">
        <v>2012</v>
      </c>
      <c r="F1006" s="0" t="n">
        <v>11</v>
      </c>
      <c r="G1006" s="38" t="n">
        <v>3694583.01</v>
      </c>
    </row>
    <row r="1007" customFormat="false" ht="15" hidden="false" customHeight="false" outlineLevel="0" collapsed="false">
      <c r="A1007" s="0" t="n">
        <v>16</v>
      </c>
      <c r="B1007" s="0" t="s">
        <v>62</v>
      </c>
      <c r="C1007" s="36" t="n">
        <v>57197</v>
      </c>
      <c r="D1007" s="37" t="n">
        <v>40878</v>
      </c>
      <c r="E1007" s="0" t="n">
        <v>2012</v>
      </c>
      <c r="F1007" s="0" t="n">
        <v>11</v>
      </c>
      <c r="G1007" s="38" t="n">
        <v>3103051.46</v>
      </c>
    </row>
    <row r="1008" customFormat="false" ht="15" hidden="false" customHeight="false" outlineLevel="0" collapsed="false">
      <c r="A1008" s="0" t="n">
        <v>17</v>
      </c>
      <c r="B1008" s="0" t="s">
        <v>62</v>
      </c>
      <c r="C1008" s="36" t="n">
        <v>93188</v>
      </c>
      <c r="D1008" s="37" t="n">
        <v>40878</v>
      </c>
      <c r="E1008" s="0" t="n">
        <v>2012</v>
      </c>
      <c r="F1008" s="0" t="n">
        <v>11</v>
      </c>
      <c r="G1008" s="38" t="n">
        <v>4551875.45</v>
      </c>
    </row>
    <row r="1009" customFormat="false" ht="15" hidden="false" customHeight="false" outlineLevel="0" collapsed="false">
      <c r="A1009" s="0" t="n">
        <v>18</v>
      </c>
      <c r="B1009" s="0" t="s">
        <v>62</v>
      </c>
      <c r="C1009" s="36" t="n">
        <v>120653</v>
      </c>
      <c r="D1009" s="37" t="n">
        <v>40878</v>
      </c>
      <c r="E1009" s="0" t="n">
        <v>2012</v>
      </c>
      <c r="F1009" s="0" t="n">
        <v>11</v>
      </c>
      <c r="G1009" s="38" t="n">
        <v>6257405.78</v>
      </c>
    </row>
    <row r="1010" customFormat="false" ht="15" hidden="false" customHeight="false" outlineLevel="0" collapsed="false">
      <c r="A1010" s="0" t="n">
        <v>19</v>
      </c>
      <c r="B1010" s="0" t="s">
        <v>60</v>
      </c>
      <c r="C1010" s="36" t="n">
        <v>203819</v>
      </c>
      <c r="D1010" s="37" t="n">
        <v>40878</v>
      </c>
      <c r="E1010" s="0" t="n">
        <v>2012</v>
      </c>
      <c r="F1010" s="0" t="n">
        <v>11</v>
      </c>
      <c r="G1010" s="38" t="n">
        <v>8056416.75</v>
      </c>
    </row>
    <row r="1011" customFormat="false" ht="15" hidden="false" customHeight="false" outlineLevel="0" collapsed="false">
      <c r="A1011" s="0" t="n">
        <v>20</v>
      </c>
      <c r="B1011" s="0" t="s">
        <v>60</v>
      </c>
      <c r="C1011" s="36" t="n">
        <v>203742</v>
      </c>
      <c r="D1011" s="37" t="n">
        <v>40878</v>
      </c>
      <c r="E1011" s="0" t="n">
        <v>2012</v>
      </c>
      <c r="F1011" s="0" t="n">
        <v>11</v>
      </c>
      <c r="G1011" s="38" t="n">
        <v>11845021.56</v>
      </c>
    </row>
    <row r="1012" customFormat="false" ht="15" hidden="false" customHeight="false" outlineLevel="0" collapsed="false">
      <c r="A1012" s="0" t="n">
        <v>21</v>
      </c>
      <c r="B1012" s="0" t="s">
        <v>62</v>
      </c>
      <c r="C1012" s="36" t="n">
        <v>140167</v>
      </c>
      <c r="D1012" s="37" t="n">
        <v>40878</v>
      </c>
      <c r="E1012" s="0" t="n">
        <v>2012</v>
      </c>
      <c r="F1012" s="0" t="n">
        <v>11</v>
      </c>
      <c r="G1012" s="38" t="n">
        <v>4432324.76</v>
      </c>
    </row>
    <row r="1013" customFormat="false" ht="15" hidden="false" customHeight="false" outlineLevel="0" collapsed="false">
      <c r="A1013" s="0" t="n">
        <v>22</v>
      </c>
      <c r="B1013" s="0" t="s">
        <v>62</v>
      </c>
      <c r="C1013" s="36" t="n">
        <v>119557</v>
      </c>
      <c r="D1013" s="37" t="n">
        <v>40878</v>
      </c>
      <c r="E1013" s="0" t="n">
        <v>2012</v>
      </c>
      <c r="F1013" s="0" t="n">
        <v>11</v>
      </c>
      <c r="G1013" s="38" t="n">
        <v>6069491.94</v>
      </c>
    </row>
    <row r="1014" customFormat="false" ht="15" hidden="false" customHeight="false" outlineLevel="0" collapsed="false">
      <c r="A1014" s="0" t="n">
        <v>23</v>
      </c>
      <c r="B1014" s="0" t="s">
        <v>62</v>
      </c>
      <c r="C1014" s="36" t="n">
        <v>114533</v>
      </c>
      <c r="D1014" s="37" t="n">
        <v>40878</v>
      </c>
      <c r="E1014" s="0" t="n">
        <v>2012</v>
      </c>
      <c r="F1014" s="0" t="n">
        <v>11</v>
      </c>
      <c r="G1014" s="38" t="n">
        <v>8424297.31</v>
      </c>
    </row>
    <row r="1015" customFormat="false" ht="15" hidden="false" customHeight="false" outlineLevel="0" collapsed="false">
      <c r="A1015" s="0" t="n">
        <v>24</v>
      </c>
      <c r="B1015" s="0" t="s">
        <v>60</v>
      </c>
      <c r="C1015" s="36" t="n">
        <v>203819</v>
      </c>
      <c r="D1015" s="37" t="n">
        <v>40878</v>
      </c>
      <c r="E1015" s="0" t="n">
        <v>2012</v>
      </c>
      <c r="F1015" s="0" t="n">
        <v>11</v>
      </c>
      <c r="G1015" s="38" t="n">
        <v>7247338.25</v>
      </c>
    </row>
    <row r="1016" customFormat="false" ht="15" hidden="false" customHeight="false" outlineLevel="0" collapsed="false">
      <c r="A1016" s="0" t="n">
        <v>25</v>
      </c>
      <c r="B1016" s="0" t="s">
        <v>62</v>
      </c>
      <c r="C1016" s="36" t="n">
        <v>128107</v>
      </c>
      <c r="D1016" s="37" t="n">
        <v>40878</v>
      </c>
      <c r="E1016" s="0" t="n">
        <v>2012</v>
      </c>
      <c r="F1016" s="0" t="n">
        <v>11</v>
      </c>
      <c r="G1016" s="38" t="n">
        <v>4230010.92</v>
      </c>
    </row>
    <row r="1017" customFormat="false" ht="15" hidden="false" customHeight="false" outlineLevel="0" collapsed="false">
      <c r="A1017" s="0" t="n">
        <v>26</v>
      </c>
      <c r="B1017" s="0" t="s">
        <v>60</v>
      </c>
      <c r="C1017" s="36" t="n">
        <v>152513</v>
      </c>
      <c r="D1017" s="37" t="n">
        <v>40878</v>
      </c>
      <c r="E1017" s="0" t="n">
        <v>2012</v>
      </c>
      <c r="F1017" s="0" t="n">
        <v>11</v>
      </c>
      <c r="G1017" s="38" t="n">
        <v>5269883.93</v>
      </c>
    </row>
    <row r="1018" customFormat="false" ht="15" hidden="false" customHeight="false" outlineLevel="0" collapsed="false">
      <c r="A1018" s="0" t="n">
        <v>27</v>
      </c>
      <c r="B1018" s="0" t="s">
        <v>60</v>
      </c>
      <c r="C1018" s="36" t="n">
        <v>204184</v>
      </c>
      <c r="D1018" s="37" t="n">
        <v>40878</v>
      </c>
      <c r="E1018" s="0" t="n">
        <v>2012</v>
      </c>
      <c r="F1018" s="0" t="n">
        <v>11</v>
      </c>
      <c r="G1018" s="38" t="n">
        <v>9345801.17</v>
      </c>
    </row>
    <row r="1019" customFormat="false" ht="15" hidden="false" customHeight="false" outlineLevel="0" collapsed="false">
      <c r="A1019" s="0" t="n">
        <v>28</v>
      </c>
      <c r="B1019" s="0" t="s">
        <v>60</v>
      </c>
      <c r="C1019" s="36" t="n">
        <v>206302</v>
      </c>
      <c r="D1019" s="37" t="n">
        <v>40878</v>
      </c>
      <c r="E1019" s="0" t="n">
        <v>2012</v>
      </c>
      <c r="F1019" s="0" t="n">
        <v>11</v>
      </c>
      <c r="G1019" s="38" t="n">
        <v>6563548.52</v>
      </c>
    </row>
    <row r="1020" customFormat="false" ht="15" hidden="false" customHeight="false" outlineLevel="0" collapsed="false">
      <c r="A1020" s="0" t="n">
        <v>29</v>
      </c>
      <c r="B1020" s="0" t="s">
        <v>62</v>
      </c>
      <c r="C1020" s="36" t="n">
        <v>93638</v>
      </c>
      <c r="D1020" s="37" t="n">
        <v>40878</v>
      </c>
      <c r="E1020" s="0" t="n">
        <v>2012</v>
      </c>
      <c r="F1020" s="0" t="n">
        <v>11</v>
      </c>
      <c r="G1020" s="38" t="n">
        <v>3171215.53</v>
      </c>
    </row>
    <row r="1021" customFormat="false" ht="15" hidden="false" customHeight="false" outlineLevel="0" collapsed="false">
      <c r="A1021" s="0" t="n">
        <v>30</v>
      </c>
      <c r="B1021" s="0" t="s">
        <v>64</v>
      </c>
      <c r="C1021" s="36" t="n">
        <v>42988</v>
      </c>
      <c r="D1021" s="37" t="n">
        <v>40878</v>
      </c>
      <c r="E1021" s="0" t="n">
        <v>2012</v>
      </c>
      <c r="F1021" s="0" t="n">
        <v>11</v>
      </c>
      <c r="G1021" s="38" t="n">
        <v>1929920.85</v>
      </c>
    </row>
    <row r="1022" customFormat="false" ht="15" hidden="false" customHeight="false" outlineLevel="0" collapsed="false">
      <c r="A1022" s="0" t="n">
        <v>31</v>
      </c>
      <c r="B1022" s="0" t="s">
        <v>60</v>
      </c>
      <c r="C1022" s="36" t="n">
        <v>203750</v>
      </c>
      <c r="D1022" s="37" t="n">
        <v>40878</v>
      </c>
      <c r="E1022" s="0" t="n">
        <v>2012</v>
      </c>
      <c r="F1022" s="0" t="n">
        <v>11</v>
      </c>
      <c r="G1022" s="38" t="n">
        <v>7146556.37</v>
      </c>
    </row>
    <row r="1023" customFormat="false" ht="15" hidden="false" customHeight="false" outlineLevel="0" collapsed="false">
      <c r="A1023" s="0" t="n">
        <v>32</v>
      </c>
      <c r="B1023" s="0" t="s">
        <v>60</v>
      </c>
      <c r="C1023" s="36" t="n">
        <v>203007</v>
      </c>
      <c r="D1023" s="37" t="n">
        <v>40878</v>
      </c>
      <c r="E1023" s="0" t="n">
        <v>2012</v>
      </c>
      <c r="F1023" s="0" t="n">
        <v>11</v>
      </c>
      <c r="G1023" s="38" t="n">
        <v>6527871.59</v>
      </c>
    </row>
    <row r="1024" customFormat="false" ht="15" hidden="false" customHeight="false" outlineLevel="0" collapsed="false">
      <c r="A1024" s="0" t="n">
        <v>33</v>
      </c>
      <c r="B1024" s="0" t="s">
        <v>60</v>
      </c>
      <c r="C1024" s="36" t="n">
        <v>39690</v>
      </c>
      <c r="D1024" s="37" t="n">
        <v>40878</v>
      </c>
      <c r="E1024" s="0" t="n">
        <v>2012</v>
      </c>
      <c r="F1024" s="0" t="n">
        <v>11</v>
      </c>
      <c r="G1024" s="38" t="n">
        <v>1102631.32</v>
      </c>
    </row>
    <row r="1025" customFormat="false" ht="15" hidden="false" customHeight="false" outlineLevel="0" collapsed="false">
      <c r="A1025" s="0" t="n">
        <v>34</v>
      </c>
      <c r="B1025" s="0" t="s">
        <v>60</v>
      </c>
      <c r="C1025" s="36" t="n">
        <v>158114</v>
      </c>
      <c r="D1025" s="37" t="n">
        <v>40878</v>
      </c>
      <c r="E1025" s="0" t="n">
        <v>2012</v>
      </c>
      <c r="F1025" s="0" t="n">
        <v>11</v>
      </c>
      <c r="G1025" s="38" t="n">
        <v>5213226.35</v>
      </c>
    </row>
    <row r="1026" customFormat="false" ht="15" hidden="false" customHeight="false" outlineLevel="0" collapsed="false">
      <c r="A1026" s="0" t="n">
        <v>35</v>
      </c>
      <c r="B1026" s="0" t="s">
        <v>62</v>
      </c>
      <c r="C1026" s="36" t="n">
        <v>103681</v>
      </c>
      <c r="D1026" s="37" t="n">
        <v>40878</v>
      </c>
      <c r="E1026" s="0" t="n">
        <v>2012</v>
      </c>
      <c r="F1026" s="0" t="n">
        <v>11</v>
      </c>
      <c r="G1026" s="38" t="n">
        <v>4873216.66</v>
      </c>
    </row>
    <row r="1027" customFormat="false" ht="15" hidden="false" customHeight="false" outlineLevel="0" collapsed="false">
      <c r="A1027" s="0" t="n">
        <v>36</v>
      </c>
      <c r="B1027" s="0" t="s">
        <v>60</v>
      </c>
      <c r="C1027" s="36" t="n">
        <v>39910</v>
      </c>
      <c r="D1027" s="37" t="n">
        <v>40878</v>
      </c>
      <c r="E1027" s="0" t="n">
        <v>2012</v>
      </c>
      <c r="F1027" s="0" t="n">
        <v>11</v>
      </c>
      <c r="G1027" s="38" t="n">
        <v>1397371.26</v>
      </c>
    </row>
    <row r="1028" customFormat="false" ht="15" hidden="false" customHeight="false" outlineLevel="0" collapsed="false">
      <c r="A1028" s="0" t="n">
        <v>37</v>
      </c>
      <c r="B1028" s="0" t="s">
        <v>64</v>
      </c>
      <c r="C1028" s="36" t="n">
        <v>39910</v>
      </c>
      <c r="D1028" s="37" t="n">
        <v>40878</v>
      </c>
      <c r="E1028" s="0" t="n">
        <v>2012</v>
      </c>
      <c r="F1028" s="0" t="n">
        <v>11</v>
      </c>
      <c r="G1028" s="38" t="n">
        <v>2358617.7</v>
      </c>
    </row>
    <row r="1029" customFormat="false" ht="15" hidden="false" customHeight="false" outlineLevel="0" collapsed="false">
      <c r="A1029" s="0" t="n">
        <v>38</v>
      </c>
      <c r="B1029" s="0" t="s">
        <v>64</v>
      </c>
      <c r="C1029" s="36" t="n">
        <v>39690</v>
      </c>
      <c r="D1029" s="37" t="n">
        <v>40878</v>
      </c>
      <c r="E1029" s="0" t="n">
        <v>2012</v>
      </c>
      <c r="F1029" s="0" t="n">
        <v>11</v>
      </c>
      <c r="G1029" s="38" t="n">
        <v>1787925.54</v>
      </c>
    </row>
    <row r="1030" customFormat="false" ht="15" hidden="false" customHeight="false" outlineLevel="0" collapsed="false">
      <c r="A1030" s="0" t="n">
        <v>39</v>
      </c>
      <c r="B1030" s="0" t="s">
        <v>60</v>
      </c>
      <c r="C1030" s="36" t="n">
        <v>184109</v>
      </c>
      <c r="D1030" s="37" t="n">
        <v>40878</v>
      </c>
      <c r="E1030" s="0" t="n">
        <v>2012</v>
      </c>
      <c r="F1030" s="0" t="n">
        <v>11</v>
      </c>
      <c r="G1030" s="38" t="n">
        <v>8542736.21</v>
      </c>
    </row>
    <row r="1031" customFormat="false" ht="15" hidden="false" customHeight="false" outlineLevel="0" collapsed="false">
      <c r="A1031" s="0" t="n">
        <v>40</v>
      </c>
      <c r="B1031" s="0" t="s">
        <v>60</v>
      </c>
      <c r="C1031" s="36" t="n">
        <v>155083</v>
      </c>
      <c r="D1031" s="37" t="n">
        <v>40878</v>
      </c>
      <c r="E1031" s="0" t="n">
        <v>2012</v>
      </c>
      <c r="F1031" s="0" t="n">
        <v>11</v>
      </c>
      <c r="G1031" s="38" t="n">
        <v>5306950.89</v>
      </c>
    </row>
    <row r="1032" customFormat="false" ht="15" hidden="false" customHeight="false" outlineLevel="0" collapsed="false">
      <c r="A1032" s="0" t="n">
        <v>41</v>
      </c>
      <c r="B1032" s="0" t="s">
        <v>60</v>
      </c>
      <c r="C1032" s="36" t="n">
        <v>196321</v>
      </c>
      <c r="D1032" s="37" t="n">
        <v>40878</v>
      </c>
      <c r="E1032" s="0" t="n">
        <v>2012</v>
      </c>
      <c r="F1032" s="0" t="n">
        <v>11</v>
      </c>
      <c r="G1032" s="38" t="n">
        <v>7300632.94</v>
      </c>
    </row>
    <row r="1033" customFormat="false" ht="15" hidden="false" customHeight="false" outlineLevel="0" collapsed="false">
      <c r="A1033" s="0" t="n">
        <v>42</v>
      </c>
      <c r="B1033" s="0" t="s">
        <v>64</v>
      </c>
      <c r="C1033" s="36" t="n">
        <v>39690</v>
      </c>
      <c r="D1033" s="37" t="n">
        <v>40878</v>
      </c>
      <c r="E1033" s="0" t="n">
        <v>2012</v>
      </c>
      <c r="F1033" s="0" t="n">
        <v>11</v>
      </c>
      <c r="G1033" s="38" t="n">
        <v>2484822.63</v>
      </c>
    </row>
    <row r="1034" customFormat="false" ht="15" hidden="false" customHeight="false" outlineLevel="0" collapsed="false">
      <c r="A1034" s="0" t="n">
        <v>43</v>
      </c>
      <c r="B1034" s="0" t="s">
        <v>64</v>
      </c>
      <c r="C1034" s="36" t="n">
        <v>41062</v>
      </c>
      <c r="D1034" s="37" t="n">
        <v>40878</v>
      </c>
      <c r="E1034" s="0" t="n">
        <v>2012</v>
      </c>
      <c r="F1034" s="0" t="n">
        <v>11</v>
      </c>
      <c r="G1034" s="38" t="n">
        <v>2727608.5</v>
      </c>
    </row>
    <row r="1035" customFormat="false" ht="15" hidden="false" customHeight="false" outlineLevel="0" collapsed="false">
      <c r="A1035" s="0" t="n">
        <v>44</v>
      </c>
      <c r="B1035" s="0" t="s">
        <v>64</v>
      </c>
      <c r="C1035" s="36" t="n">
        <v>39910</v>
      </c>
      <c r="D1035" s="37" t="n">
        <v>40878</v>
      </c>
      <c r="E1035" s="0" t="n">
        <v>2012</v>
      </c>
      <c r="F1035" s="0" t="n">
        <v>11</v>
      </c>
      <c r="G1035" s="38" t="n">
        <v>1383303.48</v>
      </c>
    </row>
    <row r="1036" customFormat="false" ht="15" hidden="false" customHeight="false" outlineLevel="0" collapsed="false">
      <c r="A1036" s="0" t="n">
        <v>45</v>
      </c>
      <c r="B1036" s="0" t="s">
        <v>62</v>
      </c>
      <c r="C1036" s="36" t="n">
        <v>118221</v>
      </c>
      <c r="D1036" s="37" t="n">
        <v>40878</v>
      </c>
      <c r="E1036" s="0" t="n">
        <v>2012</v>
      </c>
      <c r="F1036" s="0" t="n">
        <v>11</v>
      </c>
      <c r="G1036" s="38" t="n">
        <v>4779634.11</v>
      </c>
    </row>
    <row r="1037" customFormat="false" ht="15" hidden="false" customHeight="false" outlineLevel="0" collapsed="false">
      <c r="A1037" s="0" t="n">
        <v>1</v>
      </c>
      <c r="B1037" s="0" t="s">
        <v>60</v>
      </c>
      <c r="C1037" s="36" t="n">
        <v>151315</v>
      </c>
      <c r="D1037" s="37" t="n">
        <v>40909</v>
      </c>
      <c r="E1037" s="0" t="n">
        <v>2012</v>
      </c>
      <c r="F1037" s="0" t="n">
        <v>12</v>
      </c>
      <c r="G1037" s="38" t="n">
        <v>6437260.36</v>
      </c>
    </row>
    <row r="1038" customFormat="false" ht="15" hidden="false" customHeight="false" outlineLevel="0" collapsed="false">
      <c r="A1038" s="0" t="n">
        <v>2</v>
      </c>
      <c r="B1038" s="0" t="s">
        <v>60</v>
      </c>
      <c r="C1038" s="36" t="n">
        <v>202307</v>
      </c>
      <c r="D1038" s="37" t="n">
        <v>40909</v>
      </c>
      <c r="E1038" s="0" t="n">
        <v>2012</v>
      </c>
      <c r="F1038" s="0" t="n">
        <v>12</v>
      </c>
      <c r="G1038" s="38" t="n">
        <v>7765732.23</v>
      </c>
    </row>
    <row r="1039" customFormat="false" ht="15" hidden="false" customHeight="false" outlineLevel="0" collapsed="false">
      <c r="A1039" s="0" t="n">
        <v>3</v>
      </c>
      <c r="B1039" s="0" t="s">
        <v>62</v>
      </c>
      <c r="C1039" s="36" t="n">
        <v>37392</v>
      </c>
      <c r="D1039" s="37" t="n">
        <v>40909</v>
      </c>
      <c r="E1039" s="0" t="n">
        <v>2012</v>
      </c>
      <c r="F1039" s="0" t="n">
        <v>12</v>
      </c>
      <c r="G1039" s="38" t="n">
        <v>1666905.57</v>
      </c>
    </row>
    <row r="1040" customFormat="false" ht="15" hidden="false" customHeight="false" outlineLevel="0" collapsed="false">
      <c r="A1040" s="0" t="n">
        <v>4</v>
      </c>
      <c r="B1040" s="0" t="s">
        <v>60</v>
      </c>
      <c r="C1040" s="36" t="n">
        <v>205863</v>
      </c>
      <c r="D1040" s="37" t="n">
        <v>40909</v>
      </c>
      <c r="E1040" s="0" t="n">
        <v>2012</v>
      </c>
      <c r="F1040" s="0" t="n">
        <v>12</v>
      </c>
      <c r="G1040" s="38" t="n">
        <v>8872650.85</v>
      </c>
    </row>
    <row r="1041" customFormat="false" ht="15" hidden="false" customHeight="false" outlineLevel="0" collapsed="false">
      <c r="A1041" s="0" t="n">
        <v>5</v>
      </c>
      <c r="B1041" s="0" t="s">
        <v>62</v>
      </c>
      <c r="C1041" s="36" t="n">
        <v>34875</v>
      </c>
      <c r="D1041" s="37" t="n">
        <v>40909</v>
      </c>
      <c r="E1041" s="0" t="n">
        <v>2012</v>
      </c>
      <c r="F1041" s="0" t="n">
        <v>12</v>
      </c>
      <c r="G1041" s="38" t="n">
        <v>1333276.19</v>
      </c>
    </row>
    <row r="1042" customFormat="false" ht="15" hidden="false" customHeight="false" outlineLevel="0" collapsed="false">
      <c r="A1042" s="0" t="n">
        <v>6</v>
      </c>
      <c r="B1042" s="0" t="s">
        <v>60</v>
      </c>
      <c r="C1042" s="36" t="n">
        <v>202505</v>
      </c>
      <c r="D1042" s="37" t="n">
        <v>40909</v>
      </c>
      <c r="E1042" s="0" t="n">
        <v>2012</v>
      </c>
      <c r="F1042" s="0" t="n">
        <v>12</v>
      </c>
      <c r="G1042" s="38" t="n">
        <v>6037146.89</v>
      </c>
    </row>
    <row r="1043" customFormat="false" ht="15" hidden="false" customHeight="false" outlineLevel="0" collapsed="false">
      <c r="A1043" s="0" t="n">
        <v>7</v>
      </c>
      <c r="B1043" s="0" t="s">
        <v>62</v>
      </c>
      <c r="C1043" s="36" t="n">
        <v>70713</v>
      </c>
      <c r="D1043" s="37" t="n">
        <v>40909</v>
      </c>
      <c r="E1043" s="0" t="n">
        <v>2012</v>
      </c>
      <c r="F1043" s="0" t="n">
        <v>12</v>
      </c>
      <c r="G1043" s="38" t="n">
        <v>2655847.62</v>
      </c>
    </row>
    <row r="1044" customFormat="false" ht="15" hidden="false" customHeight="false" outlineLevel="0" collapsed="false">
      <c r="A1044" s="0" t="n">
        <v>8</v>
      </c>
      <c r="B1044" s="0" t="s">
        <v>60</v>
      </c>
      <c r="C1044" s="36" t="n">
        <v>155078</v>
      </c>
      <c r="D1044" s="37" t="n">
        <v>40909</v>
      </c>
      <c r="E1044" s="0" t="n">
        <v>2012</v>
      </c>
      <c r="F1044" s="0" t="n">
        <v>12</v>
      </c>
      <c r="G1044" s="38" t="n">
        <v>3687384.02</v>
      </c>
    </row>
    <row r="1045" customFormat="false" ht="15" hidden="false" customHeight="false" outlineLevel="0" collapsed="false">
      <c r="A1045" s="0" t="n">
        <v>9</v>
      </c>
      <c r="B1045" s="0" t="s">
        <v>62</v>
      </c>
      <c r="C1045" s="36" t="n">
        <v>125833</v>
      </c>
      <c r="D1045" s="37" t="n">
        <v>40909</v>
      </c>
      <c r="E1045" s="0" t="n">
        <v>2012</v>
      </c>
      <c r="F1045" s="0" t="n">
        <v>12</v>
      </c>
      <c r="G1045" s="38" t="n">
        <v>2197172.36</v>
      </c>
    </row>
    <row r="1046" customFormat="false" ht="15" hidden="false" customHeight="false" outlineLevel="0" collapsed="false">
      <c r="A1046" s="0" t="n">
        <v>10</v>
      </c>
      <c r="B1046" s="0" t="s">
        <v>62</v>
      </c>
      <c r="C1046" s="36" t="n">
        <v>126512</v>
      </c>
      <c r="D1046" s="37" t="n">
        <v>40909</v>
      </c>
      <c r="E1046" s="0" t="n">
        <v>2012</v>
      </c>
      <c r="F1046" s="0" t="n">
        <v>12</v>
      </c>
      <c r="G1046" s="38" t="n">
        <v>7529534.92</v>
      </c>
    </row>
    <row r="1047" customFormat="false" ht="15" hidden="false" customHeight="false" outlineLevel="0" collapsed="false">
      <c r="A1047" s="0" t="n">
        <v>11</v>
      </c>
      <c r="B1047" s="0" t="s">
        <v>60</v>
      </c>
      <c r="C1047" s="36" t="n">
        <v>207499</v>
      </c>
      <c r="D1047" s="37" t="n">
        <v>40909</v>
      </c>
      <c r="E1047" s="0" t="n">
        <v>2012</v>
      </c>
      <c r="F1047" s="0" t="n">
        <v>12</v>
      </c>
      <c r="G1047" s="38" t="n">
        <v>5521893.15</v>
      </c>
    </row>
    <row r="1048" customFormat="false" ht="15" hidden="false" customHeight="false" outlineLevel="0" collapsed="false">
      <c r="A1048" s="0" t="n">
        <v>12</v>
      </c>
      <c r="B1048" s="0" t="s">
        <v>62</v>
      </c>
      <c r="C1048" s="36" t="n">
        <v>112238</v>
      </c>
      <c r="D1048" s="37" t="n">
        <v>40909</v>
      </c>
      <c r="E1048" s="0" t="n">
        <v>2012</v>
      </c>
      <c r="F1048" s="0" t="n">
        <v>12</v>
      </c>
      <c r="G1048" s="38" t="n">
        <v>4025310.44</v>
      </c>
    </row>
    <row r="1049" customFormat="false" ht="15" hidden="false" customHeight="false" outlineLevel="0" collapsed="false">
      <c r="A1049" s="0" t="n">
        <v>13</v>
      </c>
      <c r="B1049" s="0" t="s">
        <v>60</v>
      </c>
      <c r="C1049" s="36" t="n">
        <v>219622</v>
      </c>
      <c r="D1049" s="37" t="n">
        <v>40909</v>
      </c>
      <c r="E1049" s="0" t="n">
        <v>2012</v>
      </c>
      <c r="F1049" s="0" t="n">
        <v>12</v>
      </c>
      <c r="G1049" s="38" t="n">
        <v>8041357.58</v>
      </c>
    </row>
    <row r="1050" customFormat="false" ht="15" hidden="false" customHeight="false" outlineLevel="0" collapsed="false">
      <c r="A1050" s="0" t="n">
        <v>14</v>
      </c>
      <c r="B1050" s="0" t="s">
        <v>60</v>
      </c>
      <c r="C1050" s="36" t="n">
        <v>200898</v>
      </c>
      <c r="D1050" s="37" t="n">
        <v>40909</v>
      </c>
      <c r="E1050" s="0" t="n">
        <v>2012</v>
      </c>
      <c r="F1050" s="0" t="n">
        <v>12</v>
      </c>
      <c r="G1050" s="38" t="n">
        <v>7747082.64</v>
      </c>
    </row>
    <row r="1051" customFormat="false" ht="15" hidden="false" customHeight="false" outlineLevel="0" collapsed="false">
      <c r="A1051" s="0" t="n">
        <v>15</v>
      </c>
      <c r="B1051" s="0" t="s">
        <v>62</v>
      </c>
      <c r="C1051" s="36" t="n">
        <v>123737</v>
      </c>
      <c r="D1051" s="37" t="n">
        <v>40909</v>
      </c>
      <c r="E1051" s="0" t="n">
        <v>2012</v>
      </c>
      <c r="F1051" s="0" t="n">
        <v>12</v>
      </c>
      <c r="G1051" s="38" t="n">
        <v>2154644.09</v>
      </c>
    </row>
    <row r="1052" customFormat="false" ht="15" hidden="false" customHeight="false" outlineLevel="0" collapsed="false">
      <c r="A1052" s="0" t="n">
        <v>16</v>
      </c>
      <c r="B1052" s="0" t="s">
        <v>62</v>
      </c>
      <c r="C1052" s="36" t="n">
        <v>57197</v>
      </c>
      <c r="D1052" s="37" t="n">
        <v>40909</v>
      </c>
      <c r="E1052" s="0" t="n">
        <v>2012</v>
      </c>
      <c r="F1052" s="0" t="n">
        <v>12</v>
      </c>
      <c r="G1052" s="38" t="n">
        <v>2192724.54</v>
      </c>
    </row>
    <row r="1053" customFormat="false" ht="15" hidden="false" customHeight="false" outlineLevel="0" collapsed="false">
      <c r="A1053" s="0" t="n">
        <v>17</v>
      </c>
      <c r="B1053" s="0" t="s">
        <v>62</v>
      </c>
      <c r="C1053" s="36" t="n">
        <v>93188</v>
      </c>
      <c r="D1053" s="37" t="n">
        <v>40909</v>
      </c>
      <c r="E1053" s="0" t="n">
        <v>2012</v>
      </c>
      <c r="F1053" s="0" t="n">
        <v>12</v>
      </c>
      <c r="G1053" s="38" t="n">
        <v>3973520.03</v>
      </c>
    </row>
    <row r="1054" customFormat="false" ht="15" hidden="false" customHeight="false" outlineLevel="0" collapsed="false">
      <c r="A1054" s="0" t="n">
        <v>18</v>
      </c>
      <c r="B1054" s="0" t="s">
        <v>62</v>
      </c>
      <c r="C1054" s="36" t="n">
        <v>120653</v>
      </c>
      <c r="D1054" s="37" t="n">
        <v>40909</v>
      </c>
      <c r="E1054" s="0" t="n">
        <v>2012</v>
      </c>
      <c r="F1054" s="0" t="n">
        <v>12</v>
      </c>
      <c r="G1054" s="38" t="n">
        <v>4090780.78</v>
      </c>
    </row>
    <row r="1055" customFormat="false" ht="15" hidden="false" customHeight="false" outlineLevel="0" collapsed="false">
      <c r="A1055" s="0" t="n">
        <v>19</v>
      </c>
      <c r="B1055" s="0" t="s">
        <v>60</v>
      </c>
      <c r="C1055" s="36" t="n">
        <v>203819</v>
      </c>
      <c r="D1055" s="37" t="n">
        <v>40909</v>
      </c>
      <c r="E1055" s="0" t="n">
        <v>2012</v>
      </c>
      <c r="F1055" s="0" t="n">
        <v>12</v>
      </c>
      <c r="G1055" s="38" t="n">
        <v>5553307.96</v>
      </c>
    </row>
    <row r="1056" customFormat="false" ht="15" hidden="false" customHeight="false" outlineLevel="0" collapsed="false">
      <c r="A1056" s="0" t="n">
        <v>20</v>
      </c>
      <c r="B1056" s="0" t="s">
        <v>60</v>
      </c>
      <c r="C1056" s="36" t="n">
        <v>203742</v>
      </c>
      <c r="D1056" s="37" t="n">
        <v>40909</v>
      </c>
      <c r="E1056" s="0" t="n">
        <v>2012</v>
      </c>
      <c r="F1056" s="0" t="n">
        <v>12</v>
      </c>
      <c r="G1056" s="38" t="n">
        <v>8508489.47</v>
      </c>
    </row>
    <row r="1057" customFormat="false" ht="15" hidden="false" customHeight="false" outlineLevel="0" collapsed="false">
      <c r="A1057" s="0" t="n">
        <v>21</v>
      </c>
      <c r="B1057" s="0" t="s">
        <v>62</v>
      </c>
      <c r="C1057" s="36" t="n">
        <v>140167</v>
      </c>
      <c r="D1057" s="37" t="n">
        <v>40909</v>
      </c>
      <c r="E1057" s="0" t="n">
        <v>2012</v>
      </c>
      <c r="F1057" s="0" t="n">
        <v>12</v>
      </c>
      <c r="G1057" s="38" t="n">
        <v>2831331.46</v>
      </c>
    </row>
    <row r="1058" customFormat="false" ht="15" hidden="false" customHeight="false" outlineLevel="0" collapsed="false">
      <c r="A1058" s="0" t="n">
        <v>22</v>
      </c>
      <c r="B1058" s="0" t="s">
        <v>62</v>
      </c>
      <c r="C1058" s="36" t="n">
        <v>119557</v>
      </c>
      <c r="D1058" s="37" t="n">
        <v>40909</v>
      </c>
      <c r="E1058" s="0" t="n">
        <v>2012</v>
      </c>
      <c r="F1058" s="0" t="n">
        <v>12</v>
      </c>
      <c r="G1058" s="38" t="n">
        <v>3854081.4</v>
      </c>
    </row>
    <row r="1059" customFormat="false" ht="15" hidden="false" customHeight="false" outlineLevel="0" collapsed="false">
      <c r="A1059" s="0" t="n">
        <v>23</v>
      </c>
      <c r="B1059" s="0" t="s">
        <v>62</v>
      </c>
      <c r="C1059" s="36" t="n">
        <v>114533</v>
      </c>
      <c r="D1059" s="37" t="n">
        <v>40909</v>
      </c>
      <c r="E1059" s="0" t="n">
        <v>2012</v>
      </c>
      <c r="F1059" s="0" t="n">
        <v>12</v>
      </c>
      <c r="G1059" s="38" t="n">
        <v>4923272.13</v>
      </c>
    </row>
    <row r="1060" customFormat="false" ht="15" hidden="false" customHeight="false" outlineLevel="0" collapsed="false">
      <c r="A1060" s="0" t="n">
        <v>24</v>
      </c>
      <c r="B1060" s="0" t="s">
        <v>60</v>
      </c>
      <c r="C1060" s="36" t="n">
        <v>203819</v>
      </c>
      <c r="D1060" s="37" t="n">
        <v>40909</v>
      </c>
      <c r="E1060" s="0" t="n">
        <v>2012</v>
      </c>
      <c r="F1060" s="0" t="n">
        <v>12</v>
      </c>
      <c r="G1060" s="38" t="n">
        <v>5151775.5</v>
      </c>
    </row>
    <row r="1061" customFormat="false" ht="15" hidden="false" customHeight="false" outlineLevel="0" collapsed="false">
      <c r="A1061" s="0" t="n">
        <v>25</v>
      </c>
      <c r="B1061" s="0" t="s">
        <v>62</v>
      </c>
      <c r="C1061" s="36" t="n">
        <v>128107</v>
      </c>
      <c r="D1061" s="37" t="n">
        <v>40909</v>
      </c>
      <c r="E1061" s="0" t="n">
        <v>2012</v>
      </c>
      <c r="F1061" s="0" t="n">
        <v>12</v>
      </c>
      <c r="G1061" s="38" t="n">
        <v>2711866.36</v>
      </c>
    </row>
    <row r="1062" customFormat="false" ht="15" hidden="false" customHeight="false" outlineLevel="0" collapsed="false">
      <c r="A1062" s="0" t="n">
        <v>26</v>
      </c>
      <c r="B1062" s="0" t="s">
        <v>60</v>
      </c>
      <c r="C1062" s="36" t="n">
        <v>152513</v>
      </c>
      <c r="D1062" s="37" t="n">
        <v>40909</v>
      </c>
      <c r="E1062" s="0" t="n">
        <v>2012</v>
      </c>
      <c r="F1062" s="0" t="n">
        <v>12</v>
      </c>
      <c r="G1062" s="38" t="n">
        <v>3864542.57</v>
      </c>
    </row>
    <row r="1063" customFormat="false" ht="15" hidden="false" customHeight="false" outlineLevel="0" collapsed="false">
      <c r="A1063" s="0" t="n">
        <v>27</v>
      </c>
      <c r="B1063" s="0" t="s">
        <v>60</v>
      </c>
      <c r="C1063" s="36" t="n">
        <v>204184</v>
      </c>
      <c r="D1063" s="37" t="n">
        <v>40909</v>
      </c>
      <c r="E1063" s="0" t="n">
        <v>2012</v>
      </c>
      <c r="F1063" s="0" t="n">
        <v>12</v>
      </c>
      <c r="G1063" s="38" t="n">
        <v>6507880.56</v>
      </c>
    </row>
    <row r="1064" customFormat="false" ht="15" hidden="false" customHeight="false" outlineLevel="0" collapsed="false">
      <c r="A1064" s="0" t="n">
        <v>28</v>
      </c>
      <c r="B1064" s="0" t="s">
        <v>60</v>
      </c>
      <c r="C1064" s="36" t="n">
        <v>206302</v>
      </c>
      <c r="D1064" s="37" t="n">
        <v>40909</v>
      </c>
      <c r="E1064" s="0" t="n">
        <v>2012</v>
      </c>
      <c r="F1064" s="0" t="n">
        <v>12</v>
      </c>
      <c r="G1064" s="38" t="n">
        <v>5555489.85</v>
      </c>
    </row>
    <row r="1065" customFormat="false" ht="15" hidden="false" customHeight="false" outlineLevel="0" collapsed="false">
      <c r="A1065" s="0" t="n">
        <v>29</v>
      </c>
      <c r="B1065" s="0" t="s">
        <v>62</v>
      </c>
      <c r="C1065" s="36" t="n">
        <v>93638</v>
      </c>
      <c r="D1065" s="37" t="n">
        <v>40909</v>
      </c>
      <c r="E1065" s="0" t="n">
        <v>2012</v>
      </c>
      <c r="F1065" s="0" t="n">
        <v>12</v>
      </c>
      <c r="G1065" s="38" t="n">
        <v>1972075.56</v>
      </c>
    </row>
    <row r="1066" customFormat="false" ht="15" hidden="false" customHeight="false" outlineLevel="0" collapsed="false">
      <c r="A1066" s="0" t="n">
        <v>30</v>
      </c>
      <c r="B1066" s="0" t="s">
        <v>64</v>
      </c>
      <c r="C1066" s="36" t="n">
        <v>42988</v>
      </c>
      <c r="D1066" s="37" t="n">
        <v>40909</v>
      </c>
      <c r="E1066" s="0" t="n">
        <v>2012</v>
      </c>
      <c r="F1066" s="0" t="n">
        <v>12</v>
      </c>
      <c r="G1066" s="38" t="n">
        <v>1958609.07</v>
      </c>
    </row>
    <row r="1067" customFormat="false" ht="15" hidden="false" customHeight="false" outlineLevel="0" collapsed="false">
      <c r="A1067" s="0" t="n">
        <v>31</v>
      </c>
      <c r="B1067" s="0" t="s">
        <v>60</v>
      </c>
      <c r="C1067" s="36" t="n">
        <v>203750</v>
      </c>
      <c r="D1067" s="37" t="n">
        <v>40909</v>
      </c>
      <c r="E1067" s="0" t="n">
        <v>2012</v>
      </c>
      <c r="F1067" s="0" t="n">
        <v>12</v>
      </c>
      <c r="G1067" s="38" t="n">
        <v>6006119.31</v>
      </c>
    </row>
    <row r="1068" customFormat="false" ht="15" hidden="false" customHeight="false" outlineLevel="0" collapsed="false">
      <c r="A1068" s="0" t="n">
        <v>32</v>
      </c>
      <c r="B1068" s="0" t="s">
        <v>60</v>
      </c>
      <c r="C1068" s="36" t="n">
        <v>203007</v>
      </c>
      <c r="D1068" s="37" t="n">
        <v>40909</v>
      </c>
      <c r="E1068" s="0" t="n">
        <v>2012</v>
      </c>
      <c r="F1068" s="0" t="n">
        <v>12</v>
      </c>
      <c r="G1068" s="38" t="n">
        <v>4807321.96</v>
      </c>
    </row>
    <row r="1069" customFormat="false" ht="15" hidden="false" customHeight="false" outlineLevel="0" collapsed="false">
      <c r="A1069" s="0" t="n">
        <v>33</v>
      </c>
      <c r="B1069" s="0" t="s">
        <v>60</v>
      </c>
      <c r="C1069" s="36" t="n">
        <v>39690</v>
      </c>
      <c r="D1069" s="37" t="n">
        <v>40909</v>
      </c>
      <c r="E1069" s="0" t="n">
        <v>2012</v>
      </c>
      <c r="F1069" s="0" t="n">
        <v>12</v>
      </c>
      <c r="G1069" s="38" t="n">
        <v>1136511.73</v>
      </c>
    </row>
    <row r="1070" customFormat="false" ht="15" hidden="false" customHeight="false" outlineLevel="0" collapsed="false">
      <c r="A1070" s="0" t="n">
        <v>34</v>
      </c>
      <c r="B1070" s="0" t="s">
        <v>60</v>
      </c>
      <c r="C1070" s="36" t="n">
        <v>158114</v>
      </c>
      <c r="D1070" s="37" t="n">
        <v>40909</v>
      </c>
      <c r="E1070" s="0" t="n">
        <v>2012</v>
      </c>
      <c r="F1070" s="0" t="n">
        <v>12</v>
      </c>
      <c r="G1070" s="38" t="n">
        <v>4051467.03</v>
      </c>
    </row>
    <row r="1071" customFormat="false" ht="15" hidden="false" customHeight="false" outlineLevel="0" collapsed="false">
      <c r="A1071" s="0" t="n">
        <v>35</v>
      </c>
      <c r="B1071" s="0" t="s">
        <v>62</v>
      </c>
      <c r="C1071" s="36" t="n">
        <v>103681</v>
      </c>
      <c r="D1071" s="37" t="n">
        <v>40909</v>
      </c>
      <c r="E1071" s="0" t="n">
        <v>2012</v>
      </c>
      <c r="F1071" s="0" t="n">
        <v>12</v>
      </c>
      <c r="G1071" s="38" t="n">
        <v>2886258.51</v>
      </c>
    </row>
    <row r="1072" customFormat="false" ht="15" hidden="false" customHeight="false" outlineLevel="0" collapsed="false">
      <c r="A1072" s="0" t="n">
        <v>36</v>
      </c>
      <c r="B1072" s="0" t="s">
        <v>60</v>
      </c>
      <c r="C1072" s="36" t="n">
        <v>39910</v>
      </c>
      <c r="D1072" s="37" t="n">
        <v>40909</v>
      </c>
      <c r="E1072" s="0" t="n">
        <v>2012</v>
      </c>
      <c r="F1072" s="0" t="n">
        <v>12</v>
      </c>
      <c r="G1072" s="38" t="n">
        <v>1418453.99</v>
      </c>
    </row>
    <row r="1073" customFormat="false" ht="15" hidden="false" customHeight="false" outlineLevel="0" collapsed="false">
      <c r="A1073" s="0" t="n">
        <v>37</v>
      </c>
      <c r="B1073" s="0" t="s">
        <v>64</v>
      </c>
      <c r="C1073" s="36" t="n">
        <v>39910</v>
      </c>
      <c r="D1073" s="37" t="n">
        <v>40909</v>
      </c>
      <c r="E1073" s="0" t="n">
        <v>2012</v>
      </c>
      <c r="F1073" s="0" t="n">
        <v>12</v>
      </c>
      <c r="G1073" s="38" t="n">
        <v>2400197.53</v>
      </c>
    </row>
    <row r="1074" customFormat="false" ht="15" hidden="false" customHeight="false" outlineLevel="0" collapsed="false">
      <c r="A1074" s="0" t="n">
        <v>38</v>
      </c>
      <c r="B1074" s="0" t="s">
        <v>64</v>
      </c>
      <c r="C1074" s="36" t="n">
        <v>39690</v>
      </c>
      <c r="D1074" s="37" t="n">
        <v>40909</v>
      </c>
      <c r="E1074" s="0" t="n">
        <v>2012</v>
      </c>
      <c r="F1074" s="0" t="n">
        <v>12</v>
      </c>
      <c r="G1074" s="38" t="n">
        <v>1913037.01</v>
      </c>
    </row>
    <row r="1075" customFormat="false" ht="15" hidden="false" customHeight="false" outlineLevel="0" collapsed="false">
      <c r="A1075" s="0" t="n">
        <v>39</v>
      </c>
      <c r="B1075" s="0" t="s">
        <v>60</v>
      </c>
      <c r="C1075" s="36" t="n">
        <v>184109</v>
      </c>
      <c r="D1075" s="37" t="n">
        <v>40909</v>
      </c>
      <c r="E1075" s="0" t="n">
        <v>2012</v>
      </c>
      <c r="F1075" s="0" t="n">
        <v>12</v>
      </c>
      <c r="G1075" s="38" t="n">
        <v>6149386.29</v>
      </c>
    </row>
    <row r="1076" customFormat="false" ht="15" hidden="false" customHeight="false" outlineLevel="0" collapsed="false">
      <c r="A1076" s="0" t="n">
        <v>40</v>
      </c>
      <c r="B1076" s="0" t="s">
        <v>60</v>
      </c>
      <c r="C1076" s="36" t="n">
        <v>155083</v>
      </c>
      <c r="D1076" s="37" t="n">
        <v>40909</v>
      </c>
      <c r="E1076" s="0" t="n">
        <v>2012</v>
      </c>
      <c r="F1076" s="0" t="n">
        <v>12</v>
      </c>
      <c r="G1076" s="38" t="n">
        <v>3740083.17</v>
      </c>
    </row>
    <row r="1077" customFormat="false" ht="15" hidden="false" customHeight="false" outlineLevel="0" collapsed="false">
      <c r="A1077" s="0" t="n">
        <v>41</v>
      </c>
      <c r="B1077" s="0" t="s">
        <v>60</v>
      </c>
      <c r="C1077" s="36" t="n">
        <v>196321</v>
      </c>
      <c r="D1077" s="37" t="n">
        <v>40909</v>
      </c>
      <c r="E1077" s="0" t="n">
        <v>2012</v>
      </c>
      <c r="F1077" s="0" t="n">
        <v>12</v>
      </c>
      <c r="G1077" s="38" t="n">
        <v>5056811.61</v>
      </c>
    </row>
    <row r="1078" customFormat="false" ht="15" hidden="false" customHeight="false" outlineLevel="0" collapsed="false">
      <c r="A1078" s="0" t="n">
        <v>42</v>
      </c>
      <c r="B1078" s="0" t="s">
        <v>64</v>
      </c>
      <c r="C1078" s="36" t="n">
        <v>39690</v>
      </c>
      <c r="D1078" s="37" t="n">
        <v>40909</v>
      </c>
      <c r="E1078" s="0" t="n">
        <v>2012</v>
      </c>
      <c r="F1078" s="0" t="n">
        <v>12</v>
      </c>
      <c r="G1078" s="38" t="n">
        <v>2664544.89</v>
      </c>
    </row>
    <row r="1079" customFormat="false" ht="15" hidden="false" customHeight="false" outlineLevel="0" collapsed="false">
      <c r="A1079" s="0" t="n">
        <v>43</v>
      </c>
      <c r="B1079" s="0" t="s">
        <v>64</v>
      </c>
      <c r="C1079" s="36" t="n">
        <v>41062</v>
      </c>
      <c r="D1079" s="37" t="n">
        <v>40909</v>
      </c>
      <c r="E1079" s="0" t="n">
        <v>2012</v>
      </c>
      <c r="F1079" s="0" t="n">
        <v>12</v>
      </c>
      <c r="G1079" s="38" t="n">
        <v>2805107.09</v>
      </c>
    </row>
    <row r="1080" customFormat="false" ht="15" hidden="false" customHeight="false" outlineLevel="0" collapsed="false">
      <c r="A1080" s="0" t="n">
        <v>44</v>
      </c>
      <c r="B1080" s="0" t="s">
        <v>64</v>
      </c>
      <c r="C1080" s="36" t="n">
        <v>39910</v>
      </c>
      <c r="D1080" s="37" t="n">
        <v>40909</v>
      </c>
      <c r="E1080" s="0" t="n">
        <v>2012</v>
      </c>
      <c r="F1080" s="0" t="n">
        <v>12</v>
      </c>
      <c r="G1080" s="38" t="n">
        <v>1402735.94</v>
      </c>
    </row>
    <row r="1081" customFormat="false" ht="15" hidden="false" customHeight="false" outlineLevel="0" collapsed="false">
      <c r="A1081" s="0" t="n">
        <v>45</v>
      </c>
      <c r="B1081" s="0" t="s">
        <v>62</v>
      </c>
      <c r="C1081" s="36" t="n">
        <v>118221</v>
      </c>
      <c r="D1081" s="37" t="n">
        <v>40909</v>
      </c>
      <c r="E1081" s="0" t="n">
        <v>2012</v>
      </c>
      <c r="F1081" s="0" t="n">
        <v>12</v>
      </c>
      <c r="G1081" s="38" t="n">
        <v>3045919.4</v>
      </c>
    </row>
    <row r="1082" customFormat="false" ht="15" hidden="false" customHeight="false" outlineLevel="0" collapsed="false">
      <c r="A1082" s="0" t="n">
        <v>1</v>
      </c>
      <c r="B1082" s="0" t="s">
        <v>60</v>
      </c>
      <c r="C1082" s="36" t="n">
        <v>151315</v>
      </c>
      <c r="D1082" s="37" t="n">
        <v>40940</v>
      </c>
      <c r="E1082" s="0" t="n">
        <v>2013</v>
      </c>
      <c r="F1082" s="0" t="n">
        <v>1</v>
      </c>
      <c r="G1082" s="38" t="n">
        <v>7069038.54</v>
      </c>
    </row>
    <row r="1083" customFormat="false" ht="15" hidden="false" customHeight="false" outlineLevel="0" collapsed="false">
      <c r="A1083" s="0" t="n">
        <v>2</v>
      </c>
      <c r="B1083" s="0" t="s">
        <v>60</v>
      </c>
      <c r="C1083" s="36" t="n">
        <v>202307</v>
      </c>
      <c r="D1083" s="37" t="n">
        <v>40940</v>
      </c>
      <c r="E1083" s="0" t="n">
        <v>2013</v>
      </c>
      <c r="F1083" s="0" t="n">
        <v>1</v>
      </c>
      <c r="G1083" s="38" t="n">
        <v>8385910.7</v>
      </c>
    </row>
    <row r="1084" customFormat="false" ht="15" hidden="false" customHeight="false" outlineLevel="0" collapsed="false">
      <c r="A1084" s="0" t="n">
        <v>3</v>
      </c>
      <c r="B1084" s="0" t="s">
        <v>62</v>
      </c>
      <c r="C1084" s="36" t="n">
        <v>37392</v>
      </c>
      <c r="D1084" s="37" t="n">
        <v>40940</v>
      </c>
      <c r="E1084" s="0" t="n">
        <v>2013</v>
      </c>
      <c r="F1084" s="0" t="n">
        <v>1</v>
      </c>
      <c r="G1084" s="38" t="n">
        <v>1885472.54</v>
      </c>
    </row>
    <row r="1085" customFormat="false" ht="15" hidden="false" customHeight="false" outlineLevel="0" collapsed="false">
      <c r="A1085" s="0" t="n">
        <v>4</v>
      </c>
      <c r="B1085" s="0" t="s">
        <v>60</v>
      </c>
      <c r="C1085" s="36" t="n">
        <v>205863</v>
      </c>
      <c r="D1085" s="37" t="n">
        <v>40940</v>
      </c>
      <c r="E1085" s="0" t="n">
        <v>2013</v>
      </c>
      <c r="F1085" s="0" t="n">
        <v>1</v>
      </c>
      <c r="G1085" s="38" t="n">
        <v>9536351.73</v>
      </c>
    </row>
    <row r="1086" customFormat="false" ht="15" hidden="false" customHeight="false" outlineLevel="0" collapsed="false">
      <c r="A1086" s="0" t="n">
        <v>5</v>
      </c>
      <c r="B1086" s="0" t="s">
        <v>62</v>
      </c>
      <c r="C1086" s="36" t="n">
        <v>34875</v>
      </c>
      <c r="D1086" s="37" t="n">
        <v>40940</v>
      </c>
      <c r="E1086" s="0" t="n">
        <v>2013</v>
      </c>
      <c r="F1086" s="0" t="n">
        <v>1</v>
      </c>
      <c r="G1086" s="38" t="n">
        <v>1417584.75</v>
      </c>
    </row>
    <row r="1087" customFormat="false" ht="15" hidden="false" customHeight="false" outlineLevel="0" collapsed="false">
      <c r="A1087" s="0" t="n">
        <v>6</v>
      </c>
      <c r="B1087" s="0" t="s">
        <v>60</v>
      </c>
      <c r="C1087" s="36" t="n">
        <v>202505</v>
      </c>
      <c r="D1087" s="37" t="n">
        <v>40940</v>
      </c>
      <c r="E1087" s="0" t="n">
        <v>2013</v>
      </c>
      <c r="F1087" s="0" t="n">
        <v>1</v>
      </c>
      <c r="G1087" s="38" t="n">
        <v>6467099.95</v>
      </c>
    </row>
    <row r="1088" customFormat="false" ht="15" hidden="false" customHeight="false" outlineLevel="0" collapsed="false">
      <c r="A1088" s="0" t="n">
        <v>7</v>
      </c>
      <c r="B1088" s="0" t="s">
        <v>62</v>
      </c>
      <c r="C1088" s="36" t="n">
        <v>70713</v>
      </c>
      <c r="D1088" s="37" t="n">
        <v>40940</v>
      </c>
      <c r="E1088" s="0" t="n">
        <v>2013</v>
      </c>
      <c r="F1088" s="0" t="n">
        <v>1</v>
      </c>
      <c r="G1088" s="38" t="n">
        <v>2429788.77</v>
      </c>
    </row>
    <row r="1089" customFormat="false" ht="15" hidden="false" customHeight="false" outlineLevel="0" collapsed="false">
      <c r="A1089" s="0" t="n">
        <v>8</v>
      </c>
      <c r="B1089" s="0" t="s">
        <v>60</v>
      </c>
      <c r="C1089" s="36" t="n">
        <v>155078</v>
      </c>
      <c r="D1089" s="37" t="n">
        <v>40940</v>
      </c>
      <c r="E1089" s="0" t="n">
        <v>2013</v>
      </c>
      <c r="F1089" s="0" t="n">
        <v>1</v>
      </c>
      <c r="G1089" s="38" t="n">
        <v>4123907.52</v>
      </c>
    </row>
    <row r="1090" customFormat="false" ht="15" hidden="false" customHeight="false" outlineLevel="0" collapsed="false">
      <c r="A1090" s="0" t="n">
        <v>9</v>
      </c>
      <c r="B1090" s="0" t="s">
        <v>62</v>
      </c>
      <c r="C1090" s="36" t="n">
        <v>125833</v>
      </c>
      <c r="D1090" s="37" t="n">
        <v>40940</v>
      </c>
      <c r="E1090" s="0" t="n">
        <v>2013</v>
      </c>
      <c r="F1090" s="0" t="n">
        <v>1</v>
      </c>
      <c r="G1090" s="38" t="n">
        <v>2510479.26</v>
      </c>
    </row>
    <row r="1091" customFormat="false" ht="15" hidden="false" customHeight="false" outlineLevel="0" collapsed="false">
      <c r="A1091" s="0" t="n">
        <v>10</v>
      </c>
      <c r="B1091" s="0" t="s">
        <v>62</v>
      </c>
      <c r="C1091" s="36" t="n">
        <v>126512</v>
      </c>
      <c r="D1091" s="37" t="n">
        <v>40940</v>
      </c>
      <c r="E1091" s="0" t="n">
        <v>2013</v>
      </c>
      <c r="F1091" s="0" t="n">
        <v>1</v>
      </c>
      <c r="G1091" s="38" t="n">
        <v>8648730.46</v>
      </c>
    </row>
    <row r="1092" customFormat="false" ht="15" hidden="false" customHeight="false" outlineLevel="0" collapsed="false">
      <c r="A1092" s="0" t="n">
        <v>11</v>
      </c>
      <c r="B1092" s="0" t="s">
        <v>60</v>
      </c>
      <c r="C1092" s="36" t="n">
        <v>207499</v>
      </c>
      <c r="D1092" s="37" t="n">
        <v>40940</v>
      </c>
      <c r="E1092" s="0" t="n">
        <v>2013</v>
      </c>
      <c r="F1092" s="0" t="n">
        <v>1</v>
      </c>
      <c r="G1092" s="38" t="n">
        <v>6140813.54</v>
      </c>
    </row>
    <row r="1093" customFormat="false" ht="15" hidden="false" customHeight="false" outlineLevel="0" collapsed="false">
      <c r="A1093" s="0" t="n">
        <v>12</v>
      </c>
      <c r="B1093" s="0" t="s">
        <v>62</v>
      </c>
      <c r="C1093" s="36" t="n">
        <v>112238</v>
      </c>
      <c r="D1093" s="37" t="n">
        <v>40940</v>
      </c>
      <c r="E1093" s="0" t="n">
        <v>2013</v>
      </c>
      <c r="F1093" s="0" t="n">
        <v>1</v>
      </c>
      <c r="G1093" s="38" t="n">
        <v>4824912.77</v>
      </c>
    </row>
    <row r="1094" customFormat="false" ht="15" hidden="false" customHeight="false" outlineLevel="0" collapsed="false">
      <c r="A1094" s="0" t="n">
        <v>13</v>
      </c>
      <c r="B1094" s="0" t="s">
        <v>60</v>
      </c>
      <c r="C1094" s="36" t="n">
        <v>219622</v>
      </c>
      <c r="D1094" s="37" t="n">
        <v>40940</v>
      </c>
      <c r="E1094" s="0" t="n">
        <v>2013</v>
      </c>
      <c r="F1094" s="0" t="n">
        <v>1</v>
      </c>
      <c r="G1094" s="38" t="n">
        <v>8446680.52</v>
      </c>
    </row>
    <row r="1095" customFormat="false" ht="15" hidden="false" customHeight="false" outlineLevel="0" collapsed="false">
      <c r="A1095" s="0" t="n">
        <v>14</v>
      </c>
      <c r="B1095" s="0" t="s">
        <v>60</v>
      </c>
      <c r="C1095" s="36" t="n">
        <v>200898</v>
      </c>
      <c r="D1095" s="37" t="n">
        <v>40940</v>
      </c>
      <c r="E1095" s="0" t="n">
        <v>2013</v>
      </c>
      <c r="F1095" s="0" t="n">
        <v>1</v>
      </c>
      <c r="G1095" s="38" t="n">
        <v>8153169.66</v>
      </c>
    </row>
    <row r="1096" customFormat="false" ht="15" hidden="false" customHeight="false" outlineLevel="0" collapsed="false">
      <c r="A1096" s="0" t="n">
        <v>15</v>
      </c>
      <c r="B1096" s="0" t="s">
        <v>62</v>
      </c>
      <c r="C1096" s="36" t="n">
        <v>123737</v>
      </c>
      <c r="D1096" s="37" t="n">
        <v>40940</v>
      </c>
      <c r="E1096" s="0" t="n">
        <v>2013</v>
      </c>
      <c r="F1096" s="0" t="n">
        <v>1</v>
      </c>
      <c r="G1096" s="38" t="n">
        <v>2398994.98</v>
      </c>
    </row>
    <row r="1097" customFormat="false" ht="15" hidden="false" customHeight="false" outlineLevel="0" collapsed="false">
      <c r="A1097" s="0" t="n">
        <v>16</v>
      </c>
      <c r="B1097" s="0" t="s">
        <v>62</v>
      </c>
      <c r="C1097" s="36" t="n">
        <v>57197</v>
      </c>
      <c r="D1097" s="37" t="n">
        <v>40940</v>
      </c>
      <c r="E1097" s="0" t="n">
        <v>2013</v>
      </c>
      <c r="F1097" s="0" t="n">
        <v>1</v>
      </c>
      <c r="G1097" s="38" t="n">
        <v>1999079.73</v>
      </c>
    </row>
    <row r="1098" customFormat="false" ht="15" hidden="false" customHeight="false" outlineLevel="0" collapsed="false">
      <c r="A1098" s="0" t="n">
        <v>17</v>
      </c>
      <c r="B1098" s="0" t="s">
        <v>62</v>
      </c>
      <c r="C1098" s="36" t="n">
        <v>93188</v>
      </c>
      <c r="D1098" s="37" t="n">
        <v>40940</v>
      </c>
      <c r="E1098" s="0" t="n">
        <v>2013</v>
      </c>
      <c r="F1098" s="0" t="n">
        <v>1</v>
      </c>
      <c r="G1098" s="38" t="n">
        <v>3633322.05</v>
      </c>
    </row>
    <row r="1099" customFormat="false" ht="15" hidden="false" customHeight="false" outlineLevel="0" collapsed="false">
      <c r="A1099" s="0" t="n">
        <v>18</v>
      </c>
      <c r="B1099" s="0" t="s">
        <v>62</v>
      </c>
      <c r="C1099" s="36" t="n">
        <v>120653</v>
      </c>
      <c r="D1099" s="37" t="n">
        <v>40940</v>
      </c>
      <c r="E1099" s="0" t="n">
        <v>2013</v>
      </c>
      <c r="F1099" s="0" t="n">
        <v>1</v>
      </c>
      <c r="G1099" s="38" t="n">
        <v>4513349.68</v>
      </c>
    </row>
    <row r="1100" customFormat="false" ht="15" hidden="false" customHeight="false" outlineLevel="0" collapsed="false">
      <c r="A1100" s="0" t="n">
        <v>19</v>
      </c>
      <c r="B1100" s="0" t="s">
        <v>60</v>
      </c>
      <c r="C1100" s="36" t="n">
        <v>203819</v>
      </c>
      <c r="D1100" s="37" t="n">
        <v>40940</v>
      </c>
      <c r="E1100" s="0" t="n">
        <v>2013</v>
      </c>
      <c r="F1100" s="0" t="n">
        <v>1</v>
      </c>
      <c r="G1100" s="38" t="n">
        <v>5788232.76</v>
      </c>
    </row>
    <row r="1101" customFormat="false" ht="15" hidden="false" customHeight="false" outlineLevel="0" collapsed="false">
      <c r="A1101" s="0" t="n">
        <v>20</v>
      </c>
      <c r="B1101" s="0" t="s">
        <v>60</v>
      </c>
      <c r="C1101" s="36" t="n">
        <v>203742</v>
      </c>
      <c r="D1101" s="37" t="n">
        <v>40940</v>
      </c>
      <c r="E1101" s="0" t="n">
        <v>2013</v>
      </c>
      <c r="F1101" s="0" t="n">
        <v>1</v>
      </c>
      <c r="G1101" s="38" t="n">
        <v>9297081.49</v>
      </c>
    </row>
    <row r="1102" customFormat="false" ht="15" hidden="false" customHeight="false" outlineLevel="0" collapsed="false">
      <c r="A1102" s="0" t="n">
        <v>21</v>
      </c>
      <c r="B1102" s="0" t="s">
        <v>62</v>
      </c>
      <c r="C1102" s="36" t="n">
        <v>140167</v>
      </c>
      <c r="D1102" s="37" t="n">
        <v>40940</v>
      </c>
      <c r="E1102" s="0" t="n">
        <v>2013</v>
      </c>
      <c r="F1102" s="0" t="n">
        <v>1</v>
      </c>
      <c r="G1102" s="38" t="n">
        <v>3190144.44</v>
      </c>
    </row>
    <row r="1103" customFormat="false" ht="15" hidden="false" customHeight="false" outlineLevel="0" collapsed="false">
      <c r="A1103" s="0" t="n">
        <v>22</v>
      </c>
      <c r="B1103" s="0" t="s">
        <v>62</v>
      </c>
      <c r="C1103" s="36" t="n">
        <v>119557</v>
      </c>
      <c r="D1103" s="37" t="n">
        <v>40940</v>
      </c>
      <c r="E1103" s="0" t="n">
        <v>2013</v>
      </c>
      <c r="F1103" s="0" t="n">
        <v>1</v>
      </c>
      <c r="G1103" s="38" t="n">
        <v>4059270.19</v>
      </c>
    </row>
    <row r="1104" customFormat="false" ht="15" hidden="false" customHeight="false" outlineLevel="0" collapsed="false">
      <c r="A1104" s="0" t="n">
        <v>23</v>
      </c>
      <c r="B1104" s="0" t="s">
        <v>62</v>
      </c>
      <c r="C1104" s="36" t="n">
        <v>114533</v>
      </c>
      <c r="D1104" s="37" t="n">
        <v>40940</v>
      </c>
      <c r="E1104" s="0" t="n">
        <v>2013</v>
      </c>
      <c r="F1104" s="0" t="n">
        <v>1</v>
      </c>
      <c r="G1104" s="38" t="n">
        <v>5482636.02</v>
      </c>
    </row>
    <row r="1105" customFormat="false" ht="15" hidden="false" customHeight="false" outlineLevel="0" collapsed="false">
      <c r="A1105" s="0" t="n">
        <v>24</v>
      </c>
      <c r="B1105" s="0" t="s">
        <v>60</v>
      </c>
      <c r="C1105" s="36" t="n">
        <v>203819</v>
      </c>
      <c r="D1105" s="37" t="n">
        <v>40940</v>
      </c>
      <c r="E1105" s="0" t="n">
        <v>2013</v>
      </c>
      <c r="F1105" s="0" t="n">
        <v>1</v>
      </c>
      <c r="G1105" s="38" t="n">
        <v>5435787.36</v>
      </c>
    </row>
    <row r="1106" customFormat="false" ht="15" hidden="false" customHeight="false" outlineLevel="0" collapsed="false">
      <c r="A1106" s="0" t="n">
        <v>25</v>
      </c>
      <c r="B1106" s="0" t="s">
        <v>62</v>
      </c>
      <c r="C1106" s="36" t="n">
        <v>128107</v>
      </c>
      <c r="D1106" s="37" t="n">
        <v>40940</v>
      </c>
      <c r="E1106" s="0" t="n">
        <v>2013</v>
      </c>
      <c r="F1106" s="0" t="n">
        <v>1</v>
      </c>
      <c r="G1106" s="38" t="n">
        <v>2661446.08</v>
      </c>
    </row>
    <row r="1107" customFormat="false" ht="15" hidden="false" customHeight="false" outlineLevel="0" collapsed="false">
      <c r="A1107" s="0" t="n">
        <v>26</v>
      </c>
      <c r="B1107" s="0" t="s">
        <v>60</v>
      </c>
      <c r="C1107" s="36" t="n">
        <v>152513</v>
      </c>
      <c r="D1107" s="37" t="n">
        <v>40940</v>
      </c>
      <c r="E1107" s="0" t="n">
        <v>2013</v>
      </c>
      <c r="F1107" s="0" t="n">
        <v>1</v>
      </c>
      <c r="G1107" s="38" t="n">
        <v>4049816.47</v>
      </c>
    </row>
    <row r="1108" customFormat="false" ht="15" hidden="false" customHeight="false" outlineLevel="0" collapsed="false">
      <c r="A1108" s="0" t="n">
        <v>27</v>
      </c>
      <c r="B1108" s="0" t="s">
        <v>60</v>
      </c>
      <c r="C1108" s="36" t="n">
        <v>204184</v>
      </c>
      <c r="D1108" s="37" t="n">
        <v>40940</v>
      </c>
      <c r="E1108" s="0" t="n">
        <v>2013</v>
      </c>
      <c r="F1108" s="0" t="n">
        <v>1</v>
      </c>
      <c r="G1108" s="38" t="n">
        <v>6654908.36</v>
      </c>
    </row>
    <row r="1109" customFormat="false" ht="15" hidden="false" customHeight="false" outlineLevel="0" collapsed="false">
      <c r="A1109" s="0" t="n">
        <v>28</v>
      </c>
      <c r="B1109" s="0" t="s">
        <v>60</v>
      </c>
      <c r="C1109" s="36" t="n">
        <v>206302</v>
      </c>
      <c r="D1109" s="37" t="n">
        <v>40940</v>
      </c>
      <c r="E1109" s="0" t="n">
        <v>2013</v>
      </c>
      <c r="F1109" s="0" t="n">
        <v>1</v>
      </c>
      <c r="G1109" s="38" t="n">
        <v>6091315.05</v>
      </c>
    </row>
    <row r="1110" customFormat="false" ht="15" hidden="false" customHeight="false" outlineLevel="0" collapsed="false">
      <c r="A1110" s="0" t="n">
        <v>29</v>
      </c>
      <c r="B1110" s="0" t="s">
        <v>62</v>
      </c>
      <c r="C1110" s="36" t="n">
        <v>93638</v>
      </c>
      <c r="D1110" s="37" t="n">
        <v>40940</v>
      </c>
      <c r="E1110" s="0" t="n">
        <v>2013</v>
      </c>
      <c r="F1110" s="0" t="n">
        <v>1</v>
      </c>
      <c r="G1110" s="38" t="n">
        <v>2163299.12</v>
      </c>
    </row>
    <row r="1111" customFormat="false" ht="15" hidden="false" customHeight="false" outlineLevel="0" collapsed="false">
      <c r="A1111" s="0" t="n">
        <v>30</v>
      </c>
      <c r="B1111" s="0" t="s">
        <v>64</v>
      </c>
      <c r="C1111" s="36" t="n">
        <v>42988</v>
      </c>
      <c r="D1111" s="37" t="n">
        <v>40940</v>
      </c>
      <c r="E1111" s="0" t="n">
        <v>2013</v>
      </c>
      <c r="F1111" s="0" t="n">
        <v>1</v>
      </c>
      <c r="G1111" s="38" t="n">
        <v>1811040.13</v>
      </c>
    </row>
    <row r="1112" customFormat="false" ht="15" hidden="false" customHeight="false" outlineLevel="0" collapsed="false">
      <c r="A1112" s="0" t="n">
        <v>31</v>
      </c>
      <c r="B1112" s="0" t="s">
        <v>60</v>
      </c>
      <c r="C1112" s="36" t="n">
        <v>203750</v>
      </c>
      <c r="D1112" s="37" t="n">
        <v>40940</v>
      </c>
      <c r="E1112" s="0" t="n">
        <v>2013</v>
      </c>
      <c r="F1112" s="0" t="n">
        <v>1</v>
      </c>
      <c r="G1112" s="38" t="n">
        <v>6107309.12</v>
      </c>
    </row>
    <row r="1113" customFormat="false" ht="15" hidden="false" customHeight="false" outlineLevel="0" collapsed="false">
      <c r="A1113" s="0" t="n">
        <v>32</v>
      </c>
      <c r="B1113" s="0" t="s">
        <v>60</v>
      </c>
      <c r="C1113" s="36" t="n">
        <v>203007</v>
      </c>
      <c r="D1113" s="37" t="n">
        <v>40940</v>
      </c>
      <c r="E1113" s="0" t="n">
        <v>2013</v>
      </c>
      <c r="F1113" s="0" t="n">
        <v>1</v>
      </c>
      <c r="G1113" s="38" t="n">
        <v>4784650.09</v>
      </c>
    </row>
    <row r="1114" customFormat="false" ht="15" hidden="false" customHeight="false" outlineLevel="0" collapsed="false">
      <c r="A1114" s="0" t="n">
        <v>33</v>
      </c>
      <c r="B1114" s="0" t="s">
        <v>60</v>
      </c>
      <c r="C1114" s="36" t="n">
        <v>39690</v>
      </c>
      <c r="D1114" s="37" t="n">
        <v>40940</v>
      </c>
      <c r="E1114" s="0" t="n">
        <v>2013</v>
      </c>
      <c r="F1114" s="0" t="n">
        <v>1</v>
      </c>
      <c r="G1114" s="38" t="n">
        <v>1078313.35</v>
      </c>
    </row>
    <row r="1115" customFormat="false" ht="15" hidden="false" customHeight="false" outlineLevel="0" collapsed="false">
      <c r="A1115" s="0" t="n">
        <v>34</v>
      </c>
      <c r="B1115" s="0" t="s">
        <v>60</v>
      </c>
      <c r="C1115" s="36" t="n">
        <v>158114</v>
      </c>
      <c r="D1115" s="37" t="n">
        <v>40940</v>
      </c>
      <c r="E1115" s="0" t="n">
        <v>2013</v>
      </c>
      <c r="F1115" s="0" t="n">
        <v>1</v>
      </c>
      <c r="G1115" s="38" t="n">
        <v>4231175.96</v>
      </c>
    </row>
    <row r="1116" customFormat="false" ht="15" hidden="false" customHeight="false" outlineLevel="0" collapsed="false">
      <c r="A1116" s="0" t="n">
        <v>35</v>
      </c>
      <c r="B1116" s="0" t="s">
        <v>62</v>
      </c>
      <c r="C1116" s="36" t="n">
        <v>103681</v>
      </c>
      <c r="D1116" s="37" t="n">
        <v>40940</v>
      </c>
      <c r="E1116" s="0" t="n">
        <v>2013</v>
      </c>
      <c r="F1116" s="0" t="n">
        <v>1</v>
      </c>
      <c r="G1116" s="38" t="n">
        <v>3347027.47</v>
      </c>
    </row>
    <row r="1117" customFormat="false" ht="15" hidden="false" customHeight="false" outlineLevel="0" collapsed="false">
      <c r="A1117" s="0" t="n">
        <v>36</v>
      </c>
      <c r="B1117" s="0" t="s">
        <v>60</v>
      </c>
      <c r="C1117" s="36" t="n">
        <v>39910</v>
      </c>
      <c r="D1117" s="37" t="n">
        <v>40940</v>
      </c>
      <c r="E1117" s="0" t="n">
        <v>2013</v>
      </c>
      <c r="F1117" s="0" t="n">
        <v>1</v>
      </c>
      <c r="G1117" s="38" t="n">
        <v>1333890.81</v>
      </c>
    </row>
    <row r="1118" customFormat="false" ht="15" hidden="false" customHeight="false" outlineLevel="0" collapsed="false">
      <c r="A1118" s="0" t="n">
        <v>37</v>
      </c>
      <c r="B1118" s="0" t="s">
        <v>64</v>
      </c>
      <c r="C1118" s="36" t="n">
        <v>39910</v>
      </c>
      <c r="D1118" s="37" t="n">
        <v>40940</v>
      </c>
      <c r="E1118" s="0" t="n">
        <v>2013</v>
      </c>
      <c r="F1118" s="0" t="n">
        <v>1</v>
      </c>
      <c r="G1118" s="38" t="n">
        <v>2200248.02</v>
      </c>
    </row>
    <row r="1119" customFormat="false" ht="15" hidden="false" customHeight="false" outlineLevel="0" collapsed="false">
      <c r="A1119" s="0" t="n">
        <v>38</v>
      </c>
      <c r="B1119" s="0" t="s">
        <v>64</v>
      </c>
      <c r="C1119" s="36" t="n">
        <v>39690</v>
      </c>
      <c r="D1119" s="37" t="n">
        <v>40940</v>
      </c>
      <c r="E1119" s="0" t="n">
        <v>2013</v>
      </c>
      <c r="F1119" s="0" t="n">
        <v>1</v>
      </c>
      <c r="G1119" s="38" t="n">
        <v>1827386.07</v>
      </c>
    </row>
    <row r="1120" customFormat="false" ht="15" hidden="false" customHeight="false" outlineLevel="0" collapsed="false">
      <c r="A1120" s="0" t="n">
        <v>39</v>
      </c>
      <c r="B1120" s="0" t="s">
        <v>60</v>
      </c>
      <c r="C1120" s="36" t="n">
        <v>184109</v>
      </c>
      <c r="D1120" s="37" t="n">
        <v>40940</v>
      </c>
      <c r="E1120" s="0" t="n">
        <v>2013</v>
      </c>
      <c r="F1120" s="0" t="n">
        <v>1</v>
      </c>
      <c r="G1120" s="38" t="n">
        <v>6002335.96</v>
      </c>
    </row>
    <row r="1121" customFormat="false" ht="15" hidden="false" customHeight="false" outlineLevel="0" collapsed="false">
      <c r="A1121" s="0" t="n">
        <v>40</v>
      </c>
      <c r="B1121" s="0" t="s">
        <v>60</v>
      </c>
      <c r="C1121" s="36" t="n">
        <v>155083</v>
      </c>
      <c r="D1121" s="37" t="n">
        <v>40940</v>
      </c>
      <c r="E1121" s="0" t="n">
        <v>2013</v>
      </c>
      <c r="F1121" s="0" t="n">
        <v>1</v>
      </c>
      <c r="G1121" s="38" t="n">
        <v>3977061.98</v>
      </c>
    </row>
    <row r="1122" customFormat="false" ht="15" hidden="false" customHeight="false" outlineLevel="0" collapsed="false">
      <c r="A1122" s="0" t="n">
        <v>41</v>
      </c>
      <c r="B1122" s="0" t="s">
        <v>60</v>
      </c>
      <c r="C1122" s="36" t="n">
        <v>196321</v>
      </c>
      <c r="D1122" s="37" t="n">
        <v>40940</v>
      </c>
      <c r="E1122" s="0" t="n">
        <v>2013</v>
      </c>
      <c r="F1122" s="0" t="n">
        <v>1</v>
      </c>
      <c r="G1122" s="38" t="n">
        <v>5197860.73</v>
      </c>
    </row>
    <row r="1123" customFormat="false" ht="15" hidden="false" customHeight="false" outlineLevel="0" collapsed="false">
      <c r="A1123" s="0" t="n">
        <v>42</v>
      </c>
      <c r="B1123" s="0" t="s">
        <v>64</v>
      </c>
      <c r="C1123" s="36" t="n">
        <v>39690</v>
      </c>
      <c r="D1123" s="37" t="n">
        <v>40940</v>
      </c>
      <c r="E1123" s="0" t="n">
        <v>2013</v>
      </c>
      <c r="F1123" s="0" t="n">
        <v>1</v>
      </c>
      <c r="G1123" s="38" t="n">
        <v>2516583.9</v>
      </c>
    </row>
    <row r="1124" customFormat="false" ht="15" hidden="false" customHeight="false" outlineLevel="0" collapsed="false">
      <c r="A1124" s="0" t="n">
        <v>43</v>
      </c>
      <c r="B1124" s="0" t="s">
        <v>64</v>
      </c>
      <c r="C1124" s="36" t="n">
        <v>41062</v>
      </c>
      <c r="D1124" s="37" t="n">
        <v>40940</v>
      </c>
      <c r="E1124" s="0" t="n">
        <v>2013</v>
      </c>
      <c r="F1124" s="0" t="n">
        <v>1</v>
      </c>
      <c r="G1124" s="38" t="n">
        <v>2700699.38</v>
      </c>
    </row>
    <row r="1125" customFormat="false" ht="15" hidden="false" customHeight="false" outlineLevel="0" collapsed="false">
      <c r="A1125" s="0" t="n">
        <v>44</v>
      </c>
      <c r="B1125" s="0" t="s">
        <v>64</v>
      </c>
      <c r="C1125" s="36" t="n">
        <v>39910</v>
      </c>
      <c r="D1125" s="37" t="n">
        <v>40940</v>
      </c>
      <c r="E1125" s="0" t="n">
        <v>2013</v>
      </c>
      <c r="F1125" s="0" t="n">
        <v>1</v>
      </c>
      <c r="G1125" s="38" t="n">
        <v>1327624.43</v>
      </c>
    </row>
    <row r="1126" customFormat="false" ht="15" hidden="false" customHeight="false" outlineLevel="0" collapsed="false">
      <c r="A1126" s="0" t="n">
        <v>45</v>
      </c>
      <c r="B1126" s="0" t="s">
        <v>62</v>
      </c>
      <c r="C1126" s="36" t="n">
        <v>118221</v>
      </c>
      <c r="D1126" s="37" t="n">
        <v>40940</v>
      </c>
      <c r="E1126" s="0" t="n">
        <v>2013</v>
      </c>
      <c r="F1126" s="0" t="n">
        <v>1</v>
      </c>
      <c r="G1126" s="38" t="n">
        <v>3299282.04</v>
      </c>
    </row>
    <row r="1127" customFormat="false" ht="15" hidden="false" customHeight="false" outlineLevel="0" collapsed="false">
      <c r="A1127" s="0" t="n">
        <v>1</v>
      </c>
      <c r="B1127" s="0" t="s">
        <v>60</v>
      </c>
      <c r="C1127" s="36" t="n">
        <v>151315</v>
      </c>
      <c r="D1127" s="37" t="n">
        <v>40969</v>
      </c>
      <c r="E1127" s="0" t="n">
        <v>2013</v>
      </c>
      <c r="F1127" s="0" t="n">
        <v>2</v>
      </c>
      <c r="G1127" s="38" t="n">
        <v>7267364.98</v>
      </c>
    </row>
    <row r="1128" customFormat="false" ht="15" hidden="false" customHeight="false" outlineLevel="0" collapsed="false">
      <c r="A1128" s="0" t="n">
        <v>2</v>
      </c>
      <c r="B1128" s="0" t="s">
        <v>60</v>
      </c>
      <c r="C1128" s="36" t="n">
        <v>202307</v>
      </c>
      <c r="D1128" s="37" t="n">
        <v>40969</v>
      </c>
      <c r="E1128" s="0" t="n">
        <v>2013</v>
      </c>
      <c r="F1128" s="0" t="n">
        <v>2</v>
      </c>
      <c r="G1128" s="38" t="n">
        <v>8423651.41</v>
      </c>
    </row>
    <row r="1129" customFormat="false" ht="15" hidden="false" customHeight="false" outlineLevel="0" collapsed="false">
      <c r="A1129" s="0" t="n">
        <v>3</v>
      </c>
      <c r="B1129" s="0" t="s">
        <v>62</v>
      </c>
      <c r="C1129" s="36" t="n">
        <v>37392</v>
      </c>
      <c r="D1129" s="37" t="n">
        <v>40969</v>
      </c>
      <c r="E1129" s="0" t="n">
        <v>2013</v>
      </c>
      <c r="F1129" s="0" t="n">
        <v>2</v>
      </c>
      <c r="G1129" s="38" t="n">
        <v>1884439.27</v>
      </c>
    </row>
    <row r="1130" customFormat="false" ht="15" hidden="false" customHeight="false" outlineLevel="0" collapsed="false">
      <c r="A1130" s="0" t="n">
        <v>4</v>
      </c>
      <c r="B1130" s="0" t="s">
        <v>60</v>
      </c>
      <c r="C1130" s="36" t="n">
        <v>205863</v>
      </c>
      <c r="D1130" s="37" t="n">
        <v>40969</v>
      </c>
      <c r="E1130" s="0" t="n">
        <v>2013</v>
      </c>
      <c r="F1130" s="0" t="n">
        <v>2</v>
      </c>
      <c r="G1130" s="38" t="n">
        <v>9581656.27</v>
      </c>
    </row>
    <row r="1131" customFormat="false" ht="15" hidden="false" customHeight="false" outlineLevel="0" collapsed="false">
      <c r="A1131" s="0" t="n">
        <v>5</v>
      </c>
      <c r="B1131" s="0" t="s">
        <v>62</v>
      </c>
      <c r="C1131" s="36" t="n">
        <v>34875</v>
      </c>
      <c r="D1131" s="37" t="n">
        <v>40969</v>
      </c>
      <c r="E1131" s="0" t="n">
        <v>2013</v>
      </c>
      <c r="F1131" s="0" t="n">
        <v>2</v>
      </c>
      <c r="G1131" s="38" t="n">
        <v>1499506.59</v>
      </c>
    </row>
    <row r="1132" customFormat="false" ht="15" hidden="false" customHeight="false" outlineLevel="0" collapsed="false">
      <c r="A1132" s="0" t="n">
        <v>6</v>
      </c>
      <c r="B1132" s="0" t="s">
        <v>60</v>
      </c>
      <c r="C1132" s="36" t="n">
        <v>202505</v>
      </c>
      <c r="D1132" s="37" t="n">
        <v>40969</v>
      </c>
      <c r="E1132" s="0" t="n">
        <v>2013</v>
      </c>
      <c r="F1132" s="0" t="n">
        <v>2</v>
      </c>
      <c r="G1132" s="38" t="n">
        <v>7027234.77</v>
      </c>
    </row>
    <row r="1133" customFormat="false" ht="15" hidden="false" customHeight="false" outlineLevel="0" collapsed="false">
      <c r="A1133" s="0" t="n">
        <v>7</v>
      </c>
      <c r="B1133" s="0" t="s">
        <v>62</v>
      </c>
      <c r="C1133" s="36" t="n">
        <v>70713</v>
      </c>
      <c r="D1133" s="37" t="n">
        <v>40969</v>
      </c>
      <c r="E1133" s="0" t="n">
        <v>2013</v>
      </c>
      <c r="F1133" s="0" t="n">
        <v>2</v>
      </c>
      <c r="G1133" s="38" t="n">
        <v>2693912.03</v>
      </c>
    </row>
    <row r="1134" customFormat="false" ht="15" hidden="false" customHeight="false" outlineLevel="0" collapsed="false">
      <c r="A1134" s="0" t="n">
        <v>8</v>
      </c>
      <c r="B1134" s="0" t="s">
        <v>60</v>
      </c>
      <c r="C1134" s="36" t="n">
        <v>155078</v>
      </c>
      <c r="D1134" s="37" t="n">
        <v>40969</v>
      </c>
      <c r="E1134" s="0" t="n">
        <v>2013</v>
      </c>
      <c r="F1134" s="0" t="n">
        <v>2</v>
      </c>
      <c r="G1134" s="38" t="n">
        <v>4083073.4</v>
      </c>
    </row>
    <row r="1135" customFormat="false" ht="15" hidden="false" customHeight="false" outlineLevel="0" collapsed="false">
      <c r="A1135" s="0" t="n">
        <v>9</v>
      </c>
      <c r="B1135" s="0" t="s">
        <v>62</v>
      </c>
      <c r="C1135" s="36" t="n">
        <v>125833</v>
      </c>
      <c r="D1135" s="37" t="n">
        <v>40969</v>
      </c>
      <c r="E1135" s="0" t="n">
        <v>2013</v>
      </c>
      <c r="F1135" s="0" t="n">
        <v>2</v>
      </c>
      <c r="G1135" s="38" t="n">
        <v>2524946.57</v>
      </c>
    </row>
    <row r="1136" customFormat="false" ht="15" hidden="false" customHeight="false" outlineLevel="0" collapsed="false">
      <c r="A1136" s="0" t="n">
        <v>10</v>
      </c>
      <c r="B1136" s="0" t="s">
        <v>62</v>
      </c>
      <c r="C1136" s="36" t="n">
        <v>126512</v>
      </c>
      <c r="D1136" s="37" t="n">
        <v>40969</v>
      </c>
      <c r="E1136" s="0" t="n">
        <v>2013</v>
      </c>
      <c r="F1136" s="0" t="n">
        <v>2</v>
      </c>
      <c r="G1136" s="38" t="n">
        <v>8379248.21</v>
      </c>
    </row>
    <row r="1137" customFormat="false" ht="15" hidden="false" customHeight="false" outlineLevel="0" collapsed="false">
      <c r="A1137" s="0" t="n">
        <v>11</v>
      </c>
      <c r="B1137" s="0" t="s">
        <v>60</v>
      </c>
      <c r="C1137" s="36" t="n">
        <v>207499</v>
      </c>
      <c r="D1137" s="37" t="n">
        <v>40969</v>
      </c>
      <c r="E1137" s="0" t="n">
        <v>2013</v>
      </c>
      <c r="F1137" s="0" t="n">
        <v>2</v>
      </c>
      <c r="G1137" s="38" t="n">
        <v>6094977.79</v>
      </c>
    </row>
    <row r="1138" customFormat="false" ht="15" hidden="false" customHeight="false" outlineLevel="0" collapsed="false">
      <c r="A1138" s="0" t="n">
        <v>12</v>
      </c>
      <c r="B1138" s="0" t="s">
        <v>62</v>
      </c>
      <c r="C1138" s="36" t="n">
        <v>112238</v>
      </c>
      <c r="D1138" s="37" t="n">
        <v>40969</v>
      </c>
      <c r="E1138" s="0" t="n">
        <v>2013</v>
      </c>
      <c r="F1138" s="0" t="n">
        <v>2</v>
      </c>
      <c r="G1138" s="38" t="n">
        <v>4761657.75</v>
      </c>
    </row>
    <row r="1139" customFormat="false" ht="15" hidden="false" customHeight="false" outlineLevel="0" collapsed="false">
      <c r="A1139" s="0" t="n">
        <v>13</v>
      </c>
      <c r="B1139" s="0" t="s">
        <v>60</v>
      </c>
      <c r="C1139" s="36" t="n">
        <v>219622</v>
      </c>
      <c r="D1139" s="37" t="n">
        <v>40969</v>
      </c>
      <c r="E1139" s="0" t="n">
        <v>2013</v>
      </c>
      <c r="F1139" s="0" t="n">
        <v>2</v>
      </c>
      <c r="G1139" s="38" t="n">
        <v>8752732.74</v>
      </c>
    </row>
    <row r="1140" customFormat="false" ht="15" hidden="false" customHeight="false" outlineLevel="0" collapsed="false">
      <c r="A1140" s="0" t="n">
        <v>14</v>
      </c>
      <c r="B1140" s="0" t="s">
        <v>60</v>
      </c>
      <c r="C1140" s="36" t="n">
        <v>200898</v>
      </c>
      <c r="D1140" s="37" t="n">
        <v>40969</v>
      </c>
      <c r="E1140" s="0" t="n">
        <v>2013</v>
      </c>
      <c r="F1140" s="0" t="n">
        <v>2</v>
      </c>
      <c r="G1140" s="38" t="n">
        <v>8650079.41</v>
      </c>
    </row>
    <row r="1141" customFormat="false" ht="15" hidden="false" customHeight="false" outlineLevel="0" collapsed="false">
      <c r="A1141" s="0" t="n">
        <v>15</v>
      </c>
      <c r="B1141" s="0" t="s">
        <v>62</v>
      </c>
      <c r="C1141" s="36" t="n">
        <v>123737</v>
      </c>
      <c r="D1141" s="37" t="n">
        <v>40969</v>
      </c>
      <c r="E1141" s="0" t="n">
        <v>2013</v>
      </c>
      <c r="F1141" s="0" t="n">
        <v>2</v>
      </c>
      <c r="G1141" s="38" t="n">
        <v>2487694.69</v>
      </c>
    </row>
    <row r="1142" customFormat="false" ht="15" hidden="false" customHeight="false" outlineLevel="0" collapsed="false">
      <c r="A1142" s="0" t="n">
        <v>16</v>
      </c>
      <c r="B1142" s="0" t="s">
        <v>62</v>
      </c>
      <c r="C1142" s="36" t="n">
        <v>57197</v>
      </c>
      <c r="D1142" s="37" t="n">
        <v>40969</v>
      </c>
      <c r="E1142" s="0" t="n">
        <v>2013</v>
      </c>
      <c r="F1142" s="0" t="n">
        <v>2</v>
      </c>
      <c r="G1142" s="38" t="n">
        <v>2199835.99</v>
      </c>
    </row>
    <row r="1143" customFormat="false" ht="15" hidden="false" customHeight="false" outlineLevel="0" collapsed="false">
      <c r="A1143" s="0" t="n">
        <v>17</v>
      </c>
      <c r="B1143" s="0" t="s">
        <v>62</v>
      </c>
      <c r="C1143" s="36" t="n">
        <v>93188</v>
      </c>
      <c r="D1143" s="37" t="n">
        <v>40969</v>
      </c>
      <c r="E1143" s="0" t="n">
        <v>2013</v>
      </c>
      <c r="F1143" s="0" t="n">
        <v>2</v>
      </c>
      <c r="G1143" s="38" t="n">
        <v>3823204.11</v>
      </c>
    </row>
    <row r="1144" customFormat="false" ht="15" hidden="false" customHeight="false" outlineLevel="0" collapsed="false">
      <c r="A1144" s="0" t="n">
        <v>18</v>
      </c>
      <c r="B1144" s="0" t="s">
        <v>62</v>
      </c>
      <c r="C1144" s="36" t="n">
        <v>120653</v>
      </c>
      <c r="D1144" s="37" t="n">
        <v>40969</v>
      </c>
      <c r="E1144" s="0" t="n">
        <v>2013</v>
      </c>
      <c r="F1144" s="0" t="n">
        <v>2</v>
      </c>
      <c r="G1144" s="38" t="n">
        <v>4617912.4</v>
      </c>
    </row>
    <row r="1145" customFormat="false" ht="15" hidden="false" customHeight="false" outlineLevel="0" collapsed="false">
      <c r="A1145" s="0" t="n">
        <v>19</v>
      </c>
      <c r="B1145" s="0" t="s">
        <v>60</v>
      </c>
      <c r="C1145" s="36" t="n">
        <v>203819</v>
      </c>
      <c r="D1145" s="37" t="n">
        <v>40969</v>
      </c>
      <c r="E1145" s="0" t="n">
        <v>2013</v>
      </c>
      <c r="F1145" s="0" t="n">
        <v>2</v>
      </c>
      <c r="G1145" s="38" t="n">
        <v>5948158.3</v>
      </c>
    </row>
    <row r="1146" customFormat="false" ht="15" hidden="false" customHeight="false" outlineLevel="0" collapsed="false">
      <c r="A1146" s="0" t="n">
        <v>20</v>
      </c>
      <c r="B1146" s="0" t="s">
        <v>60</v>
      </c>
      <c r="C1146" s="36" t="n">
        <v>203742</v>
      </c>
      <c r="D1146" s="37" t="n">
        <v>40969</v>
      </c>
      <c r="E1146" s="0" t="n">
        <v>2013</v>
      </c>
      <c r="F1146" s="0" t="n">
        <v>2</v>
      </c>
      <c r="G1146" s="38" t="n">
        <v>9251830.87</v>
      </c>
    </row>
    <row r="1147" customFormat="false" ht="15" hidden="false" customHeight="false" outlineLevel="0" collapsed="false">
      <c r="A1147" s="0" t="n">
        <v>21</v>
      </c>
      <c r="B1147" s="0" t="s">
        <v>62</v>
      </c>
      <c r="C1147" s="36" t="n">
        <v>140167</v>
      </c>
      <c r="D1147" s="37" t="n">
        <v>40969</v>
      </c>
      <c r="E1147" s="0" t="n">
        <v>2013</v>
      </c>
      <c r="F1147" s="0" t="n">
        <v>2</v>
      </c>
      <c r="G1147" s="38" t="n">
        <v>3304228.21</v>
      </c>
    </row>
    <row r="1148" customFormat="false" ht="15" hidden="false" customHeight="false" outlineLevel="0" collapsed="false">
      <c r="A1148" s="0" t="n">
        <v>22</v>
      </c>
      <c r="B1148" s="0" t="s">
        <v>62</v>
      </c>
      <c r="C1148" s="36" t="n">
        <v>119557</v>
      </c>
      <c r="D1148" s="37" t="n">
        <v>40969</v>
      </c>
      <c r="E1148" s="0" t="n">
        <v>2013</v>
      </c>
      <c r="F1148" s="0" t="n">
        <v>2</v>
      </c>
      <c r="G1148" s="38" t="n">
        <v>4366054.63</v>
      </c>
    </row>
    <row r="1149" customFormat="false" ht="15" hidden="false" customHeight="false" outlineLevel="0" collapsed="false">
      <c r="A1149" s="0" t="n">
        <v>23</v>
      </c>
      <c r="B1149" s="0" t="s">
        <v>62</v>
      </c>
      <c r="C1149" s="36" t="n">
        <v>114533</v>
      </c>
      <c r="D1149" s="37" t="n">
        <v>40969</v>
      </c>
      <c r="E1149" s="0" t="n">
        <v>2013</v>
      </c>
      <c r="F1149" s="0" t="n">
        <v>2</v>
      </c>
      <c r="G1149" s="38" t="n">
        <v>5708395.42</v>
      </c>
    </row>
    <row r="1150" customFormat="false" ht="15" hidden="false" customHeight="false" outlineLevel="0" collapsed="false">
      <c r="A1150" s="0" t="n">
        <v>24</v>
      </c>
      <c r="B1150" s="0" t="s">
        <v>60</v>
      </c>
      <c r="C1150" s="36" t="n">
        <v>203819</v>
      </c>
      <c r="D1150" s="37" t="n">
        <v>40969</v>
      </c>
      <c r="E1150" s="0" t="n">
        <v>2013</v>
      </c>
      <c r="F1150" s="0" t="n">
        <v>2</v>
      </c>
      <c r="G1150" s="38" t="n">
        <v>5581639.61</v>
      </c>
    </row>
    <row r="1151" customFormat="false" ht="15" hidden="false" customHeight="false" outlineLevel="0" collapsed="false">
      <c r="A1151" s="0" t="n">
        <v>25</v>
      </c>
      <c r="B1151" s="0" t="s">
        <v>62</v>
      </c>
      <c r="C1151" s="36" t="n">
        <v>128107</v>
      </c>
      <c r="D1151" s="37" t="n">
        <v>40969</v>
      </c>
      <c r="E1151" s="0" t="n">
        <v>2013</v>
      </c>
      <c r="F1151" s="0" t="n">
        <v>2</v>
      </c>
      <c r="G1151" s="38" t="n">
        <v>2935906.32</v>
      </c>
    </row>
    <row r="1152" customFormat="false" ht="15" hidden="false" customHeight="false" outlineLevel="0" collapsed="false">
      <c r="A1152" s="0" t="n">
        <v>26</v>
      </c>
      <c r="B1152" s="0" t="s">
        <v>60</v>
      </c>
      <c r="C1152" s="36" t="n">
        <v>152513</v>
      </c>
      <c r="D1152" s="37" t="n">
        <v>40969</v>
      </c>
      <c r="E1152" s="0" t="n">
        <v>2013</v>
      </c>
      <c r="F1152" s="0" t="n">
        <v>2</v>
      </c>
      <c r="G1152" s="38" t="n">
        <v>4177469.03</v>
      </c>
    </row>
    <row r="1153" customFormat="false" ht="15" hidden="false" customHeight="false" outlineLevel="0" collapsed="false">
      <c r="A1153" s="0" t="n">
        <v>27</v>
      </c>
      <c r="B1153" s="0" t="s">
        <v>60</v>
      </c>
      <c r="C1153" s="36" t="n">
        <v>204184</v>
      </c>
      <c r="D1153" s="37" t="n">
        <v>40969</v>
      </c>
      <c r="E1153" s="0" t="n">
        <v>2013</v>
      </c>
      <c r="F1153" s="0" t="n">
        <v>2</v>
      </c>
      <c r="G1153" s="38" t="n">
        <v>7182183.73</v>
      </c>
    </row>
    <row r="1154" customFormat="false" ht="15" hidden="false" customHeight="false" outlineLevel="0" collapsed="false">
      <c r="A1154" s="0" t="n">
        <v>28</v>
      </c>
      <c r="B1154" s="0" t="s">
        <v>60</v>
      </c>
      <c r="C1154" s="36" t="n">
        <v>206302</v>
      </c>
      <c r="D1154" s="37" t="n">
        <v>40969</v>
      </c>
      <c r="E1154" s="0" t="n">
        <v>2013</v>
      </c>
      <c r="F1154" s="0" t="n">
        <v>2</v>
      </c>
      <c r="G1154" s="38" t="n">
        <v>6081805.06</v>
      </c>
    </row>
    <row r="1155" customFormat="false" ht="15" hidden="false" customHeight="false" outlineLevel="0" collapsed="false">
      <c r="A1155" s="0" t="n">
        <v>29</v>
      </c>
      <c r="B1155" s="0" t="s">
        <v>62</v>
      </c>
      <c r="C1155" s="36" t="n">
        <v>93638</v>
      </c>
      <c r="D1155" s="37" t="n">
        <v>40969</v>
      </c>
      <c r="E1155" s="0" t="n">
        <v>2013</v>
      </c>
      <c r="F1155" s="0" t="n">
        <v>2</v>
      </c>
      <c r="G1155" s="38" t="n">
        <v>2249651.67</v>
      </c>
    </row>
    <row r="1156" customFormat="false" ht="15" hidden="false" customHeight="false" outlineLevel="0" collapsed="false">
      <c r="A1156" s="0" t="n">
        <v>30</v>
      </c>
      <c r="B1156" s="0" t="s">
        <v>64</v>
      </c>
      <c r="C1156" s="36" t="n">
        <v>42988</v>
      </c>
      <c r="D1156" s="37" t="n">
        <v>40969</v>
      </c>
      <c r="E1156" s="0" t="n">
        <v>2013</v>
      </c>
      <c r="F1156" s="0" t="n">
        <v>2</v>
      </c>
      <c r="G1156" s="38" t="n">
        <v>1931318.39</v>
      </c>
    </row>
    <row r="1157" customFormat="false" ht="15" hidden="false" customHeight="false" outlineLevel="0" collapsed="false">
      <c r="A1157" s="0" t="n">
        <v>31</v>
      </c>
      <c r="B1157" s="0" t="s">
        <v>60</v>
      </c>
      <c r="C1157" s="36" t="n">
        <v>203750</v>
      </c>
      <c r="D1157" s="37" t="n">
        <v>40969</v>
      </c>
      <c r="E1157" s="0" t="n">
        <v>2013</v>
      </c>
      <c r="F1157" s="0" t="n">
        <v>2</v>
      </c>
      <c r="G1157" s="38" t="n">
        <v>6227146.75</v>
      </c>
    </row>
    <row r="1158" customFormat="false" ht="15" hidden="false" customHeight="false" outlineLevel="0" collapsed="false">
      <c r="A1158" s="0" t="n">
        <v>32</v>
      </c>
      <c r="B1158" s="0" t="s">
        <v>60</v>
      </c>
      <c r="C1158" s="36" t="n">
        <v>203007</v>
      </c>
      <c r="D1158" s="37" t="n">
        <v>40969</v>
      </c>
      <c r="E1158" s="0" t="n">
        <v>2013</v>
      </c>
      <c r="F1158" s="0" t="n">
        <v>2</v>
      </c>
      <c r="G1158" s="38" t="n">
        <v>5028993.2</v>
      </c>
    </row>
    <row r="1159" customFormat="false" ht="15" hidden="false" customHeight="false" outlineLevel="0" collapsed="false">
      <c r="A1159" s="0" t="n">
        <v>33</v>
      </c>
      <c r="B1159" s="0" t="s">
        <v>60</v>
      </c>
      <c r="C1159" s="36" t="n">
        <v>39690</v>
      </c>
      <c r="D1159" s="37" t="n">
        <v>40969</v>
      </c>
      <c r="E1159" s="0" t="n">
        <v>2013</v>
      </c>
      <c r="F1159" s="0" t="n">
        <v>2</v>
      </c>
      <c r="G1159" s="38" t="n">
        <v>1174000.56</v>
      </c>
    </row>
    <row r="1160" customFormat="false" ht="15" hidden="false" customHeight="false" outlineLevel="0" collapsed="false">
      <c r="A1160" s="0" t="n">
        <v>34</v>
      </c>
      <c r="B1160" s="0" t="s">
        <v>60</v>
      </c>
      <c r="C1160" s="36" t="n">
        <v>158114</v>
      </c>
      <c r="D1160" s="37" t="n">
        <v>40969</v>
      </c>
      <c r="E1160" s="0" t="n">
        <v>2013</v>
      </c>
      <c r="F1160" s="0" t="n">
        <v>2</v>
      </c>
      <c r="G1160" s="38" t="n">
        <v>4298489.49</v>
      </c>
    </row>
    <row r="1161" customFormat="false" ht="15" hidden="false" customHeight="false" outlineLevel="0" collapsed="false">
      <c r="A1161" s="0" t="n">
        <v>35</v>
      </c>
      <c r="B1161" s="0" t="s">
        <v>62</v>
      </c>
      <c r="C1161" s="36" t="n">
        <v>103681</v>
      </c>
      <c r="D1161" s="37" t="n">
        <v>40969</v>
      </c>
      <c r="E1161" s="0" t="n">
        <v>2013</v>
      </c>
      <c r="F1161" s="0" t="n">
        <v>2</v>
      </c>
      <c r="G1161" s="38" t="n">
        <v>3436513.35</v>
      </c>
    </row>
    <row r="1162" customFormat="false" ht="15" hidden="false" customHeight="false" outlineLevel="0" collapsed="false">
      <c r="A1162" s="0" t="n">
        <v>36</v>
      </c>
      <c r="B1162" s="0" t="s">
        <v>60</v>
      </c>
      <c r="C1162" s="36" t="n">
        <v>39910</v>
      </c>
      <c r="D1162" s="37" t="n">
        <v>40969</v>
      </c>
      <c r="E1162" s="0" t="n">
        <v>2013</v>
      </c>
      <c r="F1162" s="0" t="n">
        <v>2</v>
      </c>
      <c r="G1162" s="38" t="n">
        <v>1413440.98</v>
      </c>
    </row>
    <row r="1163" customFormat="false" ht="15" hidden="false" customHeight="false" outlineLevel="0" collapsed="false">
      <c r="A1163" s="0" t="n">
        <v>37</v>
      </c>
      <c r="B1163" s="0" t="s">
        <v>64</v>
      </c>
      <c r="C1163" s="36" t="n">
        <v>39910</v>
      </c>
      <c r="D1163" s="37" t="n">
        <v>40969</v>
      </c>
      <c r="E1163" s="0" t="n">
        <v>2013</v>
      </c>
      <c r="F1163" s="0" t="n">
        <v>2</v>
      </c>
      <c r="G1163" s="38" t="n">
        <v>2306000.22</v>
      </c>
    </row>
    <row r="1164" customFormat="false" ht="15" hidden="false" customHeight="false" outlineLevel="0" collapsed="false">
      <c r="A1164" s="0" t="n">
        <v>38</v>
      </c>
      <c r="B1164" s="0" t="s">
        <v>64</v>
      </c>
      <c r="C1164" s="36" t="n">
        <v>39690</v>
      </c>
      <c r="D1164" s="37" t="n">
        <v>40969</v>
      </c>
      <c r="E1164" s="0" t="n">
        <v>2013</v>
      </c>
      <c r="F1164" s="0" t="n">
        <v>2</v>
      </c>
      <c r="G1164" s="38" t="n">
        <v>1908321.85</v>
      </c>
    </row>
    <row r="1165" customFormat="false" ht="15" hidden="false" customHeight="false" outlineLevel="0" collapsed="false">
      <c r="A1165" s="0" t="n">
        <v>39</v>
      </c>
      <c r="B1165" s="0" t="s">
        <v>60</v>
      </c>
      <c r="C1165" s="36" t="n">
        <v>184109</v>
      </c>
      <c r="D1165" s="37" t="n">
        <v>40969</v>
      </c>
      <c r="E1165" s="0" t="n">
        <v>2013</v>
      </c>
      <c r="F1165" s="0" t="n">
        <v>2</v>
      </c>
      <c r="G1165" s="38" t="n">
        <v>6629783.26</v>
      </c>
    </row>
    <row r="1166" customFormat="false" ht="15" hidden="false" customHeight="false" outlineLevel="0" collapsed="false">
      <c r="A1166" s="0" t="n">
        <v>40</v>
      </c>
      <c r="B1166" s="0" t="s">
        <v>60</v>
      </c>
      <c r="C1166" s="36" t="n">
        <v>155083</v>
      </c>
      <c r="D1166" s="37" t="n">
        <v>40969</v>
      </c>
      <c r="E1166" s="0" t="n">
        <v>2013</v>
      </c>
      <c r="F1166" s="0" t="n">
        <v>2</v>
      </c>
      <c r="G1166" s="38" t="n">
        <v>3988614.23</v>
      </c>
    </row>
    <row r="1167" customFormat="false" ht="15" hidden="false" customHeight="false" outlineLevel="0" collapsed="false">
      <c r="A1167" s="0" t="n">
        <v>41</v>
      </c>
      <c r="B1167" s="0" t="s">
        <v>60</v>
      </c>
      <c r="C1167" s="36" t="n">
        <v>196321</v>
      </c>
      <c r="D1167" s="37" t="n">
        <v>40969</v>
      </c>
      <c r="E1167" s="0" t="n">
        <v>2013</v>
      </c>
      <c r="F1167" s="0" t="n">
        <v>2</v>
      </c>
      <c r="G1167" s="38" t="n">
        <v>5462941.16</v>
      </c>
    </row>
    <row r="1168" customFormat="false" ht="15" hidden="false" customHeight="false" outlineLevel="0" collapsed="false">
      <c r="A1168" s="0" t="n">
        <v>42</v>
      </c>
      <c r="B1168" s="0" t="s">
        <v>64</v>
      </c>
      <c r="C1168" s="36" t="n">
        <v>39690</v>
      </c>
      <c r="D1168" s="37" t="n">
        <v>40969</v>
      </c>
      <c r="E1168" s="0" t="n">
        <v>2013</v>
      </c>
      <c r="F1168" s="0" t="n">
        <v>2</v>
      </c>
      <c r="G1168" s="38" t="n">
        <v>2644804.05</v>
      </c>
    </row>
    <row r="1169" customFormat="false" ht="15" hidden="false" customHeight="false" outlineLevel="0" collapsed="false">
      <c r="A1169" s="0" t="n">
        <v>43</v>
      </c>
      <c r="B1169" s="0" t="s">
        <v>64</v>
      </c>
      <c r="C1169" s="36" t="n">
        <v>41062</v>
      </c>
      <c r="D1169" s="37" t="n">
        <v>40969</v>
      </c>
      <c r="E1169" s="0" t="n">
        <v>2013</v>
      </c>
      <c r="F1169" s="0" t="n">
        <v>2</v>
      </c>
      <c r="G1169" s="38" t="n">
        <v>2824722.33</v>
      </c>
    </row>
    <row r="1170" customFormat="false" ht="15" hidden="false" customHeight="false" outlineLevel="0" collapsed="false">
      <c r="A1170" s="0" t="n">
        <v>44</v>
      </c>
      <c r="B1170" s="0" t="s">
        <v>64</v>
      </c>
      <c r="C1170" s="36" t="n">
        <v>39910</v>
      </c>
      <c r="D1170" s="37" t="n">
        <v>40969</v>
      </c>
      <c r="E1170" s="0" t="n">
        <v>2013</v>
      </c>
      <c r="F1170" s="0" t="n">
        <v>2</v>
      </c>
      <c r="G1170" s="38" t="n">
        <v>1378577.92</v>
      </c>
    </row>
    <row r="1171" customFormat="false" ht="15" hidden="false" customHeight="false" outlineLevel="0" collapsed="false">
      <c r="A1171" s="0" t="n">
        <v>45</v>
      </c>
      <c r="B1171" s="0" t="s">
        <v>62</v>
      </c>
      <c r="C1171" s="36" t="n">
        <v>118221</v>
      </c>
      <c r="D1171" s="37" t="n">
        <v>40969</v>
      </c>
      <c r="E1171" s="0" t="n">
        <v>2013</v>
      </c>
      <c r="F1171" s="0" t="n">
        <v>2</v>
      </c>
      <c r="G1171" s="38" t="n">
        <v>3486551.64</v>
      </c>
    </row>
    <row r="1172" customFormat="false" ht="15" hidden="false" customHeight="false" outlineLevel="0" collapsed="false">
      <c r="A1172" s="0" t="n">
        <v>1</v>
      </c>
      <c r="B1172" s="0" t="s">
        <v>60</v>
      </c>
      <c r="C1172" s="36" t="n">
        <v>151315</v>
      </c>
      <c r="D1172" s="37" t="n">
        <v>41000</v>
      </c>
      <c r="E1172" s="0" t="n">
        <v>2013</v>
      </c>
      <c r="F1172" s="0" t="n">
        <v>3</v>
      </c>
      <c r="G1172" s="38" t="n">
        <v>6961769.52</v>
      </c>
    </row>
    <row r="1173" customFormat="false" ht="15" hidden="false" customHeight="false" outlineLevel="0" collapsed="false">
      <c r="A1173" s="0" t="n">
        <v>2</v>
      </c>
      <c r="B1173" s="0" t="s">
        <v>60</v>
      </c>
      <c r="C1173" s="36" t="n">
        <v>202307</v>
      </c>
      <c r="D1173" s="37" t="n">
        <v>41000</v>
      </c>
      <c r="E1173" s="0" t="n">
        <v>2013</v>
      </c>
      <c r="F1173" s="0" t="n">
        <v>3</v>
      </c>
      <c r="G1173" s="38" t="n">
        <v>8196787.63</v>
      </c>
    </row>
    <row r="1174" customFormat="false" ht="15" hidden="false" customHeight="false" outlineLevel="0" collapsed="false">
      <c r="A1174" s="0" t="n">
        <v>3</v>
      </c>
      <c r="B1174" s="0" t="s">
        <v>62</v>
      </c>
      <c r="C1174" s="36" t="n">
        <v>37392</v>
      </c>
      <c r="D1174" s="37" t="n">
        <v>41000</v>
      </c>
      <c r="E1174" s="0" t="n">
        <v>2013</v>
      </c>
      <c r="F1174" s="0" t="n">
        <v>3</v>
      </c>
      <c r="G1174" s="38" t="n">
        <v>1870104.26</v>
      </c>
    </row>
    <row r="1175" customFormat="false" ht="15" hidden="false" customHeight="false" outlineLevel="0" collapsed="false">
      <c r="A1175" s="0" t="n">
        <v>4</v>
      </c>
      <c r="B1175" s="0" t="s">
        <v>60</v>
      </c>
      <c r="C1175" s="36" t="n">
        <v>205863</v>
      </c>
      <c r="D1175" s="37" t="n">
        <v>41000</v>
      </c>
      <c r="E1175" s="0" t="n">
        <v>2013</v>
      </c>
      <c r="F1175" s="0" t="n">
        <v>3</v>
      </c>
      <c r="G1175" s="38" t="n">
        <v>9372581.32</v>
      </c>
    </row>
    <row r="1176" customFormat="false" ht="15" hidden="false" customHeight="false" outlineLevel="0" collapsed="false">
      <c r="A1176" s="0" t="n">
        <v>5</v>
      </c>
      <c r="B1176" s="0" t="s">
        <v>62</v>
      </c>
      <c r="C1176" s="36" t="n">
        <v>34875</v>
      </c>
      <c r="D1176" s="37" t="n">
        <v>41000</v>
      </c>
      <c r="E1176" s="0" t="n">
        <v>2013</v>
      </c>
      <c r="F1176" s="0" t="n">
        <v>3</v>
      </c>
      <c r="G1176" s="38" t="n">
        <v>1506836.55</v>
      </c>
    </row>
    <row r="1177" customFormat="false" ht="15" hidden="false" customHeight="false" outlineLevel="0" collapsed="false">
      <c r="A1177" s="0" t="n">
        <v>6</v>
      </c>
      <c r="B1177" s="0" t="s">
        <v>60</v>
      </c>
      <c r="C1177" s="36" t="n">
        <v>202505</v>
      </c>
      <c r="D1177" s="37" t="n">
        <v>41000</v>
      </c>
      <c r="E1177" s="0" t="n">
        <v>2013</v>
      </c>
      <c r="F1177" s="0" t="n">
        <v>3</v>
      </c>
      <c r="G1177" s="38" t="n">
        <v>6767427.49</v>
      </c>
    </row>
    <row r="1178" customFormat="false" ht="15" hidden="false" customHeight="false" outlineLevel="0" collapsed="false">
      <c r="A1178" s="0" t="n">
        <v>7</v>
      </c>
      <c r="B1178" s="0" t="s">
        <v>62</v>
      </c>
      <c r="C1178" s="36" t="n">
        <v>70713</v>
      </c>
      <c r="D1178" s="37" t="n">
        <v>41000</v>
      </c>
      <c r="E1178" s="0" t="n">
        <v>2013</v>
      </c>
      <c r="F1178" s="0" t="n">
        <v>3</v>
      </c>
      <c r="G1178" s="38" t="n">
        <v>2174609.82</v>
      </c>
    </row>
    <row r="1179" customFormat="false" ht="15" hidden="false" customHeight="false" outlineLevel="0" collapsed="false">
      <c r="A1179" s="0" t="n">
        <v>8</v>
      </c>
      <c r="B1179" s="0" t="s">
        <v>60</v>
      </c>
      <c r="C1179" s="36" t="n">
        <v>155078</v>
      </c>
      <c r="D1179" s="37" t="n">
        <v>41000</v>
      </c>
      <c r="E1179" s="0" t="n">
        <v>2013</v>
      </c>
      <c r="F1179" s="0" t="n">
        <v>3</v>
      </c>
      <c r="G1179" s="38" t="n">
        <v>3960668.41</v>
      </c>
    </row>
    <row r="1180" customFormat="false" ht="15" hidden="false" customHeight="false" outlineLevel="0" collapsed="false">
      <c r="A1180" s="0" t="n">
        <v>9</v>
      </c>
      <c r="B1180" s="0" t="s">
        <v>62</v>
      </c>
      <c r="C1180" s="36" t="n">
        <v>125833</v>
      </c>
      <c r="D1180" s="37" t="n">
        <v>41000</v>
      </c>
      <c r="E1180" s="0" t="n">
        <v>2013</v>
      </c>
      <c r="F1180" s="0" t="n">
        <v>3</v>
      </c>
      <c r="G1180" s="38" t="n">
        <v>2504085.78</v>
      </c>
    </row>
    <row r="1181" customFormat="false" ht="15" hidden="false" customHeight="false" outlineLevel="0" collapsed="false">
      <c r="A1181" s="0" t="n">
        <v>10</v>
      </c>
      <c r="B1181" s="0" t="s">
        <v>62</v>
      </c>
      <c r="C1181" s="36" t="n">
        <v>126512</v>
      </c>
      <c r="D1181" s="37" t="n">
        <v>41000</v>
      </c>
      <c r="E1181" s="0" t="n">
        <v>2013</v>
      </c>
      <c r="F1181" s="0" t="n">
        <v>3</v>
      </c>
      <c r="G1181" s="38" t="n">
        <v>8099755.65</v>
      </c>
    </row>
    <row r="1182" customFormat="false" ht="15" hidden="false" customHeight="false" outlineLevel="0" collapsed="false">
      <c r="A1182" s="0" t="n">
        <v>11</v>
      </c>
      <c r="B1182" s="0" t="s">
        <v>60</v>
      </c>
      <c r="C1182" s="36" t="n">
        <v>207499</v>
      </c>
      <c r="D1182" s="37" t="n">
        <v>41000</v>
      </c>
      <c r="E1182" s="0" t="n">
        <v>2013</v>
      </c>
      <c r="F1182" s="0" t="n">
        <v>3</v>
      </c>
      <c r="G1182" s="38" t="n">
        <v>5979876.41</v>
      </c>
    </row>
    <row r="1183" customFormat="false" ht="15" hidden="false" customHeight="false" outlineLevel="0" collapsed="false">
      <c r="A1183" s="0" t="n">
        <v>12</v>
      </c>
      <c r="B1183" s="0" t="s">
        <v>62</v>
      </c>
      <c r="C1183" s="36" t="n">
        <v>112238</v>
      </c>
      <c r="D1183" s="37" t="n">
        <v>41000</v>
      </c>
      <c r="E1183" s="0" t="n">
        <v>2013</v>
      </c>
      <c r="F1183" s="0" t="n">
        <v>3</v>
      </c>
      <c r="G1183" s="38" t="n">
        <v>4522107</v>
      </c>
    </row>
    <row r="1184" customFormat="false" ht="15" hidden="false" customHeight="false" outlineLevel="0" collapsed="false">
      <c r="A1184" s="0" t="n">
        <v>13</v>
      </c>
      <c r="B1184" s="0" t="s">
        <v>60</v>
      </c>
      <c r="C1184" s="36" t="n">
        <v>219622</v>
      </c>
      <c r="D1184" s="37" t="n">
        <v>41000</v>
      </c>
      <c r="E1184" s="0" t="n">
        <v>2013</v>
      </c>
      <c r="F1184" s="0" t="n">
        <v>3</v>
      </c>
      <c r="G1184" s="38" t="n">
        <v>8785973.24</v>
      </c>
    </row>
    <row r="1185" customFormat="false" ht="15" hidden="false" customHeight="false" outlineLevel="0" collapsed="false">
      <c r="A1185" s="0" t="n">
        <v>14</v>
      </c>
      <c r="B1185" s="0" t="s">
        <v>60</v>
      </c>
      <c r="C1185" s="36" t="n">
        <v>200898</v>
      </c>
      <c r="D1185" s="37" t="n">
        <v>41000</v>
      </c>
      <c r="E1185" s="0" t="n">
        <v>2013</v>
      </c>
      <c r="F1185" s="0" t="n">
        <v>3</v>
      </c>
      <c r="G1185" s="38" t="n">
        <v>8444654.17</v>
      </c>
    </row>
    <row r="1186" customFormat="false" ht="15" hidden="false" customHeight="false" outlineLevel="0" collapsed="false">
      <c r="A1186" s="0" t="n">
        <v>15</v>
      </c>
      <c r="B1186" s="0" t="s">
        <v>62</v>
      </c>
      <c r="C1186" s="36" t="n">
        <v>123737</v>
      </c>
      <c r="D1186" s="37" t="n">
        <v>41000</v>
      </c>
      <c r="E1186" s="0" t="n">
        <v>2013</v>
      </c>
      <c r="F1186" s="0" t="n">
        <v>3</v>
      </c>
      <c r="G1186" s="38" t="n">
        <v>2434097.97</v>
      </c>
    </row>
    <row r="1187" customFormat="false" ht="15" hidden="false" customHeight="false" outlineLevel="0" collapsed="false">
      <c r="A1187" s="0" t="n">
        <v>16</v>
      </c>
      <c r="B1187" s="0" t="s">
        <v>62</v>
      </c>
      <c r="C1187" s="36" t="n">
        <v>57197</v>
      </c>
      <c r="D1187" s="37" t="n">
        <v>41000</v>
      </c>
      <c r="E1187" s="0" t="n">
        <v>2013</v>
      </c>
      <c r="F1187" s="0" t="n">
        <v>3</v>
      </c>
      <c r="G1187" s="38" t="n">
        <v>1899259</v>
      </c>
    </row>
    <row r="1188" customFormat="false" ht="15" hidden="false" customHeight="false" outlineLevel="0" collapsed="false">
      <c r="A1188" s="0" t="n">
        <v>17</v>
      </c>
      <c r="B1188" s="0" t="s">
        <v>62</v>
      </c>
      <c r="C1188" s="36" t="n">
        <v>93188</v>
      </c>
      <c r="D1188" s="37" t="n">
        <v>41000</v>
      </c>
      <c r="E1188" s="0" t="n">
        <v>2013</v>
      </c>
      <c r="F1188" s="0" t="n">
        <v>3</v>
      </c>
      <c r="G1188" s="38" t="n">
        <v>4167508.98</v>
      </c>
    </row>
    <row r="1189" customFormat="false" ht="15" hidden="false" customHeight="false" outlineLevel="0" collapsed="false">
      <c r="A1189" s="0" t="n">
        <v>18</v>
      </c>
      <c r="B1189" s="0" t="s">
        <v>62</v>
      </c>
      <c r="C1189" s="36" t="n">
        <v>120653</v>
      </c>
      <c r="D1189" s="37" t="n">
        <v>41000</v>
      </c>
      <c r="E1189" s="0" t="n">
        <v>2013</v>
      </c>
      <c r="F1189" s="0" t="n">
        <v>3</v>
      </c>
      <c r="G1189" s="38" t="n">
        <v>4464725.77</v>
      </c>
    </row>
    <row r="1190" customFormat="false" ht="15" hidden="false" customHeight="false" outlineLevel="0" collapsed="false">
      <c r="A1190" s="0" t="n">
        <v>19</v>
      </c>
      <c r="B1190" s="0" t="s">
        <v>60</v>
      </c>
      <c r="C1190" s="36" t="n">
        <v>203819</v>
      </c>
      <c r="D1190" s="37" t="n">
        <v>41000</v>
      </c>
      <c r="E1190" s="0" t="n">
        <v>2013</v>
      </c>
      <c r="F1190" s="0" t="n">
        <v>3</v>
      </c>
      <c r="G1190" s="38" t="n">
        <v>5906861.3</v>
      </c>
    </row>
    <row r="1191" customFormat="false" ht="15" hidden="false" customHeight="false" outlineLevel="0" collapsed="false">
      <c r="A1191" s="0" t="n">
        <v>20</v>
      </c>
      <c r="B1191" s="0" t="s">
        <v>60</v>
      </c>
      <c r="C1191" s="36" t="n">
        <v>203742</v>
      </c>
      <c r="D1191" s="37" t="n">
        <v>41000</v>
      </c>
      <c r="E1191" s="0" t="n">
        <v>2013</v>
      </c>
      <c r="F1191" s="0" t="n">
        <v>3</v>
      </c>
      <c r="G1191" s="38" t="n">
        <v>8942340.99</v>
      </c>
    </row>
    <row r="1192" customFormat="false" ht="15" hidden="false" customHeight="false" outlineLevel="0" collapsed="false">
      <c r="A1192" s="0" t="n">
        <v>21</v>
      </c>
      <c r="B1192" s="0" t="s">
        <v>62</v>
      </c>
      <c r="C1192" s="36" t="n">
        <v>140167</v>
      </c>
      <c r="D1192" s="37" t="n">
        <v>41000</v>
      </c>
      <c r="E1192" s="0" t="n">
        <v>2013</v>
      </c>
      <c r="F1192" s="0" t="n">
        <v>3</v>
      </c>
      <c r="G1192" s="38" t="n">
        <v>3131104.06</v>
      </c>
    </row>
    <row r="1193" customFormat="false" ht="15" hidden="false" customHeight="false" outlineLevel="0" collapsed="false">
      <c r="A1193" s="0" t="n">
        <v>22</v>
      </c>
      <c r="B1193" s="0" t="s">
        <v>62</v>
      </c>
      <c r="C1193" s="36" t="n">
        <v>119557</v>
      </c>
      <c r="D1193" s="37" t="n">
        <v>41000</v>
      </c>
      <c r="E1193" s="0" t="n">
        <v>2013</v>
      </c>
      <c r="F1193" s="0" t="n">
        <v>3</v>
      </c>
      <c r="G1193" s="38" t="n">
        <v>4319170.71</v>
      </c>
    </row>
    <row r="1194" customFormat="false" ht="15" hidden="false" customHeight="false" outlineLevel="0" collapsed="false">
      <c r="A1194" s="0" t="n">
        <v>23</v>
      </c>
      <c r="B1194" s="0" t="s">
        <v>62</v>
      </c>
      <c r="C1194" s="36" t="n">
        <v>114533</v>
      </c>
      <c r="D1194" s="37" t="n">
        <v>41000</v>
      </c>
      <c r="E1194" s="0" t="n">
        <v>2013</v>
      </c>
      <c r="F1194" s="0" t="n">
        <v>3</v>
      </c>
      <c r="G1194" s="38" t="n">
        <v>5737378.31</v>
      </c>
    </row>
    <row r="1195" customFormat="false" ht="15" hidden="false" customHeight="false" outlineLevel="0" collapsed="false">
      <c r="A1195" s="0" t="n">
        <v>24</v>
      </c>
      <c r="B1195" s="0" t="s">
        <v>60</v>
      </c>
      <c r="C1195" s="36" t="n">
        <v>203819</v>
      </c>
      <c r="D1195" s="37" t="n">
        <v>41000</v>
      </c>
      <c r="E1195" s="0" t="n">
        <v>2013</v>
      </c>
      <c r="F1195" s="0" t="n">
        <v>3</v>
      </c>
      <c r="G1195" s="38" t="n">
        <v>5555638.77</v>
      </c>
    </row>
    <row r="1196" customFormat="false" ht="15" hidden="false" customHeight="false" outlineLevel="0" collapsed="false">
      <c r="A1196" s="0" t="n">
        <v>25</v>
      </c>
      <c r="B1196" s="0" t="s">
        <v>62</v>
      </c>
      <c r="C1196" s="36" t="n">
        <v>128107</v>
      </c>
      <c r="D1196" s="37" t="n">
        <v>41000</v>
      </c>
      <c r="E1196" s="0" t="n">
        <v>2013</v>
      </c>
      <c r="F1196" s="0" t="n">
        <v>3</v>
      </c>
      <c r="G1196" s="38" t="n">
        <v>2952187.74</v>
      </c>
    </row>
    <row r="1197" customFormat="false" ht="15" hidden="false" customHeight="false" outlineLevel="0" collapsed="false">
      <c r="A1197" s="0" t="n">
        <v>26</v>
      </c>
      <c r="B1197" s="0" t="s">
        <v>60</v>
      </c>
      <c r="C1197" s="36" t="n">
        <v>152513</v>
      </c>
      <c r="D1197" s="37" t="n">
        <v>41000</v>
      </c>
      <c r="E1197" s="0" t="n">
        <v>2013</v>
      </c>
      <c r="F1197" s="0" t="n">
        <v>3</v>
      </c>
      <c r="G1197" s="38" t="n">
        <v>4088195.76</v>
      </c>
    </row>
    <row r="1198" customFormat="false" ht="15" hidden="false" customHeight="false" outlineLevel="0" collapsed="false">
      <c r="A1198" s="0" t="n">
        <v>27</v>
      </c>
      <c r="B1198" s="0" t="s">
        <v>60</v>
      </c>
      <c r="C1198" s="36" t="n">
        <v>204184</v>
      </c>
      <c r="D1198" s="37" t="n">
        <v>41000</v>
      </c>
      <c r="E1198" s="0" t="n">
        <v>2013</v>
      </c>
      <c r="F1198" s="0" t="n">
        <v>3</v>
      </c>
      <c r="G1198" s="38" t="n">
        <v>7199081.41</v>
      </c>
    </row>
    <row r="1199" customFormat="false" ht="15" hidden="false" customHeight="false" outlineLevel="0" collapsed="false">
      <c r="A1199" s="0" t="n">
        <v>28</v>
      </c>
      <c r="B1199" s="0" t="s">
        <v>60</v>
      </c>
      <c r="C1199" s="36" t="n">
        <v>206302</v>
      </c>
      <c r="D1199" s="37" t="n">
        <v>41000</v>
      </c>
      <c r="E1199" s="0" t="n">
        <v>2013</v>
      </c>
      <c r="F1199" s="0" t="n">
        <v>3</v>
      </c>
      <c r="G1199" s="38" t="n">
        <v>5600430.21</v>
      </c>
    </row>
    <row r="1200" customFormat="false" ht="15" hidden="false" customHeight="false" outlineLevel="0" collapsed="false">
      <c r="A1200" s="0" t="n">
        <v>29</v>
      </c>
      <c r="B1200" s="0" t="s">
        <v>62</v>
      </c>
      <c r="C1200" s="36" t="n">
        <v>93638</v>
      </c>
      <c r="D1200" s="37" t="n">
        <v>41000</v>
      </c>
      <c r="E1200" s="0" t="n">
        <v>2013</v>
      </c>
      <c r="F1200" s="0" t="n">
        <v>3</v>
      </c>
      <c r="G1200" s="38" t="n">
        <v>2302637.6</v>
      </c>
    </row>
    <row r="1201" customFormat="false" ht="15" hidden="false" customHeight="false" outlineLevel="0" collapsed="false">
      <c r="A1201" s="0" t="n">
        <v>30</v>
      </c>
      <c r="B1201" s="0" t="s">
        <v>64</v>
      </c>
      <c r="C1201" s="36" t="n">
        <v>42988</v>
      </c>
      <c r="D1201" s="37" t="n">
        <v>41000</v>
      </c>
      <c r="E1201" s="0" t="n">
        <v>2013</v>
      </c>
      <c r="F1201" s="0" t="n">
        <v>3</v>
      </c>
      <c r="G1201" s="38" t="n">
        <v>1915796.67</v>
      </c>
    </row>
    <row r="1202" customFormat="false" ht="15" hidden="false" customHeight="false" outlineLevel="0" collapsed="false">
      <c r="A1202" s="0" t="n">
        <v>31</v>
      </c>
      <c r="B1202" s="0" t="s">
        <v>60</v>
      </c>
      <c r="C1202" s="36" t="n">
        <v>203750</v>
      </c>
      <c r="D1202" s="37" t="n">
        <v>41000</v>
      </c>
      <c r="E1202" s="0" t="n">
        <v>2013</v>
      </c>
      <c r="F1202" s="0" t="n">
        <v>3</v>
      </c>
      <c r="G1202" s="38" t="n">
        <v>6004916.13</v>
      </c>
    </row>
    <row r="1203" customFormat="false" ht="15" hidden="false" customHeight="false" outlineLevel="0" collapsed="false">
      <c r="A1203" s="0" t="n">
        <v>32</v>
      </c>
      <c r="B1203" s="0" t="s">
        <v>60</v>
      </c>
      <c r="C1203" s="36" t="n">
        <v>203007</v>
      </c>
      <c r="D1203" s="37" t="n">
        <v>41000</v>
      </c>
      <c r="E1203" s="0" t="n">
        <v>2013</v>
      </c>
      <c r="F1203" s="0" t="n">
        <v>3</v>
      </c>
      <c r="G1203" s="38" t="n">
        <v>5018147.87</v>
      </c>
    </row>
    <row r="1204" customFormat="false" ht="15" hidden="false" customHeight="false" outlineLevel="0" collapsed="false">
      <c r="A1204" s="0" t="n">
        <v>33</v>
      </c>
      <c r="B1204" s="0" t="s">
        <v>60</v>
      </c>
      <c r="C1204" s="36" t="n">
        <v>39690</v>
      </c>
      <c r="D1204" s="37" t="n">
        <v>41000</v>
      </c>
      <c r="E1204" s="0" t="n">
        <v>2013</v>
      </c>
      <c r="F1204" s="0" t="n">
        <v>3</v>
      </c>
      <c r="G1204" s="38" t="n">
        <v>1176758.07</v>
      </c>
    </row>
    <row r="1205" customFormat="false" ht="15" hidden="false" customHeight="false" outlineLevel="0" collapsed="false">
      <c r="A1205" s="0" t="n">
        <v>34</v>
      </c>
      <c r="B1205" s="0" t="s">
        <v>60</v>
      </c>
      <c r="C1205" s="36" t="n">
        <v>158114</v>
      </c>
      <c r="D1205" s="37" t="n">
        <v>41000</v>
      </c>
      <c r="E1205" s="0" t="n">
        <v>2013</v>
      </c>
      <c r="F1205" s="0" t="n">
        <v>3</v>
      </c>
      <c r="G1205" s="38" t="n">
        <v>4265201.64</v>
      </c>
    </row>
    <row r="1206" customFormat="false" ht="15" hidden="false" customHeight="false" outlineLevel="0" collapsed="false">
      <c r="A1206" s="0" t="n">
        <v>35</v>
      </c>
      <c r="B1206" s="0" t="s">
        <v>62</v>
      </c>
      <c r="C1206" s="36" t="n">
        <v>103681</v>
      </c>
      <c r="D1206" s="37" t="n">
        <v>41000</v>
      </c>
      <c r="E1206" s="0" t="n">
        <v>2013</v>
      </c>
      <c r="F1206" s="0" t="n">
        <v>3</v>
      </c>
      <c r="G1206" s="38" t="n">
        <v>3372773.31</v>
      </c>
    </row>
    <row r="1207" customFormat="false" ht="15" hidden="false" customHeight="false" outlineLevel="0" collapsed="false">
      <c r="A1207" s="0" t="n">
        <v>36</v>
      </c>
      <c r="B1207" s="0" t="s">
        <v>60</v>
      </c>
      <c r="C1207" s="36" t="n">
        <v>39910</v>
      </c>
      <c r="D1207" s="37" t="n">
        <v>41000</v>
      </c>
      <c r="E1207" s="0" t="n">
        <v>2013</v>
      </c>
      <c r="F1207" s="0" t="n">
        <v>3</v>
      </c>
      <c r="G1207" s="38" t="n">
        <v>1389364.43</v>
      </c>
    </row>
    <row r="1208" customFormat="false" ht="15" hidden="false" customHeight="false" outlineLevel="0" collapsed="false">
      <c r="A1208" s="0" t="n">
        <v>37</v>
      </c>
      <c r="B1208" s="0" t="s">
        <v>64</v>
      </c>
      <c r="C1208" s="36" t="n">
        <v>39910</v>
      </c>
      <c r="D1208" s="37" t="n">
        <v>41000</v>
      </c>
      <c r="E1208" s="0" t="n">
        <v>2013</v>
      </c>
      <c r="F1208" s="0" t="n">
        <v>3</v>
      </c>
      <c r="G1208" s="38" t="n">
        <v>2272839.15</v>
      </c>
    </row>
    <row r="1209" customFormat="false" ht="15" hidden="false" customHeight="false" outlineLevel="0" collapsed="false">
      <c r="A1209" s="0" t="n">
        <v>38</v>
      </c>
      <c r="B1209" s="0" t="s">
        <v>64</v>
      </c>
      <c r="C1209" s="36" t="n">
        <v>39690</v>
      </c>
      <c r="D1209" s="37" t="n">
        <v>41000</v>
      </c>
      <c r="E1209" s="0" t="n">
        <v>2013</v>
      </c>
      <c r="F1209" s="0" t="n">
        <v>3</v>
      </c>
      <c r="G1209" s="38" t="n">
        <v>1896067.46</v>
      </c>
    </row>
    <row r="1210" customFormat="false" ht="15" hidden="false" customHeight="false" outlineLevel="0" collapsed="false">
      <c r="A1210" s="0" t="n">
        <v>39</v>
      </c>
      <c r="B1210" s="0" t="s">
        <v>60</v>
      </c>
      <c r="C1210" s="36" t="n">
        <v>184109</v>
      </c>
      <c r="D1210" s="37" t="n">
        <v>41000</v>
      </c>
      <c r="E1210" s="0" t="n">
        <v>2013</v>
      </c>
      <c r="F1210" s="0" t="n">
        <v>3</v>
      </c>
      <c r="G1210" s="38" t="n">
        <v>6631945.2</v>
      </c>
    </row>
    <row r="1211" customFormat="false" ht="15" hidden="false" customHeight="false" outlineLevel="0" collapsed="false">
      <c r="A1211" s="0" t="n">
        <v>40</v>
      </c>
      <c r="B1211" s="0" t="s">
        <v>60</v>
      </c>
      <c r="C1211" s="36" t="n">
        <v>155083</v>
      </c>
      <c r="D1211" s="37" t="n">
        <v>41000</v>
      </c>
      <c r="E1211" s="0" t="n">
        <v>2013</v>
      </c>
      <c r="F1211" s="0" t="n">
        <v>3</v>
      </c>
      <c r="G1211" s="38" t="n">
        <v>4026209.73</v>
      </c>
    </row>
    <row r="1212" customFormat="false" ht="15" hidden="false" customHeight="false" outlineLevel="0" collapsed="false">
      <c r="A1212" s="0" t="n">
        <v>41</v>
      </c>
      <c r="B1212" s="0" t="s">
        <v>60</v>
      </c>
      <c r="C1212" s="36" t="n">
        <v>196321</v>
      </c>
      <c r="D1212" s="37" t="n">
        <v>41000</v>
      </c>
      <c r="E1212" s="0" t="n">
        <v>2013</v>
      </c>
      <c r="F1212" s="0" t="n">
        <v>3</v>
      </c>
      <c r="G1212" s="38" t="n">
        <v>5627158.99</v>
      </c>
    </row>
    <row r="1213" customFormat="false" ht="15" hidden="false" customHeight="false" outlineLevel="0" collapsed="false">
      <c r="A1213" s="0" t="n">
        <v>42</v>
      </c>
      <c r="B1213" s="0" t="s">
        <v>64</v>
      </c>
      <c r="C1213" s="36" t="n">
        <v>39690</v>
      </c>
      <c r="D1213" s="37" t="n">
        <v>41000</v>
      </c>
      <c r="E1213" s="0" t="n">
        <v>2013</v>
      </c>
      <c r="F1213" s="0" t="n">
        <v>3</v>
      </c>
      <c r="G1213" s="38" t="n">
        <v>2538520.64</v>
      </c>
    </row>
    <row r="1214" customFormat="false" ht="15" hidden="false" customHeight="false" outlineLevel="0" collapsed="false">
      <c r="A1214" s="0" t="n">
        <v>43</v>
      </c>
      <c r="B1214" s="0" t="s">
        <v>64</v>
      </c>
      <c r="C1214" s="36" t="n">
        <v>41062</v>
      </c>
      <c r="D1214" s="37" t="n">
        <v>41000</v>
      </c>
      <c r="E1214" s="0" t="n">
        <v>2013</v>
      </c>
      <c r="F1214" s="0" t="n">
        <v>3</v>
      </c>
      <c r="G1214" s="38" t="n">
        <v>2734786.1</v>
      </c>
    </row>
    <row r="1215" customFormat="false" ht="15" hidden="false" customHeight="false" outlineLevel="0" collapsed="false">
      <c r="A1215" s="0" t="n">
        <v>44</v>
      </c>
      <c r="B1215" s="0" t="s">
        <v>64</v>
      </c>
      <c r="C1215" s="36" t="n">
        <v>39910</v>
      </c>
      <c r="D1215" s="37" t="n">
        <v>41000</v>
      </c>
      <c r="E1215" s="0" t="n">
        <v>2013</v>
      </c>
      <c r="F1215" s="0" t="n">
        <v>3</v>
      </c>
      <c r="G1215" s="38" t="n">
        <v>1379003.32</v>
      </c>
    </row>
    <row r="1216" customFormat="false" ht="15" hidden="false" customHeight="false" outlineLevel="0" collapsed="false">
      <c r="A1216" s="0" t="n">
        <v>45</v>
      </c>
      <c r="B1216" s="0" t="s">
        <v>62</v>
      </c>
      <c r="C1216" s="36" t="n">
        <v>118221</v>
      </c>
      <c r="D1216" s="37" t="n">
        <v>41000</v>
      </c>
      <c r="E1216" s="0" t="n">
        <v>2013</v>
      </c>
      <c r="F1216" s="0" t="n">
        <v>3</v>
      </c>
      <c r="G1216" s="38" t="n">
        <v>3376458.27</v>
      </c>
    </row>
    <row r="1217" customFormat="false" ht="15" hidden="false" customHeight="false" outlineLevel="0" collapsed="false">
      <c r="A1217" s="0" t="n">
        <v>1</v>
      </c>
      <c r="B1217" s="0" t="s">
        <v>60</v>
      </c>
      <c r="C1217" s="36" t="n">
        <v>151315</v>
      </c>
      <c r="D1217" s="37" t="n">
        <v>41030</v>
      </c>
      <c r="E1217" s="0" t="n">
        <v>2013</v>
      </c>
      <c r="F1217" s="0" t="n">
        <v>4</v>
      </c>
      <c r="G1217" s="38" t="n">
        <v>7117434.68</v>
      </c>
    </row>
    <row r="1218" customFormat="false" ht="15" hidden="false" customHeight="false" outlineLevel="0" collapsed="false">
      <c r="A1218" s="0" t="n">
        <v>2</v>
      </c>
      <c r="B1218" s="0" t="s">
        <v>60</v>
      </c>
      <c r="C1218" s="36" t="n">
        <v>202307</v>
      </c>
      <c r="D1218" s="37" t="n">
        <v>41030</v>
      </c>
      <c r="E1218" s="0" t="n">
        <v>2013</v>
      </c>
      <c r="F1218" s="0" t="n">
        <v>4</v>
      </c>
      <c r="G1218" s="38" t="n">
        <v>8567878.83</v>
      </c>
    </row>
    <row r="1219" customFormat="false" ht="15" hidden="false" customHeight="false" outlineLevel="0" collapsed="false">
      <c r="A1219" s="0" t="n">
        <v>3</v>
      </c>
      <c r="B1219" s="0" t="s">
        <v>62</v>
      </c>
      <c r="C1219" s="36" t="n">
        <v>37392</v>
      </c>
      <c r="D1219" s="37" t="n">
        <v>41030</v>
      </c>
      <c r="E1219" s="0" t="n">
        <v>2013</v>
      </c>
      <c r="F1219" s="0" t="n">
        <v>4</v>
      </c>
      <c r="G1219" s="38" t="n">
        <v>1885694.47</v>
      </c>
    </row>
    <row r="1220" customFormat="false" ht="15" hidden="false" customHeight="false" outlineLevel="0" collapsed="false">
      <c r="A1220" s="0" t="n">
        <v>4</v>
      </c>
      <c r="B1220" s="0" t="s">
        <v>60</v>
      </c>
      <c r="C1220" s="36" t="n">
        <v>205863</v>
      </c>
      <c r="D1220" s="37" t="n">
        <v>41030</v>
      </c>
      <c r="E1220" s="0" t="n">
        <v>2013</v>
      </c>
      <c r="F1220" s="0" t="n">
        <v>4</v>
      </c>
      <c r="G1220" s="38" t="n">
        <v>9612447.74</v>
      </c>
    </row>
    <row r="1221" customFormat="false" ht="15" hidden="false" customHeight="false" outlineLevel="0" collapsed="false">
      <c r="A1221" s="0" t="n">
        <v>5</v>
      </c>
      <c r="B1221" s="0" t="s">
        <v>62</v>
      </c>
      <c r="C1221" s="36" t="n">
        <v>34875</v>
      </c>
      <c r="D1221" s="37" t="n">
        <v>41030</v>
      </c>
      <c r="E1221" s="0" t="n">
        <v>2013</v>
      </c>
      <c r="F1221" s="0" t="n">
        <v>4</v>
      </c>
      <c r="G1221" s="38" t="n">
        <v>1526760.05</v>
      </c>
    </row>
    <row r="1222" customFormat="false" ht="15" hidden="false" customHeight="false" outlineLevel="0" collapsed="false">
      <c r="A1222" s="0" t="n">
        <v>6</v>
      </c>
      <c r="B1222" s="0" t="s">
        <v>60</v>
      </c>
      <c r="C1222" s="36" t="n">
        <v>202505</v>
      </c>
      <c r="D1222" s="37" t="n">
        <v>41030</v>
      </c>
      <c r="E1222" s="0" t="n">
        <v>2013</v>
      </c>
      <c r="F1222" s="0" t="n">
        <v>4</v>
      </c>
      <c r="G1222" s="38" t="n">
        <v>6957443.67</v>
      </c>
    </row>
    <row r="1223" customFormat="false" ht="15" hidden="false" customHeight="false" outlineLevel="0" collapsed="false">
      <c r="A1223" s="0" t="n">
        <v>7</v>
      </c>
      <c r="B1223" s="0" t="s">
        <v>62</v>
      </c>
      <c r="C1223" s="36" t="n">
        <v>70713</v>
      </c>
      <c r="D1223" s="37" t="n">
        <v>41030</v>
      </c>
      <c r="E1223" s="0" t="n">
        <v>2013</v>
      </c>
      <c r="F1223" s="0" t="n">
        <v>4</v>
      </c>
      <c r="G1223" s="38" t="n">
        <v>2240389.13</v>
      </c>
    </row>
    <row r="1224" customFormat="false" ht="15" hidden="false" customHeight="false" outlineLevel="0" collapsed="false">
      <c r="A1224" s="0" t="n">
        <v>8</v>
      </c>
      <c r="B1224" s="0" t="s">
        <v>60</v>
      </c>
      <c r="C1224" s="36" t="n">
        <v>155078</v>
      </c>
      <c r="D1224" s="37" t="n">
        <v>41030</v>
      </c>
      <c r="E1224" s="0" t="n">
        <v>2013</v>
      </c>
      <c r="F1224" s="0" t="n">
        <v>4</v>
      </c>
      <c r="G1224" s="38" t="n">
        <v>4054336.27</v>
      </c>
    </row>
    <row r="1225" customFormat="false" ht="15" hidden="false" customHeight="false" outlineLevel="0" collapsed="false">
      <c r="A1225" s="0" t="n">
        <v>9</v>
      </c>
      <c r="B1225" s="0" t="s">
        <v>62</v>
      </c>
      <c r="C1225" s="36" t="n">
        <v>125833</v>
      </c>
      <c r="D1225" s="37" t="n">
        <v>41030</v>
      </c>
      <c r="E1225" s="0" t="n">
        <v>2013</v>
      </c>
      <c r="F1225" s="0" t="n">
        <v>4</v>
      </c>
      <c r="G1225" s="38" t="n">
        <v>2546554.79</v>
      </c>
    </row>
    <row r="1226" customFormat="false" ht="15" hidden="false" customHeight="false" outlineLevel="0" collapsed="false">
      <c r="A1226" s="0" t="n">
        <v>10</v>
      </c>
      <c r="B1226" s="0" t="s">
        <v>62</v>
      </c>
      <c r="C1226" s="36" t="n">
        <v>126512</v>
      </c>
      <c r="D1226" s="37" t="n">
        <v>41030</v>
      </c>
      <c r="E1226" s="0" t="n">
        <v>2013</v>
      </c>
      <c r="F1226" s="0" t="n">
        <v>4</v>
      </c>
      <c r="G1226" s="38" t="n">
        <v>7974192.33</v>
      </c>
    </row>
    <row r="1227" customFormat="false" ht="15" hidden="false" customHeight="false" outlineLevel="0" collapsed="false">
      <c r="A1227" s="0" t="n">
        <v>11</v>
      </c>
      <c r="B1227" s="0" t="s">
        <v>60</v>
      </c>
      <c r="C1227" s="36" t="n">
        <v>207499</v>
      </c>
      <c r="D1227" s="37" t="n">
        <v>41030</v>
      </c>
      <c r="E1227" s="0" t="n">
        <v>2013</v>
      </c>
      <c r="F1227" s="0" t="n">
        <v>4</v>
      </c>
      <c r="G1227" s="38" t="n">
        <v>5900007.66</v>
      </c>
    </row>
    <row r="1228" customFormat="false" ht="15" hidden="false" customHeight="false" outlineLevel="0" collapsed="false">
      <c r="A1228" s="0" t="n">
        <v>12</v>
      </c>
      <c r="B1228" s="0" t="s">
        <v>62</v>
      </c>
      <c r="C1228" s="36" t="n">
        <v>112238</v>
      </c>
      <c r="D1228" s="37" t="n">
        <v>41030</v>
      </c>
      <c r="E1228" s="0" t="n">
        <v>2013</v>
      </c>
      <c r="F1228" s="0" t="n">
        <v>4</v>
      </c>
      <c r="G1228" s="38" t="n">
        <v>4508539.19</v>
      </c>
    </row>
    <row r="1229" customFormat="false" ht="15" hidden="false" customHeight="false" outlineLevel="0" collapsed="false">
      <c r="A1229" s="0" t="n">
        <v>13</v>
      </c>
      <c r="B1229" s="0" t="s">
        <v>60</v>
      </c>
      <c r="C1229" s="36" t="n">
        <v>219622</v>
      </c>
      <c r="D1229" s="37" t="n">
        <v>41030</v>
      </c>
      <c r="E1229" s="0" t="n">
        <v>2013</v>
      </c>
      <c r="F1229" s="0" t="n">
        <v>4</v>
      </c>
      <c r="G1229" s="38" t="n">
        <v>9141237.91</v>
      </c>
    </row>
    <row r="1230" customFormat="false" ht="15" hidden="false" customHeight="false" outlineLevel="0" collapsed="false">
      <c r="A1230" s="0" t="n">
        <v>14</v>
      </c>
      <c r="B1230" s="0" t="s">
        <v>60</v>
      </c>
      <c r="C1230" s="36" t="n">
        <v>200898</v>
      </c>
      <c r="D1230" s="37" t="n">
        <v>41030</v>
      </c>
      <c r="E1230" s="0" t="n">
        <v>2013</v>
      </c>
      <c r="F1230" s="0" t="n">
        <v>4</v>
      </c>
      <c r="G1230" s="38" t="n">
        <v>8821252.38</v>
      </c>
    </row>
    <row r="1231" customFormat="false" ht="15" hidden="false" customHeight="false" outlineLevel="0" collapsed="false">
      <c r="A1231" s="0" t="n">
        <v>15</v>
      </c>
      <c r="B1231" s="0" t="s">
        <v>62</v>
      </c>
      <c r="C1231" s="36" t="n">
        <v>123737</v>
      </c>
      <c r="D1231" s="37" t="n">
        <v>41030</v>
      </c>
      <c r="E1231" s="0" t="n">
        <v>2013</v>
      </c>
      <c r="F1231" s="0" t="n">
        <v>4</v>
      </c>
      <c r="G1231" s="38" t="n">
        <v>2772700.1</v>
      </c>
    </row>
    <row r="1232" customFormat="false" ht="15" hidden="false" customHeight="false" outlineLevel="0" collapsed="false">
      <c r="A1232" s="0" t="n">
        <v>16</v>
      </c>
      <c r="B1232" s="0" t="s">
        <v>62</v>
      </c>
      <c r="C1232" s="36" t="n">
        <v>57197</v>
      </c>
      <c r="D1232" s="37" t="n">
        <v>41030</v>
      </c>
      <c r="E1232" s="0" t="n">
        <v>2013</v>
      </c>
      <c r="F1232" s="0" t="n">
        <v>4</v>
      </c>
      <c r="G1232" s="38" t="n">
        <v>2191650.86</v>
      </c>
    </row>
    <row r="1233" customFormat="false" ht="15" hidden="false" customHeight="false" outlineLevel="0" collapsed="false">
      <c r="A1233" s="0" t="n">
        <v>17</v>
      </c>
      <c r="B1233" s="0" t="s">
        <v>62</v>
      </c>
      <c r="C1233" s="36" t="n">
        <v>93188</v>
      </c>
      <c r="D1233" s="37" t="n">
        <v>41030</v>
      </c>
      <c r="E1233" s="0" t="n">
        <v>2013</v>
      </c>
      <c r="F1233" s="0" t="n">
        <v>4</v>
      </c>
      <c r="G1233" s="38" t="n">
        <v>4234079.68</v>
      </c>
    </row>
    <row r="1234" customFormat="false" ht="15" hidden="false" customHeight="false" outlineLevel="0" collapsed="false">
      <c r="A1234" s="0" t="n">
        <v>18</v>
      </c>
      <c r="B1234" s="0" t="s">
        <v>62</v>
      </c>
      <c r="C1234" s="36" t="n">
        <v>120653</v>
      </c>
      <c r="D1234" s="37" t="n">
        <v>41030</v>
      </c>
      <c r="E1234" s="0" t="n">
        <v>2013</v>
      </c>
      <c r="F1234" s="0" t="n">
        <v>4</v>
      </c>
      <c r="G1234" s="38" t="n">
        <v>4754894.77</v>
      </c>
    </row>
    <row r="1235" customFormat="false" ht="15" hidden="false" customHeight="false" outlineLevel="0" collapsed="false">
      <c r="A1235" s="0" t="n">
        <v>19</v>
      </c>
      <c r="B1235" s="0" t="s">
        <v>60</v>
      </c>
      <c r="C1235" s="36" t="n">
        <v>203819</v>
      </c>
      <c r="D1235" s="37" t="n">
        <v>41030</v>
      </c>
      <c r="E1235" s="0" t="n">
        <v>2013</v>
      </c>
      <c r="F1235" s="0" t="n">
        <v>4</v>
      </c>
      <c r="G1235" s="38" t="n">
        <v>6341697.71</v>
      </c>
    </row>
    <row r="1236" customFormat="false" ht="15" hidden="false" customHeight="false" outlineLevel="0" collapsed="false">
      <c r="A1236" s="0" t="n">
        <v>20</v>
      </c>
      <c r="B1236" s="0" t="s">
        <v>60</v>
      </c>
      <c r="C1236" s="36" t="n">
        <v>203742</v>
      </c>
      <c r="D1236" s="37" t="n">
        <v>41030</v>
      </c>
      <c r="E1236" s="0" t="n">
        <v>2013</v>
      </c>
      <c r="F1236" s="0" t="n">
        <v>4</v>
      </c>
      <c r="G1236" s="38" t="n">
        <v>9395565.94</v>
      </c>
    </row>
    <row r="1237" customFormat="false" ht="15" hidden="false" customHeight="false" outlineLevel="0" collapsed="false">
      <c r="A1237" s="0" t="n">
        <v>21</v>
      </c>
      <c r="B1237" s="0" t="s">
        <v>62</v>
      </c>
      <c r="C1237" s="36" t="n">
        <v>140167</v>
      </c>
      <c r="D1237" s="37" t="n">
        <v>41030</v>
      </c>
      <c r="E1237" s="0" t="n">
        <v>2013</v>
      </c>
      <c r="F1237" s="0" t="n">
        <v>4</v>
      </c>
      <c r="G1237" s="38" t="n">
        <v>3068136.71</v>
      </c>
    </row>
    <row r="1238" customFormat="false" ht="15" hidden="false" customHeight="false" outlineLevel="0" collapsed="false">
      <c r="A1238" s="0" t="n">
        <v>22</v>
      </c>
      <c r="B1238" s="0" t="s">
        <v>62</v>
      </c>
      <c r="C1238" s="36" t="n">
        <v>119557</v>
      </c>
      <c r="D1238" s="37" t="n">
        <v>41030</v>
      </c>
      <c r="E1238" s="0" t="n">
        <v>2013</v>
      </c>
      <c r="F1238" s="0" t="n">
        <v>4</v>
      </c>
      <c r="G1238" s="38" t="n">
        <v>4551417.67</v>
      </c>
    </row>
    <row r="1239" customFormat="false" ht="15" hidden="false" customHeight="false" outlineLevel="0" collapsed="false">
      <c r="A1239" s="0" t="n">
        <v>23</v>
      </c>
      <c r="B1239" s="0" t="s">
        <v>62</v>
      </c>
      <c r="C1239" s="36" t="n">
        <v>114533</v>
      </c>
      <c r="D1239" s="37" t="n">
        <v>41030</v>
      </c>
      <c r="E1239" s="0" t="n">
        <v>2013</v>
      </c>
      <c r="F1239" s="0" t="n">
        <v>4</v>
      </c>
      <c r="G1239" s="38" t="n">
        <v>6225856.41</v>
      </c>
    </row>
    <row r="1240" customFormat="false" ht="15" hidden="false" customHeight="false" outlineLevel="0" collapsed="false">
      <c r="A1240" s="0" t="n">
        <v>24</v>
      </c>
      <c r="B1240" s="0" t="s">
        <v>60</v>
      </c>
      <c r="C1240" s="36" t="n">
        <v>203819</v>
      </c>
      <c r="D1240" s="37" t="n">
        <v>41030</v>
      </c>
      <c r="E1240" s="0" t="n">
        <v>2013</v>
      </c>
      <c r="F1240" s="0" t="n">
        <v>4</v>
      </c>
      <c r="G1240" s="38" t="n">
        <v>6066747.68</v>
      </c>
    </row>
    <row r="1241" customFormat="false" ht="15" hidden="false" customHeight="false" outlineLevel="0" collapsed="false">
      <c r="A1241" s="0" t="n">
        <v>25</v>
      </c>
      <c r="B1241" s="0" t="s">
        <v>62</v>
      </c>
      <c r="C1241" s="36" t="n">
        <v>128107</v>
      </c>
      <c r="D1241" s="37" t="n">
        <v>41030</v>
      </c>
      <c r="E1241" s="0" t="n">
        <v>2013</v>
      </c>
      <c r="F1241" s="0" t="n">
        <v>4</v>
      </c>
      <c r="G1241" s="38" t="n">
        <v>3233913.28</v>
      </c>
    </row>
    <row r="1242" customFormat="false" ht="15" hidden="false" customHeight="false" outlineLevel="0" collapsed="false">
      <c r="A1242" s="0" t="n">
        <v>26</v>
      </c>
      <c r="B1242" s="0" t="s">
        <v>60</v>
      </c>
      <c r="C1242" s="36" t="n">
        <v>152513</v>
      </c>
      <c r="D1242" s="37" t="n">
        <v>41030</v>
      </c>
      <c r="E1242" s="0" t="n">
        <v>2013</v>
      </c>
      <c r="F1242" s="0" t="n">
        <v>4</v>
      </c>
      <c r="G1242" s="38" t="n">
        <v>4519572.48</v>
      </c>
    </row>
    <row r="1243" customFormat="false" ht="15" hidden="false" customHeight="false" outlineLevel="0" collapsed="false">
      <c r="A1243" s="0" t="n">
        <v>27</v>
      </c>
      <c r="B1243" s="0" t="s">
        <v>60</v>
      </c>
      <c r="C1243" s="36" t="n">
        <v>204184</v>
      </c>
      <c r="D1243" s="37" t="n">
        <v>41030</v>
      </c>
      <c r="E1243" s="0" t="n">
        <v>2013</v>
      </c>
      <c r="F1243" s="0" t="n">
        <v>4</v>
      </c>
      <c r="G1243" s="38" t="n">
        <v>7783426.93</v>
      </c>
    </row>
    <row r="1244" customFormat="false" ht="15" hidden="false" customHeight="false" outlineLevel="0" collapsed="false">
      <c r="A1244" s="0" t="n">
        <v>28</v>
      </c>
      <c r="B1244" s="0" t="s">
        <v>60</v>
      </c>
      <c r="C1244" s="36" t="n">
        <v>206302</v>
      </c>
      <c r="D1244" s="37" t="n">
        <v>41030</v>
      </c>
      <c r="E1244" s="0" t="n">
        <v>2013</v>
      </c>
      <c r="F1244" s="0" t="n">
        <v>4</v>
      </c>
      <c r="G1244" s="38" t="n">
        <v>5525585.91</v>
      </c>
    </row>
    <row r="1245" customFormat="false" ht="15" hidden="false" customHeight="false" outlineLevel="0" collapsed="false">
      <c r="A1245" s="0" t="n">
        <v>29</v>
      </c>
      <c r="B1245" s="0" t="s">
        <v>62</v>
      </c>
      <c r="C1245" s="36" t="n">
        <v>93638</v>
      </c>
      <c r="D1245" s="37" t="n">
        <v>41030</v>
      </c>
      <c r="E1245" s="0" t="n">
        <v>2013</v>
      </c>
      <c r="F1245" s="0" t="n">
        <v>4</v>
      </c>
      <c r="G1245" s="38" t="n">
        <v>2405560.92</v>
      </c>
    </row>
    <row r="1246" customFormat="false" ht="15" hidden="false" customHeight="false" outlineLevel="0" collapsed="false">
      <c r="A1246" s="0" t="n">
        <v>30</v>
      </c>
      <c r="B1246" s="0" t="s">
        <v>64</v>
      </c>
      <c r="C1246" s="36" t="n">
        <v>42988</v>
      </c>
      <c r="D1246" s="37" t="n">
        <v>41030</v>
      </c>
      <c r="E1246" s="0" t="n">
        <v>2013</v>
      </c>
      <c r="F1246" s="0" t="n">
        <v>4</v>
      </c>
      <c r="G1246" s="38" t="n">
        <v>1972091.09</v>
      </c>
    </row>
    <row r="1247" customFormat="false" ht="15" hidden="false" customHeight="false" outlineLevel="0" collapsed="false">
      <c r="A1247" s="0" t="n">
        <v>31</v>
      </c>
      <c r="B1247" s="0" t="s">
        <v>60</v>
      </c>
      <c r="C1247" s="36" t="n">
        <v>203750</v>
      </c>
      <c r="D1247" s="37" t="n">
        <v>41030</v>
      </c>
      <c r="E1247" s="0" t="n">
        <v>2013</v>
      </c>
      <c r="F1247" s="0" t="n">
        <v>4</v>
      </c>
      <c r="G1247" s="38" t="n">
        <v>6230381.41</v>
      </c>
    </row>
    <row r="1248" customFormat="false" ht="15" hidden="false" customHeight="false" outlineLevel="0" collapsed="false">
      <c r="A1248" s="0" t="n">
        <v>32</v>
      </c>
      <c r="B1248" s="0" t="s">
        <v>60</v>
      </c>
      <c r="C1248" s="36" t="n">
        <v>203007</v>
      </c>
      <c r="D1248" s="37" t="n">
        <v>41030</v>
      </c>
      <c r="E1248" s="0" t="n">
        <v>2013</v>
      </c>
      <c r="F1248" s="0" t="n">
        <v>4</v>
      </c>
      <c r="G1248" s="38" t="n">
        <v>5268072.83</v>
      </c>
    </row>
    <row r="1249" customFormat="false" ht="15" hidden="false" customHeight="false" outlineLevel="0" collapsed="false">
      <c r="A1249" s="0" t="n">
        <v>33</v>
      </c>
      <c r="B1249" s="0" t="s">
        <v>60</v>
      </c>
      <c r="C1249" s="36" t="n">
        <v>39690</v>
      </c>
      <c r="D1249" s="37" t="n">
        <v>41030</v>
      </c>
      <c r="E1249" s="0" t="n">
        <v>2013</v>
      </c>
      <c r="F1249" s="0" t="n">
        <v>4</v>
      </c>
      <c r="G1249" s="38" t="n">
        <v>1212990.17</v>
      </c>
    </row>
    <row r="1250" customFormat="false" ht="15" hidden="false" customHeight="false" outlineLevel="0" collapsed="false">
      <c r="A1250" s="0" t="n">
        <v>34</v>
      </c>
      <c r="B1250" s="0" t="s">
        <v>60</v>
      </c>
      <c r="C1250" s="36" t="n">
        <v>158114</v>
      </c>
      <c r="D1250" s="37" t="n">
        <v>41030</v>
      </c>
      <c r="E1250" s="0" t="n">
        <v>2013</v>
      </c>
      <c r="F1250" s="0" t="n">
        <v>4</v>
      </c>
      <c r="G1250" s="38" t="n">
        <v>4367863.45</v>
      </c>
    </row>
    <row r="1251" customFormat="false" ht="15" hidden="false" customHeight="false" outlineLevel="0" collapsed="false">
      <c r="A1251" s="0" t="n">
        <v>35</v>
      </c>
      <c r="B1251" s="0" t="s">
        <v>62</v>
      </c>
      <c r="C1251" s="36" t="n">
        <v>103681</v>
      </c>
      <c r="D1251" s="37" t="n">
        <v>41030</v>
      </c>
      <c r="E1251" s="0" t="n">
        <v>2013</v>
      </c>
      <c r="F1251" s="0" t="n">
        <v>4</v>
      </c>
      <c r="G1251" s="38" t="n">
        <v>3683935.99</v>
      </c>
    </row>
    <row r="1252" customFormat="false" ht="15" hidden="false" customHeight="false" outlineLevel="0" collapsed="false">
      <c r="A1252" s="0" t="n">
        <v>36</v>
      </c>
      <c r="B1252" s="0" t="s">
        <v>60</v>
      </c>
      <c r="C1252" s="36" t="n">
        <v>39910</v>
      </c>
      <c r="D1252" s="37" t="n">
        <v>41030</v>
      </c>
      <c r="E1252" s="0" t="n">
        <v>2013</v>
      </c>
      <c r="F1252" s="0" t="n">
        <v>4</v>
      </c>
      <c r="G1252" s="38" t="n">
        <v>1402260.95</v>
      </c>
    </row>
    <row r="1253" customFormat="false" ht="15" hidden="false" customHeight="false" outlineLevel="0" collapsed="false">
      <c r="A1253" s="0" t="n">
        <v>37</v>
      </c>
      <c r="B1253" s="0" t="s">
        <v>64</v>
      </c>
      <c r="C1253" s="36" t="n">
        <v>39910</v>
      </c>
      <c r="D1253" s="37" t="n">
        <v>41030</v>
      </c>
      <c r="E1253" s="0" t="n">
        <v>2013</v>
      </c>
      <c r="F1253" s="0" t="n">
        <v>4</v>
      </c>
      <c r="G1253" s="38" t="n">
        <v>2365187.87</v>
      </c>
    </row>
    <row r="1254" customFormat="false" ht="15" hidden="false" customHeight="false" outlineLevel="0" collapsed="false">
      <c r="A1254" s="0" t="n">
        <v>38</v>
      </c>
      <c r="B1254" s="0" t="s">
        <v>64</v>
      </c>
      <c r="C1254" s="36" t="n">
        <v>39690</v>
      </c>
      <c r="D1254" s="37" t="n">
        <v>41030</v>
      </c>
      <c r="E1254" s="0" t="n">
        <v>2013</v>
      </c>
      <c r="F1254" s="0" t="n">
        <v>4</v>
      </c>
      <c r="G1254" s="38" t="n">
        <v>1919396.71</v>
      </c>
    </row>
    <row r="1255" customFormat="false" ht="15" hidden="false" customHeight="false" outlineLevel="0" collapsed="false">
      <c r="A1255" s="0" t="n">
        <v>39</v>
      </c>
      <c r="B1255" s="0" t="s">
        <v>60</v>
      </c>
      <c r="C1255" s="36" t="n">
        <v>184109</v>
      </c>
      <c r="D1255" s="37" t="n">
        <v>41030</v>
      </c>
      <c r="E1255" s="0" t="n">
        <v>2013</v>
      </c>
      <c r="F1255" s="0" t="n">
        <v>4</v>
      </c>
      <c r="G1255" s="38" t="n">
        <v>6860060.47</v>
      </c>
    </row>
    <row r="1256" customFormat="false" ht="15" hidden="false" customHeight="false" outlineLevel="0" collapsed="false">
      <c r="A1256" s="0" t="n">
        <v>40</v>
      </c>
      <c r="B1256" s="0" t="s">
        <v>60</v>
      </c>
      <c r="C1256" s="36" t="n">
        <v>155083</v>
      </c>
      <c r="D1256" s="37" t="n">
        <v>41030</v>
      </c>
      <c r="E1256" s="0" t="n">
        <v>2013</v>
      </c>
      <c r="F1256" s="0" t="n">
        <v>4</v>
      </c>
      <c r="G1256" s="38" t="n">
        <v>4311940.96</v>
      </c>
    </row>
    <row r="1257" customFormat="false" ht="15" hidden="false" customHeight="false" outlineLevel="0" collapsed="false">
      <c r="A1257" s="0" t="n">
        <v>41</v>
      </c>
      <c r="B1257" s="0" t="s">
        <v>60</v>
      </c>
      <c r="C1257" s="36" t="n">
        <v>196321</v>
      </c>
      <c r="D1257" s="37" t="n">
        <v>41030</v>
      </c>
      <c r="E1257" s="0" t="n">
        <v>2013</v>
      </c>
      <c r="F1257" s="0" t="n">
        <v>4</v>
      </c>
      <c r="G1257" s="38" t="n">
        <v>6064790.16</v>
      </c>
    </row>
    <row r="1258" customFormat="false" ht="15" hidden="false" customHeight="false" outlineLevel="0" collapsed="false">
      <c r="A1258" s="0" t="n">
        <v>42</v>
      </c>
      <c r="B1258" s="0" t="s">
        <v>64</v>
      </c>
      <c r="C1258" s="36" t="n">
        <v>39690</v>
      </c>
      <c r="D1258" s="37" t="n">
        <v>41030</v>
      </c>
      <c r="E1258" s="0" t="n">
        <v>2013</v>
      </c>
      <c r="F1258" s="0" t="n">
        <v>4</v>
      </c>
      <c r="G1258" s="38" t="n">
        <v>2565550.7</v>
      </c>
    </row>
    <row r="1259" customFormat="false" ht="15" hidden="false" customHeight="false" outlineLevel="0" collapsed="false">
      <c r="A1259" s="0" t="n">
        <v>43</v>
      </c>
      <c r="B1259" s="0" t="s">
        <v>64</v>
      </c>
      <c r="C1259" s="36" t="n">
        <v>41062</v>
      </c>
      <c r="D1259" s="37" t="n">
        <v>41030</v>
      </c>
      <c r="E1259" s="0" t="n">
        <v>2013</v>
      </c>
      <c r="F1259" s="0" t="n">
        <v>4</v>
      </c>
      <c r="G1259" s="38" t="n">
        <v>2769297.04</v>
      </c>
    </row>
    <row r="1260" customFormat="false" ht="15" hidden="false" customHeight="false" outlineLevel="0" collapsed="false">
      <c r="A1260" s="0" t="n">
        <v>44</v>
      </c>
      <c r="B1260" s="0" t="s">
        <v>64</v>
      </c>
      <c r="C1260" s="36" t="n">
        <v>39910</v>
      </c>
      <c r="D1260" s="37" t="n">
        <v>41030</v>
      </c>
      <c r="E1260" s="0" t="n">
        <v>2013</v>
      </c>
      <c r="F1260" s="0" t="n">
        <v>4</v>
      </c>
      <c r="G1260" s="38" t="n">
        <v>1482217.37</v>
      </c>
    </row>
    <row r="1261" customFormat="false" ht="15" hidden="false" customHeight="false" outlineLevel="0" collapsed="false">
      <c r="A1261" s="0" t="n">
        <v>45</v>
      </c>
      <c r="B1261" s="0" t="s">
        <v>62</v>
      </c>
      <c r="C1261" s="36" t="n">
        <v>118221</v>
      </c>
      <c r="D1261" s="37" t="n">
        <v>41030</v>
      </c>
      <c r="E1261" s="0" t="n">
        <v>2013</v>
      </c>
      <c r="F1261" s="0" t="n">
        <v>4</v>
      </c>
      <c r="G1261" s="38" t="n">
        <v>3553652.33</v>
      </c>
    </row>
    <row r="1262" customFormat="false" ht="15" hidden="false" customHeight="false" outlineLevel="0" collapsed="false">
      <c r="A1262" s="0" t="n">
        <v>1</v>
      </c>
      <c r="B1262" s="0" t="s">
        <v>60</v>
      </c>
      <c r="C1262" s="36" t="n">
        <v>151315</v>
      </c>
      <c r="D1262" s="37" t="n">
        <v>41061</v>
      </c>
      <c r="E1262" s="0" t="n">
        <v>2013</v>
      </c>
      <c r="F1262" s="0" t="n">
        <v>5</v>
      </c>
      <c r="G1262" s="38" t="n">
        <v>6881009.75</v>
      </c>
    </row>
    <row r="1263" customFormat="false" ht="15" hidden="false" customHeight="false" outlineLevel="0" collapsed="false">
      <c r="A1263" s="0" t="n">
        <v>2</v>
      </c>
      <c r="B1263" s="0" t="s">
        <v>60</v>
      </c>
      <c r="C1263" s="36" t="n">
        <v>202307</v>
      </c>
      <c r="D1263" s="37" t="n">
        <v>41061</v>
      </c>
      <c r="E1263" s="0" t="n">
        <v>2013</v>
      </c>
      <c r="F1263" s="0" t="n">
        <v>5</v>
      </c>
      <c r="G1263" s="38" t="n">
        <v>8306434.36</v>
      </c>
    </row>
    <row r="1264" customFormat="false" ht="15" hidden="false" customHeight="false" outlineLevel="0" collapsed="false">
      <c r="A1264" s="0" t="n">
        <v>3</v>
      </c>
      <c r="B1264" s="0" t="s">
        <v>62</v>
      </c>
      <c r="C1264" s="36" t="n">
        <v>37392</v>
      </c>
      <c r="D1264" s="37" t="n">
        <v>41061</v>
      </c>
      <c r="E1264" s="0" t="n">
        <v>2013</v>
      </c>
      <c r="F1264" s="0" t="n">
        <v>5</v>
      </c>
      <c r="G1264" s="38" t="n">
        <v>1851371.31</v>
      </c>
    </row>
    <row r="1265" customFormat="false" ht="15" hidden="false" customHeight="false" outlineLevel="0" collapsed="false">
      <c r="A1265" s="0" t="n">
        <v>4</v>
      </c>
      <c r="B1265" s="0" t="s">
        <v>60</v>
      </c>
      <c r="C1265" s="36" t="n">
        <v>205863</v>
      </c>
      <c r="D1265" s="37" t="n">
        <v>41061</v>
      </c>
      <c r="E1265" s="0" t="n">
        <v>2013</v>
      </c>
      <c r="F1265" s="0" t="n">
        <v>5</v>
      </c>
      <c r="G1265" s="38" t="n">
        <v>9434233.59</v>
      </c>
    </row>
    <row r="1266" customFormat="false" ht="15" hidden="false" customHeight="false" outlineLevel="0" collapsed="false">
      <c r="A1266" s="0" t="n">
        <v>5</v>
      </c>
      <c r="B1266" s="0" t="s">
        <v>62</v>
      </c>
      <c r="C1266" s="36" t="n">
        <v>34875</v>
      </c>
      <c r="D1266" s="37" t="n">
        <v>41061</v>
      </c>
      <c r="E1266" s="0" t="n">
        <v>2013</v>
      </c>
      <c r="F1266" s="0" t="n">
        <v>5</v>
      </c>
      <c r="G1266" s="38" t="n">
        <v>1423942.59</v>
      </c>
    </row>
    <row r="1267" customFormat="false" ht="15" hidden="false" customHeight="false" outlineLevel="0" collapsed="false">
      <c r="A1267" s="0" t="n">
        <v>6</v>
      </c>
      <c r="B1267" s="0" t="s">
        <v>60</v>
      </c>
      <c r="C1267" s="36" t="n">
        <v>202505</v>
      </c>
      <c r="D1267" s="37" t="n">
        <v>41061</v>
      </c>
      <c r="E1267" s="0" t="n">
        <v>2013</v>
      </c>
      <c r="F1267" s="0" t="n">
        <v>5</v>
      </c>
      <c r="G1267" s="38" t="n">
        <v>7114214.23</v>
      </c>
    </row>
    <row r="1268" customFormat="false" ht="15" hidden="false" customHeight="false" outlineLevel="0" collapsed="false">
      <c r="A1268" s="0" t="n">
        <v>7</v>
      </c>
      <c r="B1268" s="0" t="s">
        <v>62</v>
      </c>
      <c r="C1268" s="36" t="n">
        <v>70713</v>
      </c>
      <c r="D1268" s="37" t="n">
        <v>41061</v>
      </c>
      <c r="E1268" s="0" t="n">
        <v>2013</v>
      </c>
      <c r="F1268" s="0" t="n">
        <v>5</v>
      </c>
      <c r="G1268" s="38" t="n">
        <v>2902176.94</v>
      </c>
    </row>
    <row r="1269" customFormat="false" ht="15" hidden="false" customHeight="false" outlineLevel="0" collapsed="false">
      <c r="A1269" s="0" t="n">
        <v>8</v>
      </c>
      <c r="B1269" s="0" t="s">
        <v>60</v>
      </c>
      <c r="C1269" s="36" t="n">
        <v>155078</v>
      </c>
      <c r="D1269" s="37" t="n">
        <v>41061</v>
      </c>
      <c r="E1269" s="0" t="n">
        <v>2013</v>
      </c>
      <c r="F1269" s="0" t="n">
        <v>5</v>
      </c>
      <c r="G1269" s="38" t="n">
        <v>3888824.65</v>
      </c>
    </row>
    <row r="1270" customFormat="false" ht="15" hidden="false" customHeight="false" outlineLevel="0" collapsed="false">
      <c r="A1270" s="0" t="n">
        <v>9</v>
      </c>
      <c r="B1270" s="0" t="s">
        <v>62</v>
      </c>
      <c r="C1270" s="36" t="n">
        <v>125833</v>
      </c>
      <c r="D1270" s="37" t="n">
        <v>41061</v>
      </c>
      <c r="E1270" s="0" t="n">
        <v>2013</v>
      </c>
      <c r="F1270" s="0" t="n">
        <v>5</v>
      </c>
      <c r="G1270" s="38" t="n">
        <v>2420138.09</v>
      </c>
    </row>
    <row r="1271" customFormat="false" ht="15" hidden="false" customHeight="false" outlineLevel="0" collapsed="false">
      <c r="A1271" s="0" t="n">
        <v>10</v>
      </c>
      <c r="B1271" s="0" t="s">
        <v>62</v>
      </c>
      <c r="C1271" s="36" t="n">
        <v>126512</v>
      </c>
      <c r="D1271" s="37" t="n">
        <v>41061</v>
      </c>
      <c r="E1271" s="0" t="n">
        <v>2013</v>
      </c>
      <c r="F1271" s="0" t="n">
        <v>5</v>
      </c>
      <c r="G1271" s="38" t="n">
        <v>7625366.3</v>
      </c>
    </row>
    <row r="1272" customFormat="false" ht="15" hidden="false" customHeight="false" outlineLevel="0" collapsed="false">
      <c r="A1272" s="0" t="n">
        <v>11</v>
      </c>
      <c r="B1272" s="0" t="s">
        <v>60</v>
      </c>
      <c r="C1272" s="36" t="n">
        <v>207499</v>
      </c>
      <c r="D1272" s="37" t="n">
        <v>41061</v>
      </c>
      <c r="E1272" s="0" t="n">
        <v>2013</v>
      </c>
      <c r="F1272" s="0" t="n">
        <v>5</v>
      </c>
      <c r="G1272" s="38" t="n">
        <v>5888174.31</v>
      </c>
    </row>
    <row r="1273" customFormat="false" ht="15" hidden="false" customHeight="false" outlineLevel="0" collapsed="false">
      <c r="A1273" s="0" t="n">
        <v>12</v>
      </c>
      <c r="B1273" s="0" t="s">
        <v>62</v>
      </c>
      <c r="C1273" s="36" t="n">
        <v>112238</v>
      </c>
      <c r="D1273" s="37" t="n">
        <v>41061</v>
      </c>
      <c r="E1273" s="0" t="n">
        <v>2013</v>
      </c>
      <c r="F1273" s="0" t="n">
        <v>5</v>
      </c>
      <c r="G1273" s="38" t="n">
        <v>4315475.71</v>
      </c>
    </row>
    <row r="1274" customFormat="false" ht="15" hidden="false" customHeight="false" outlineLevel="0" collapsed="false">
      <c r="A1274" s="0" t="n">
        <v>13</v>
      </c>
      <c r="B1274" s="0" t="s">
        <v>60</v>
      </c>
      <c r="C1274" s="36" t="n">
        <v>219622</v>
      </c>
      <c r="D1274" s="37" t="n">
        <v>41061</v>
      </c>
      <c r="E1274" s="0" t="n">
        <v>2013</v>
      </c>
      <c r="F1274" s="0" t="n">
        <v>5</v>
      </c>
      <c r="G1274" s="38" t="n">
        <v>9069619.69</v>
      </c>
    </row>
    <row r="1275" customFormat="false" ht="15" hidden="false" customHeight="false" outlineLevel="0" collapsed="false">
      <c r="A1275" s="0" t="n">
        <v>14</v>
      </c>
      <c r="B1275" s="0" t="s">
        <v>60</v>
      </c>
      <c r="C1275" s="36" t="n">
        <v>200898</v>
      </c>
      <c r="D1275" s="37" t="n">
        <v>41061</v>
      </c>
      <c r="E1275" s="0" t="n">
        <v>2013</v>
      </c>
      <c r="F1275" s="0" t="n">
        <v>5</v>
      </c>
      <c r="G1275" s="38" t="n">
        <v>7816215.52</v>
      </c>
    </row>
    <row r="1276" customFormat="false" ht="15" hidden="false" customHeight="false" outlineLevel="0" collapsed="false">
      <c r="A1276" s="0" t="n">
        <v>15</v>
      </c>
      <c r="B1276" s="0" t="s">
        <v>62</v>
      </c>
      <c r="C1276" s="36" t="n">
        <v>123737</v>
      </c>
      <c r="D1276" s="37" t="n">
        <v>41061</v>
      </c>
      <c r="E1276" s="0" t="n">
        <v>2013</v>
      </c>
      <c r="F1276" s="0" t="n">
        <v>5</v>
      </c>
      <c r="G1276" s="38" t="n">
        <v>2751027.16</v>
      </c>
    </row>
    <row r="1277" customFormat="false" ht="15" hidden="false" customHeight="false" outlineLevel="0" collapsed="false">
      <c r="A1277" s="0" t="n">
        <v>16</v>
      </c>
      <c r="B1277" s="0" t="s">
        <v>62</v>
      </c>
      <c r="C1277" s="36" t="n">
        <v>57197</v>
      </c>
      <c r="D1277" s="37" t="n">
        <v>41061</v>
      </c>
      <c r="E1277" s="0" t="n">
        <v>2013</v>
      </c>
      <c r="F1277" s="0" t="n">
        <v>5</v>
      </c>
      <c r="G1277" s="38" t="n">
        <v>2493297.74</v>
      </c>
    </row>
    <row r="1278" customFormat="false" ht="15" hidden="false" customHeight="false" outlineLevel="0" collapsed="false">
      <c r="A1278" s="0" t="n">
        <v>17</v>
      </c>
      <c r="B1278" s="0" t="s">
        <v>62</v>
      </c>
      <c r="C1278" s="36" t="n">
        <v>93188</v>
      </c>
      <c r="D1278" s="37" t="n">
        <v>41061</v>
      </c>
      <c r="E1278" s="0" t="n">
        <v>2013</v>
      </c>
      <c r="F1278" s="0" t="n">
        <v>5</v>
      </c>
      <c r="G1278" s="38" t="n">
        <v>4199363.68</v>
      </c>
    </row>
    <row r="1279" customFormat="false" ht="15" hidden="false" customHeight="false" outlineLevel="0" collapsed="false">
      <c r="A1279" s="0" t="n">
        <v>18</v>
      </c>
      <c r="B1279" s="0" t="s">
        <v>62</v>
      </c>
      <c r="C1279" s="36" t="n">
        <v>120653</v>
      </c>
      <c r="D1279" s="37" t="n">
        <v>41061</v>
      </c>
      <c r="E1279" s="0" t="n">
        <v>2013</v>
      </c>
      <c r="F1279" s="0" t="n">
        <v>5</v>
      </c>
      <c r="G1279" s="38" t="n">
        <v>4670492.97</v>
      </c>
    </row>
    <row r="1280" customFormat="false" ht="15" hidden="false" customHeight="false" outlineLevel="0" collapsed="false">
      <c r="A1280" s="0" t="n">
        <v>19</v>
      </c>
      <c r="B1280" s="0" t="s">
        <v>60</v>
      </c>
      <c r="C1280" s="36" t="n">
        <v>203819</v>
      </c>
      <c r="D1280" s="37" t="n">
        <v>41061</v>
      </c>
      <c r="E1280" s="0" t="n">
        <v>2013</v>
      </c>
      <c r="F1280" s="0" t="n">
        <v>5</v>
      </c>
      <c r="G1280" s="38" t="n">
        <v>6108081.63</v>
      </c>
    </row>
    <row r="1281" customFormat="false" ht="15" hidden="false" customHeight="false" outlineLevel="0" collapsed="false">
      <c r="A1281" s="0" t="n">
        <v>20</v>
      </c>
      <c r="B1281" s="0" t="s">
        <v>60</v>
      </c>
      <c r="C1281" s="36" t="n">
        <v>203742</v>
      </c>
      <c r="D1281" s="37" t="n">
        <v>41061</v>
      </c>
      <c r="E1281" s="0" t="n">
        <v>2013</v>
      </c>
      <c r="F1281" s="0" t="n">
        <v>5</v>
      </c>
      <c r="G1281" s="38" t="n">
        <v>9156689.7</v>
      </c>
    </row>
    <row r="1282" customFormat="false" ht="15" hidden="false" customHeight="false" outlineLevel="0" collapsed="false">
      <c r="A1282" s="0" t="n">
        <v>21</v>
      </c>
      <c r="B1282" s="0" t="s">
        <v>62</v>
      </c>
      <c r="C1282" s="36" t="n">
        <v>140167</v>
      </c>
      <c r="D1282" s="37" t="n">
        <v>41061</v>
      </c>
      <c r="E1282" s="0" t="n">
        <v>2013</v>
      </c>
      <c r="F1282" s="0" t="n">
        <v>5</v>
      </c>
      <c r="G1282" s="38" t="n">
        <v>3085506.66</v>
      </c>
    </row>
    <row r="1283" customFormat="false" ht="15" hidden="false" customHeight="false" outlineLevel="0" collapsed="false">
      <c r="A1283" s="0" t="n">
        <v>22</v>
      </c>
      <c r="B1283" s="0" t="s">
        <v>62</v>
      </c>
      <c r="C1283" s="36" t="n">
        <v>119557</v>
      </c>
      <c r="D1283" s="37" t="n">
        <v>41061</v>
      </c>
      <c r="E1283" s="0" t="n">
        <v>2013</v>
      </c>
      <c r="F1283" s="0" t="n">
        <v>5</v>
      </c>
      <c r="G1283" s="38" t="n">
        <v>4603062.28</v>
      </c>
    </row>
    <row r="1284" customFormat="false" ht="15" hidden="false" customHeight="false" outlineLevel="0" collapsed="false">
      <c r="A1284" s="0" t="n">
        <v>23</v>
      </c>
      <c r="B1284" s="0" t="s">
        <v>62</v>
      </c>
      <c r="C1284" s="36" t="n">
        <v>114533</v>
      </c>
      <c r="D1284" s="37" t="n">
        <v>41061</v>
      </c>
      <c r="E1284" s="0" t="n">
        <v>2013</v>
      </c>
      <c r="F1284" s="0" t="n">
        <v>5</v>
      </c>
      <c r="G1284" s="38" t="n">
        <v>6517185.84</v>
      </c>
    </row>
    <row r="1285" customFormat="false" ht="15" hidden="false" customHeight="false" outlineLevel="0" collapsed="false">
      <c r="A1285" s="0" t="n">
        <v>24</v>
      </c>
      <c r="B1285" s="0" t="s">
        <v>60</v>
      </c>
      <c r="C1285" s="36" t="n">
        <v>203819</v>
      </c>
      <c r="D1285" s="37" t="n">
        <v>41061</v>
      </c>
      <c r="E1285" s="0" t="n">
        <v>2013</v>
      </c>
      <c r="F1285" s="0" t="n">
        <v>5</v>
      </c>
      <c r="G1285" s="38" t="n">
        <v>6079027.22</v>
      </c>
    </row>
    <row r="1286" customFormat="false" ht="15" hidden="false" customHeight="false" outlineLevel="0" collapsed="false">
      <c r="A1286" s="0" t="n">
        <v>25</v>
      </c>
      <c r="B1286" s="0" t="s">
        <v>62</v>
      </c>
      <c r="C1286" s="36" t="n">
        <v>128107</v>
      </c>
      <c r="D1286" s="37" t="n">
        <v>41061</v>
      </c>
      <c r="E1286" s="0" t="n">
        <v>2013</v>
      </c>
      <c r="F1286" s="0" t="n">
        <v>5</v>
      </c>
      <c r="G1286" s="38" t="n">
        <v>3131486.56</v>
      </c>
    </row>
    <row r="1287" customFormat="false" ht="15" hidden="false" customHeight="false" outlineLevel="0" collapsed="false">
      <c r="A1287" s="0" t="n">
        <v>26</v>
      </c>
      <c r="B1287" s="0" t="s">
        <v>60</v>
      </c>
      <c r="C1287" s="36" t="n">
        <v>152513</v>
      </c>
      <c r="D1287" s="37" t="n">
        <v>41061</v>
      </c>
      <c r="E1287" s="0" t="n">
        <v>2013</v>
      </c>
      <c r="F1287" s="0" t="n">
        <v>5</v>
      </c>
      <c r="G1287" s="38" t="n">
        <v>4556658.95</v>
      </c>
    </row>
    <row r="1288" customFormat="false" ht="15" hidden="false" customHeight="false" outlineLevel="0" collapsed="false">
      <c r="A1288" s="0" t="n">
        <v>27</v>
      </c>
      <c r="B1288" s="0" t="s">
        <v>60</v>
      </c>
      <c r="C1288" s="36" t="n">
        <v>204184</v>
      </c>
      <c r="D1288" s="37" t="n">
        <v>41061</v>
      </c>
      <c r="E1288" s="0" t="n">
        <v>2013</v>
      </c>
      <c r="F1288" s="0" t="n">
        <v>5</v>
      </c>
      <c r="G1288" s="38" t="n">
        <v>7784820.34</v>
      </c>
    </row>
    <row r="1289" customFormat="false" ht="15" hidden="false" customHeight="false" outlineLevel="0" collapsed="false">
      <c r="A1289" s="0" t="n">
        <v>28</v>
      </c>
      <c r="B1289" s="0" t="s">
        <v>60</v>
      </c>
      <c r="C1289" s="36" t="n">
        <v>206302</v>
      </c>
      <c r="D1289" s="37" t="n">
        <v>41061</v>
      </c>
      <c r="E1289" s="0" t="n">
        <v>2013</v>
      </c>
      <c r="F1289" s="0" t="n">
        <v>5</v>
      </c>
      <c r="G1289" s="38" t="n">
        <v>5372487.07</v>
      </c>
    </row>
    <row r="1290" customFormat="false" ht="15" hidden="false" customHeight="false" outlineLevel="0" collapsed="false">
      <c r="A1290" s="0" t="n">
        <v>29</v>
      </c>
      <c r="B1290" s="0" t="s">
        <v>62</v>
      </c>
      <c r="C1290" s="36" t="n">
        <v>93638</v>
      </c>
      <c r="D1290" s="37" t="n">
        <v>41061</v>
      </c>
      <c r="E1290" s="0" t="n">
        <v>2013</v>
      </c>
      <c r="F1290" s="0" t="n">
        <v>5</v>
      </c>
      <c r="G1290" s="38" t="n">
        <v>2409252.65</v>
      </c>
    </row>
    <row r="1291" customFormat="false" ht="15" hidden="false" customHeight="false" outlineLevel="0" collapsed="false">
      <c r="A1291" s="0" t="n">
        <v>30</v>
      </c>
      <c r="B1291" s="0" t="s">
        <v>64</v>
      </c>
      <c r="C1291" s="36" t="n">
        <v>42988</v>
      </c>
      <c r="D1291" s="37" t="n">
        <v>41061</v>
      </c>
      <c r="E1291" s="0" t="n">
        <v>2013</v>
      </c>
      <c r="F1291" s="0" t="n">
        <v>5</v>
      </c>
      <c r="G1291" s="38" t="n">
        <v>1851432.45</v>
      </c>
    </row>
    <row r="1292" customFormat="false" ht="15" hidden="false" customHeight="false" outlineLevel="0" collapsed="false">
      <c r="A1292" s="0" t="n">
        <v>31</v>
      </c>
      <c r="B1292" s="0" t="s">
        <v>60</v>
      </c>
      <c r="C1292" s="36" t="n">
        <v>203750</v>
      </c>
      <c r="D1292" s="37" t="n">
        <v>41061</v>
      </c>
      <c r="E1292" s="0" t="n">
        <v>2013</v>
      </c>
      <c r="F1292" s="0" t="n">
        <v>5</v>
      </c>
      <c r="G1292" s="38" t="n">
        <v>6026496.62</v>
      </c>
    </row>
    <row r="1293" customFormat="false" ht="15" hidden="false" customHeight="false" outlineLevel="0" collapsed="false">
      <c r="A1293" s="0" t="n">
        <v>32</v>
      </c>
      <c r="B1293" s="0" t="s">
        <v>60</v>
      </c>
      <c r="C1293" s="36" t="n">
        <v>203007</v>
      </c>
      <c r="D1293" s="37" t="n">
        <v>41061</v>
      </c>
      <c r="E1293" s="0" t="n">
        <v>2013</v>
      </c>
      <c r="F1293" s="0" t="n">
        <v>5</v>
      </c>
      <c r="G1293" s="38" t="n">
        <v>5194994.16</v>
      </c>
    </row>
    <row r="1294" customFormat="false" ht="15" hidden="false" customHeight="false" outlineLevel="0" collapsed="false">
      <c r="A1294" s="0" t="n">
        <v>33</v>
      </c>
      <c r="B1294" s="0" t="s">
        <v>60</v>
      </c>
      <c r="C1294" s="36" t="n">
        <v>39690</v>
      </c>
      <c r="D1294" s="37" t="n">
        <v>41061</v>
      </c>
      <c r="E1294" s="0" t="n">
        <v>2013</v>
      </c>
      <c r="F1294" s="0" t="n">
        <v>5</v>
      </c>
      <c r="G1294" s="38" t="n">
        <v>1158934.75</v>
      </c>
    </row>
    <row r="1295" customFormat="false" ht="15" hidden="false" customHeight="false" outlineLevel="0" collapsed="false">
      <c r="A1295" s="0" t="n">
        <v>34</v>
      </c>
      <c r="B1295" s="0" t="s">
        <v>60</v>
      </c>
      <c r="C1295" s="36" t="n">
        <v>158114</v>
      </c>
      <c r="D1295" s="37" t="n">
        <v>41061</v>
      </c>
      <c r="E1295" s="0" t="n">
        <v>2013</v>
      </c>
      <c r="F1295" s="0" t="n">
        <v>5</v>
      </c>
      <c r="G1295" s="38" t="n">
        <v>4208673.97</v>
      </c>
    </row>
    <row r="1296" customFormat="false" ht="15" hidden="false" customHeight="false" outlineLevel="0" collapsed="false">
      <c r="A1296" s="0" t="n">
        <v>35</v>
      </c>
      <c r="B1296" s="0" t="s">
        <v>62</v>
      </c>
      <c r="C1296" s="36" t="n">
        <v>103681</v>
      </c>
      <c r="D1296" s="37" t="n">
        <v>41061</v>
      </c>
      <c r="E1296" s="0" t="n">
        <v>2013</v>
      </c>
      <c r="F1296" s="0" t="n">
        <v>5</v>
      </c>
      <c r="G1296" s="38" t="n">
        <v>3799487.41</v>
      </c>
    </row>
    <row r="1297" customFormat="false" ht="15" hidden="false" customHeight="false" outlineLevel="0" collapsed="false">
      <c r="A1297" s="0" t="n">
        <v>36</v>
      </c>
      <c r="B1297" s="0" t="s">
        <v>60</v>
      </c>
      <c r="C1297" s="36" t="n">
        <v>39910</v>
      </c>
      <c r="D1297" s="37" t="n">
        <v>41061</v>
      </c>
      <c r="E1297" s="0" t="n">
        <v>2013</v>
      </c>
      <c r="F1297" s="0" t="n">
        <v>5</v>
      </c>
      <c r="G1297" s="38" t="n">
        <v>1356873.76</v>
      </c>
    </row>
    <row r="1298" customFormat="false" ht="15" hidden="false" customHeight="false" outlineLevel="0" collapsed="false">
      <c r="A1298" s="0" t="n">
        <v>37</v>
      </c>
      <c r="B1298" s="0" t="s">
        <v>64</v>
      </c>
      <c r="C1298" s="36" t="n">
        <v>39910</v>
      </c>
      <c r="D1298" s="37" t="n">
        <v>41061</v>
      </c>
      <c r="E1298" s="0" t="n">
        <v>2013</v>
      </c>
      <c r="F1298" s="0" t="n">
        <v>5</v>
      </c>
      <c r="G1298" s="38" t="n">
        <v>2180043.67</v>
      </c>
    </row>
    <row r="1299" customFormat="false" ht="15" hidden="false" customHeight="false" outlineLevel="0" collapsed="false">
      <c r="A1299" s="0" t="n">
        <v>38</v>
      </c>
      <c r="B1299" s="0" t="s">
        <v>64</v>
      </c>
      <c r="C1299" s="36" t="n">
        <v>39690</v>
      </c>
      <c r="D1299" s="37" t="n">
        <v>41061</v>
      </c>
      <c r="E1299" s="0" t="n">
        <v>2013</v>
      </c>
      <c r="F1299" s="0" t="n">
        <v>5</v>
      </c>
      <c r="G1299" s="38" t="n">
        <v>1818428.66</v>
      </c>
    </row>
    <row r="1300" customFormat="false" ht="15" hidden="false" customHeight="false" outlineLevel="0" collapsed="false">
      <c r="A1300" s="0" t="n">
        <v>39</v>
      </c>
      <c r="B1300" s="0" t="s">
        <v>60</v>
      </c>
      <c r="C1300" s="36" t="n">
        <v>184109</v>
      </c>
      <c r="D1300" s="37" t="n">
        <v>41061</v>
      </c>
      <c r="E1300" s="0" t="n">
        <v>2013</v>
      </c>
      <c r="F1300" s="0" t="n">
        <v>5</v>
      </c>
      <c r="G1300" s="38" t="n">
        <v>6707033.34</v>
      </c>
    </row>
    <row r="1301" customFormat="false" ht="15" hidden="false" customHeight="false" outlineLevel="0" collapsed="false">
      <c r="A1301" s="0" t="n">
        <v>40</v>
      </c>
      <c r="B1301" s="0" t="s">
        <v>60</v>
      </c>
      <c r="C1301" s="36" t="n">
        <v>155083</v>
      </c>
      <c r="D1301" s="37" t="n">
        <v>41061</v>
      </c>
      <c r="E1301" s="0" t="n">
        <v>2013</v>
      </c>
      <c r="F1301" s="0" t="n">
        <v>5</v>
      </c>
      <c r="G1301" s="38" t="n">
        <v>4396849.33</v>
      </c>
    </row>
    <row r="1302" customFormat="false" ht="15" hidden="false" customHeight="false" outlineLevel="0" collapsed="false">
      <c r="A1302" s="0" t="n">
        <v>41</v>
      </c>
      <c r="B1302" s="0" t="s">
        <v>60</v>
      </c>
      <c r="C1302" s="36" t="n">
        <v>196321</v>
      </c>
      <c r="D1302" s="37" t="n">
        <v>41061</v>
      </c>
      <c r="E1302" s="0" t="n">
        <v>2013</v>
      </c>
      <c r="F1302" s="0" t="n">
        <v>5</v>
      </c>
      <c r="G1302" s="38" t="n">
        <v>5967431.64</v>
      </c>
    </row>
    <row r="1303" customFormat="false" ht="15" hidden="false" customHeight="false" outlineLevel="0" collapsed="false">
      <c r="A1303" s="0" t="n">
        <v>42</v>
      </c>
      <c r="B1303" s="0" t="s">
        <v>64</v>
      </c>
      <c r="C1303" s="36" t="n">
        <v>39690</v>
      </c>
      <c r="D1303" s="37" t="n">
        <v>41061</v>
      </c>
      <c r="E1303" s="0" t="n">
        <v>2013</v>
      </c>
      <c r="F1303" s="0" t="n">
        <v>5</v>
      </c>
      <c r="G1303" s="38" t="n">
        <v>2459366.53</v>
      </c>
    </row>
    <row r="1304" customFormat="false" ht="15" hidden="false" customHeight="false" outlineLevel="0" collapsed="false">
      <c r="A1304" s="0" t="n">
        <v>43</v>
      </c>
      <c r="B1304" s="0" t="s">
        <v>64</v>
      </c>
      <c r="C1304" s="36" t="n">
        <v>41062</v>
      </c>
      <c r="D1304" s="37" t="n">
        <v>41061</v>
      </c>
      <c r="E1304" s="0" t="n">
        <v>2013</v>
      </c>
      <c r="F1304" s="0" t="n">
        <v>5</v>
      </c>
      <c r="G1304" s="38" t="n">
        <v>2662917.54</v>
      </c>
    </row>
    <row r="1305" customFormat="false" ht="15" hidden="false" customHeight="false" outlineLevel="0" collapsed="false">
      <c r="A1305" s="0" t="n">
        <v>44</v>
      </c>
      <c r="B1305" s="0" t="s">
        <v>64</v>
      </c>
      <c r="C1305" s="36" t="n">
        <v>39910</v>
      </c>
      <c r="D1305" s="37" t="n">
        <v>41061</v>
      </c>
      <c r="E1305" s="0" t="n">
        <v>2013</v>
      </c>
      <c r="F1305" s="0" t="n">
        <v>5</v>
      </c>
      <c r="G1305" s="38" t="n">
        <v>1450676.62</v>
      </c>
    </row>
    <row r="1306" customFormat="false" ht="15" hidden="false" customHeight="false" outlineLevel="0" collapsed="false">
      <c r="A1306" s="0" t="n">
        <v>45</v>
      </c>
      <c r="B1306" s="0" t="s">
        <v>62</v>
      </c>
      <c r="C1306" s="36" t="n">
        <v>118221</v>
      </c>
      <c r="D1306" s="37" t="n">
        <v>41061</v>
      </c>
      <c r="E1306" s="0" t="n">
        <v>2013</v>
      </c>
      <c r="F1306" s="0" t="n">
        <v>5</v>
      </c>
      <c r="G1306" s="38" t="n">
        <v>3452640.28</v>
      </c>
    </row>
    <row r="1307" customFormat="false" ht="15" hidden="false" customHeight="false" outlineLevel="0" collapsed="false">
      <c r="A1307" s="0" t="n">
        <v>1</v>
      </c>
      <c r="B1307" s="0" t="s">
        <v>60</v>
      </c>
      <c r="C1307" s="36" t="n">
        <v>151315</v>
      </c>
      <c r="D1307" s="37" t="n">
        <v>41091</v>
      </c>
      <c r="E1307" s="0" t="n">
        <v>2013</v>
      </c>
      <c r="F1307" s="0" t="n">
        <v>6</v>
      </c>
      <c r="G1307" s="38" t="n">
        <v>6913187.97</v>
      </c>
    </row>
    <row r="1308" customFormat="false" ht="15" hidden="false" customHeight="false" outlineLevel="0" collapsed="false">
      <c r="A1308" s="0" t="n">
        <v>2</v>
      </c>
      <c r="B1308" s="0" t="s">
        <v>60</v>
      </c>
      <c r="C1308" s="36" t="n">
        <v>202307</v>
      </c>
      <c r="D1308" s="37" t="n">
        <v>41091</v>
      </c>
      <c r="E1308" s="0" t="n">
        <v>2013</v>
      </c>
      <c r="F1308" s="0" t="n">
        <v>6</v>
      </c>
      <c r="G1308" s="38" t="n">
        <v>8269588.73</v>
      </c>
    </row>
    <row r="1309" customFormat="false" ht="15" hidden="false" customHeight="false" outlineLevel="0" collapsed="false">
      <c r="A1309" s="0" t="n">
        <v>3</v>
      </c>
      <c r="B1309" s="0" t="s">
        <v>62</v>
      </c>
      <c r="C1309" s="36" t="n">
        <v>37392</v>
      </c>
      <c r="D1309" s="37" t="n">
        <v>41091</v>
      </c>
      <c r="E1309" s="0" t="n">
        <v>2013</v>
      </c>
      <c r="F1309" s="0" t="n">
        <v>6</v>
      </c>
      <c r="G1309" s="38" t="n">
        <v>1831223.03</v>
      </c>
    </row>
    <row r="1310" customFormat="false" ht="15" hidden="false" customHeight="false" outlineLevel="0" collapsed="false">
      <c r="A1310" s="0" t="n">
        <v>4</v>
      </c>
      <c r="B1310" s="0" t="s">
        <v>60</v>
      </c>
      <c r="C1310" s="36" t="n">
        <v>205863</v>
      </c>
      <c r="D1310" s="37" t="n">
        <v>41091</v>
      </c>
      <c r="E1310" s="0" t="n">
        <v>2013</v>
      </c>
      <c r="F1310" s="0" t="n">
        <v>6</v>
      </c>
      <c r="G1310" s="38" t="n">
        <v>9473723.1</v>
      </c>
    </row>
    <row r="1311" customFormat="false" ht="15" hidden="false" customHeight="false" outlineLevel="0" collapsed="false">
      <c r="A1311" s="0" t="n">
        <v>5</v>
      </c>
      <c r="B1311" s="0" t="s">
        <v>62</v>
      </c>
      <c r="C1311" s="36" t="n">
        <v>34875</v>
      </c>
      <c r="D1311" s="37" t="n">
        <v>41091</v>
      </c>
      <c r="E1311" s="0" t="n">
        <v>2013</v>
      </c>
      <c r="F1311" s="0" t="n">
        <v>6</v>
      </c>
      <c r="G1311" s="38" t="n">
        <v>1421960</v>
      </c>
    </row>
    <row r="1312" customFormat="false" ht="15" hidden="false" customHeight="false" outlineLevel="0" collapsed="false">
      <c r="A1312" s="0" t="n">
        <v>6</v>
      </c>
      <c r="B1312" s="0" t="s">
        <v>60</v>
      </c>
      <c r="C1312" s="36" t="n">
        <v>202505</v>
      </c>
      <c r="D1312" s="37" t="n">
        <v>41091</v>
      </c>
      <c r="E1312" s="0" t="n">
        <v>2013</v>
      </c>
      <c r="F1312" s="0" t="n">
        <v>6</v>
      </c>
      <c r="G1312" s="38" t="n">
        <v>7213912.8</v>
      </c>
    </row>
    <row r="1313" customFormat="false" ht="15" hidden="false" customHeight="false" outlineLevel="0" collapsed="false">
      <c r="A1313" s="0" t="n">
        <v>7</v>
      </c>
      <c r="B1313" s="0" t="s">
        <v>62</v>
      </c>
      <c r="C1313" s="36" t="n">
        <v>70713</v>
      </c>
      <c r="D1313" s="37" t="n">
        <v>41091</v>
      </c>
      <c r="E1313" s="0" t="n">
        <v>2013</v>
      </c>
      <c r="F1313" s="0" t="n">
        <v>6</v>
      </c>
      <c r="G1313" s="38" t="n">
        <v>3146529.83</v>
      </c>
    </row>
    <row r="1314" customFormat="false" ht="15" hidden="false" customHeight="false" outlineLevel="0" collapsed="false">
      <c r="A1314" s="0" t="n">
        <v>8</v>
      </c>
      <c r="B1314" s="0" t="s">
        <v>60</v>
      </c>
      <c r="C1314" s="36" t="n">
        <v>155078</v>
      </c>
      <c r="D1314" s="37" t="n">
        <v>41091</v>
      </c>
      <c r="E1314" s="0" t="n">
        <v>2013</v>
      </c>
      <c r="F1314" s="0" t="n">
        <v>6</v>
      </c>
      <c r="G1314" s="38" t="n">
        <v>3932626.75</v>
      </c>
    </row>
    <row r="1315" customFormat="false" ht="15" hidden="false" customHeight="false" outlineLevel="0" collapsed="false">
      <c r="A1315" s="0" t="n">
        <v>9</v>
      </c>
      <c r="B1315" s="0" t="s">
        <v>62</v>
      </c>
      <c r="C1315" s="36" t="n">
        <v>125833</v>
      </c>
      <c r="D1315" s="37" t="n">
        <v>41091</v>
      </c>
      <c r="E1315" s="0" t="n">
        <v>2013</v>
      </c>
      <c r="F1315" s="0" t="n">
        <v>6</v>
      </c>
      <c r="G1315" s="38" t="n">
        <v>2347664.8</v>
      </c>
    </row>
    <row r="1316" customFormat="false" ht="15" hidden="false" customHeight="false" outlineLevel="0" collapsed="false">
      <c r="A1316" s="0" t="n">
        <v>10</v>
      </c>
      <c r="B1316" s="0" t="s">
        <v>62</v>
      </c>
      <c r="C1316" s="36" t="n">
        <v>126512</v>
      </c>
      <c r="D1316" s="37" t="n">
        <v>41091</v>
      </c>
      <c r="E1316" s="0" t="n">
        <v>2013</v>
      </c>
      <c r="F1316" s="0" t="n">
        <v>6</v>
      </c>
      <c r="G1316" s="38" t="n">
        <v>8109393.92</v>
      </c>
    </row>
    <row r="1317" customFormat="false" ht="15" hidden="false" customHeight="false" outlineLevel="0" collapsed="false">
      <c r="A1317" s="0" t="n">
        <v>11</v>
      </c>
      <c r="B1317" s="0" t="s">
        <v>60</v>
      </c>
      <c r="C1317" s="36" t="n">
        <v>207499</v>
      </c>
      <c r="D1317" s="37" t="n">
        <v>41091</v>
      </c>
      <c r="E1317" s="0" t="n">
        <v>2013</v>
      </c>
      <c r="F1317" s="0" t="n">
        <v>6</v>
      </c>
      <c r="G1317" s="38" t="n">
        <v>5989138.91</v>
      </c>
    </row>
    <row r="1318" customFormat="false" ht="15" hidden="false" customHeight="false" outlineLevel="0" collapsed="false">
      <c r="A1318" s="0" t="n">
        <v>12</v>
      </c>
      <c r="B1318" s="0" t="s">
        <v>62</v>
      </c>
      <c r="C1318" s="36" t="n">
        <v>112238</v>
      </c>
      <c r="D1318" s="37" t="n">
        <v>41091</v>
      </c>
      <c r="E1318" s="0" t="n">
        <v>2013</v>
      </c>
      <c r="F1318" s="0" t="n">
        <v>6</v>
      </c>
      <c r="G1318" s="38" t="n">
        <v>4236554.13</v>
      </c>
    </row>
    <row r="1319" customFormat="false" ht="15" hidden="false" customHeight="false" outlineLevel="0" collapsed="false">
      <c r="A1319" s="0" t="n">
        <v>13</v>
      </c>
      <c r="B1319" s="0" t="s">
        <v>60</v>
      </c>
      <c r="C1319" s="36" t="n">
        <v>219622</v>
      </c>
      <c r="D1319" s="37" t="n">
        <v>41091</v>
      </c>
      <c r="E1319" s="0" t="n">
        <v>2013</v>
      </c>
      <c r="F1319" s="0" t="n">
        <v>6</v>
      </c>
      <c r="G1319" s="38" t="n">
        <v>9011195.84</v>
      </c>
    </row>
    <row r="1320" customFormat="false" ht="15" hidden="false" customHeight="false" outlineLevel="0" collapsed="false">
      <c r="A1320" s="0" t="n">
        <v>14</v>
      </c>
      <c r="B1320" s="0" t="s">
        <v>60</v>
      </c>
      <c r="C1320" s="36" t="n">
        <v>200898</v>
      </c>
      <c r="D1320" s="37" t="n">
        <v>41091</v>
      </c>
      <c r="E1320" s="0" t="n">
        <v>2013</v>
      </c>
      <c r="F1320" s="0" t="n">
        <v>6</v>
      </c>
      <c r="G1320" s="38" t="n">
        <v>7120089.99</v>
      </c>
    </row>
    <row r="1321" customFormat="false" ht="15" hidden="false" customHeight="false" outlineLevel="0" collapsed="false">
      <c r="A1321" s="0" t="n">
        <v>15</v>
      </c>
      <c r="B1321" s="0" t="s">
        <v>62</v>
      </c>
      <c r="C1321" s="36" t="n">
        <v>123737</v>
      </c>
      <c r="D1321" s="37" t="n">
        <v>41091</v>
      </c>
      <c r="E1321" s="0" t="n">
        <v>2013</v>
      </c>
      <c r="F1321" s="0" t="n">
        <v>6</v>
      </c>
      <c r="G1321" s="38" t="n">
        <v>2673625.11</v>
      </c>
    </row>
    <row r="1322" customFormat="false" ht="15" hidden="false" customHeight="false" outlineLevel="0" collapsed="false">
      <c r="A1322" s="0" t="n">
        <v>16</v>
      </c>
      <c r="B1322" s="0" t="s">
        <v>62</v>
      </c>
      <c r="C1322" s="36" t="n">
        <v>57197</v>
      </c>
      <c r="D1322" s="37" t="n">
        <v>41091</v>
      </c>
      <c r="E1322" s="0" t="n">
        <v>2013</v>
      </c>
      <c r="F1322" s="0" t="n">
        <v>6</v>
      </c>
      <c r="G1322" s="38" t="n">
        <v>2557438.17</v>
      </c>
    </row>
    <row r="1323" customFormat="false" ht="15" hidden="false" customHeight="false" outlineLevel="0" collapsed="false">
      <c r="A1323" s="0" t="n">
        <v>17</v>
      </c>
      <c r="B1323" s="0" t="s">
        <v>62</v>
      </c>
      <c r="C1323" s="36" t="n">
        <v>93188</v>
      </c>
      <c r="D1323" s="37" t="n">
        <v>41091</v>
      </c>
      <c r="E1323" s="0" t="n">
        <v>2013</v>
      </c>
      <c r="F1323" s="0" t="n">
        <v>6</v>
      </c>
      <c r="G1323" s="38" t="n">
        <v>4211787.77</v>
      </c>
    </row>
    <row r="1324" customFormat="false" ht="15" hidden="false" customHeight="false" outlineLevel="0" collapsed="false">
      <c r="A1324" s="0" t="n">
        <v>18</v>
      </c>
      <c r="B1324" s="0" t="s">
        <v>62</v>
      </c>
      <c r="C1324" s="36" t="n">
        <v>120653</v>
      </c>
      <c r="D1324" s="37" t="n">
        <v>41091</v>
      </c>
      <c r="E1324" s="0" t="n">
        <v>2013</v>
      </c>
      <c r="F1324" s="0" t="n">
        <v>6</v>
      </c>
      <c r="G1324" s="38" t="n">
        <v>4576799.02</v>
      </c>
    </row>
    <row r="1325" customFormat="false" ht="15" hidden="false" customHeight="false" outlineLevel="0" collapsed="false">
      <c r="A1325" s="0" t="n">
        <v>19</v>
      </c>
      <c r="B1325" s="0" t="s">
        <v>60</v>
      </c>
      <c r="C1325" s="36" t="n">
        <v>203819</v>
      </c>
      <c r="D1325" s="37" t="n">
        <v>41091</v>
      </c>
      <c r="E1325" s="0" t="n">
        <v>2013</v>
      </c>
      <c r="F1325" s="0" t="n">
        <v>6</v>
      </c>
      <c r="G1325" s="38" t="n">
        <v>5989932.24</v>
      </c>
    </row>
    <row r="1326" customFormat="false" ht="15" hidden="false" customHeight="false" outlineLevel="0" collapsed="false">
      <c r="A1326" s="0" t="n">
        <v>20</v>
      </c>
      <c r="B1326" s="0" t="s">
        <v>60</v>
      </c>
      <c r="C1326" s="36" t="n">
        <v>203742</v>
      </c>
      <c r="D1326" s="37" t="n">
        <v>41091</v>
      </c>
      <c r="E1326" s="0" t="n">
        <v>2013</v>
      </c>
      <c r="F1326" s="0" t="n">
        <v>6</v>
      </c>
      <c r="G1326" s="38" t="n">
        <v>9234465.92</v>
      </c>
    </row>
    <row r="1327" customFormat="false" ht="15" hidden="false" customHeight="false" outlineLevel="0" collapsed="false">
      <c r="A1327" s="0" t="n">
        <v>21</v>
      </c>
      <c r="B1327" s="0" t="s">
        <v>62</v>
      </c>
      <c r="C1327" s="36" t="n">
        <v>140167</v>
      </c>
      <c r="D1327" s="37" t="n">
        <v>41091</v>
      </c>
      <c r="E1327" s="0" t="n">
        <v>2013</v>
      </c>
      <c r="F1327" s="0" t="n">
        <v>6</v>
      </c>
      <c r="G1327" s="38" t="n">
        <v>3027582.52</v>
      </c>
    </row>
    <row r="1328" customFormat="false" ht="15" hidden="false" customHeight="false" outlineLevel="0" collapsed="false">
      <c r="A1328" s="0" t="n">
        <v>22</v>
      </c>
      <c r="B1328" s="0" t="s">
        <v>62</v>
      </c>
      <c r="C1328" s="36" t="n">
        <v>119557</v>
      </c>
      <c r="D1328" s="37" t="n">
        <v>41091</v>
      </c>
      <c r="E1328" s="0" t="n">
        <v>2013</v>
      </c>
      <c r="F1328" s="0" t="n">
        <v>6</v>
      </c>
      <c r="G1328" s="38" t="n">
        <v>4405597.4</v>
      </c>
    </row>
    <row r="1329" customFormat="false" ht="15" hidden="false" customHeight="false" outlineLevel="0" collapsed="false">
      <c r="A1329" s="0" t="n">
        <v>23</v>
      </c>
      <c r="B1329" s="0" t="s">
        <v>62</v>
      </c>
      <c r="C1329" s="36" t="n">
        <v>114533</v>
      </c>
      <c r="D1329" s="37" t="n">
        <v>41091</v>
      </c>
      <c r="E1329" s="0" t="n">
        <v>2013</v>
      </c>
      <c r="F1329" s="0" t="n">
        <v>6</v>
      </c>
      <c r="G1329" s="38" t="n">
        <v>6223468.4</v>
      </c>
    </row>
    <row r="1330" customFormat="false" ht="15" hidden="false" customHeight="false" outlineLevel="0" collapsed="false">
      <c r="A1330" s="0" t="n">
        <v>24</v>
      </c>
      <c r="B1330" s="0" t="s">
        <v>60</v>
      </c>
      <c r="C1330" s="36" t="n">
        <v>203819</v>
      </c>
      <c r="D1330" s="37" t="n">
        <v>41091</v>
      </c>
      <c r="E1330" s="0" t="n">
        <v>2013</v>
      </c>
      <c r="F1330" s="0" t="n">
        <v>6</v>
      </c>
      <c r="G1330" s="38" t="n">
        <v>6340268.62</v>
      </c>
    </row>
    <row r="1331" customFormat="false" ht="15" hidden="false" customHeight="false" outlineLevel="0" collapsed="false">
      <c r="A1331" s="0" t="n">
        <v>25</v>
      </c>
      <c r="B1331" s="0" t="s">
        <v>62</v>
      </c>
      <c r="C1331" s="36" t="n">
        <v>128107</v>
      </c>
      <c r="D1331" s="37" t="n">
        <v>41091</v>
      </c>
      <c r="E1331" s="0" t="n">
        <v>2013</v>
      </c>
      <c r="F1331" s="0" t="n">
        <v>6</v>
      </c>
      <c r="G1331" s="38" t="n">
        <v>3110195.99</v>
      </c>
    </row>
    <row r="1332" customFormat="false" ht="15" hidden="false" customHeight="false" outlineLevel="0" collapsed="false">
      <c r="A1332" s="0" t="n">
        <v>26</v>
      </c>
      <c r="B1332" s="0" t="s">
        <v>60</v>
      </c>
      <c r="C1332" s="36" t="n">
        <v>152513</v>
      </c>
      <c r="D1332" s="37" t="n">
        <v>41091</v>
      </c>
      <c r="E1332" s="0" t="n">
        <v>2013</v>
      </c>
      <c r="F1332" s="0" t="n">
        <v>6</v>
      </c>
      <c r="G1332" s="38" t="n">
        <v>4779732.96</v>
      </c>
    </row>
    <row r="1333" customFormat="false" ht="15" hidden="false" customHeight="false" outlineLevel="0" collapsed="false">
      <c r="A1333" s="0" t="n">
        <v>27</v>
      </c>
      <c r="B1333" s="0" t="s">
        <v>60</v>
      </c>
      <c r="C1333" s="36" t="n">
        <v>204184</v>
      </c>
      <c r="D1333" s="37" t="n">
        <v>41091</v>
      </c>
      <c r="E1333" s="0" t="n">
        <v>2013</v>
      </c>
      <c r="F1333" s="0" t="n">
        <v>6</v>
      </c>
      <c r="G1333" s="38" t="n">
        <v>7855057.3</v>
      </c>
    </row>
    <row r="1334" customFormat="false" ht="15" hidden="false" customHeight="false" outlineLevel="0" collapsed="false">
      <c r="A1334" s="0" t="n">
        <v>28</v>
      </c>
      <c r="B1334" s="0" t="s">
        <v>60</v>
      </c>
      <c r="C1334" s="36" t="n">
        <v>206302</v>
      </c>
      <c r="D1334" s="37" t="n">
        <v>41091</v>
      </c>
      <c r="E1334" s="0" t="n">
        <v>2013</v>
      </c>
      <c r="F1334" s="0" t="n">
        <v>6</v>
      </c>
      <c r="G1334" s="38" t="n">
        <v>5537414.97</v>
      </c>
    </row>
    <row r="1335" customFormat="false" ht="15" hidden="false" customHeight="false" outlineLevel="0" collapsed="false">
      <c r="A1335" s="0" t="n">
        <v>29</v>
      </c>
      <c r="B1335" s="0" t="s">
        <v>62</v>
      </c>
      <c r="C1335" s="36" t="n">
        <v>93638</v>
      </c>
      <c r="D1335" s="37" t="n">
        <v>41091</v>
      </c>
      <c r="E1335" s="0" t="n">
        <v>2013</v>
      </c>
      <c r="F1335" s="0" t="n">
        <v>6</v>
      </c>
      <c r="G1335" s="38" t="n">
        <v>2281146.69</v>
      </c>
    </row>
    <row r="1336" customFormat="false" ht="15" hidden="false" customHeight="false" outlineLevel="0" collapsed="false">
      <c r="A1336" s="0" t="n">
        <v>30</v>
      </c>
      <c r="B1336" s="0" t="s">
        <v>64</v>
      </c>
      <c r="C1336" s="36" t="n">
        <v>42988</v>
      </c>
      <c r="D1336" s="37" t="n">
        <v>41091</v>
      </c>
      <c r="E1336" s="0" t="n">
        <v>2013</v>
      </c>
      <c r="F1336" s="0" t="n">
        <v>6</v>
      </c>
      <c r="G1336" s="38" t="n">
        <v>1890264.95</v>
      </c>
    </row>
    <row r="1337" customFormat="false" ht="15" hidden="false" customHeight="false" outlineLevel="0" collapsed="false">
      <c r="A1337" s="0" t="n">
        <v>31</v>
      </c>
      <c r="B1337" s="0" t="s">
        <v>60</v>
      </c>
      <c r="C1337" s="36" t="n">
        <v>203750</v>
      </c>
      <c r="D1337" s="37" t="n">
        <v>41091</v>
      </c>
      <c r="E1337" s="0" t="n">
        <v>2013</v>
      </c>
      <c r="F1337" s="0" t="n">
        <v>6</v>
      </c>
      <c r="G1337" s="38" t="n">
        <v>6114579.61</v>
      </c>
    </row>
    <row r="1338" customFormat="false" ht="15" hidden="false" customHeight="false" outlineLevel="0" collapsed="false">
      <c r="A1338" s="0" t="n">
        <v>32</v>
      </c>
      <c r="B1338" s="0" t="s">
        <v>60</v>
      </c>
      <c r="C1338" s="36" t="n">
        <v>203007</v>
      </c>
      <c r="D1338" s="37" t="n">
        <v>41091</v>
      </c>
      <c r="E1338" s="0" t="n">
        <v>2013</v>
      </c>
      <c r="F1338" s="0" t="n">
        <v>6</v>
      </c>
      <c r="G1338" s="38" t="n">
        <v>5170971.15</v>
      </c>
    </row>
    <row r="1339" customFormat="false" ht="15" hidden="false" customHeight="false" outlineLevel="0" collapsed="false">
      <c r="A1339" s="0" t="n">
        <v>33</v>
      </c>
      <c r="B1339" s="0" t="s">
        <v>60</v>
      </c>
      <c r="C1339" s="36" t="n">
        <v>39690</v>
      </c>
      <c r="D1339" s="37" t="n">
        <v>41091</v>
      </c>
      <c r="E1339" s="0" t="n">
        <v>2013</v>
      </c>
      <c r="F1339" s="0" t="n">
        <v>6</v>
      </c>
      <c r="G1339" s="38" t="n">
        <v>1171698.8</v>
      </c>
    </row>
    <row r="1340" customFormat="false" ht="15" hidden="false" customHeight="false" outlineLevel="0" collapsed="false">
      <c r="A1340" s="0" t="n">
        <v>34</v>
      </c>
      <c r="B1340" s="0" t="s">
        <v>60</v>
      </c>
      <c r="C1340" s="36" t="n">
        <v>158114</v>
      </c>
      <c r="D1340" s="37" t="n">
        <v>41091</v>
      </c>
      <c r="E1340" s="0" t="n">
        <v>2013</v>
      </c>
      <c r="F1340" s="0" t="n">
        <v>6</v>
      </c>
      <c r="G1340" s="38" t="n">
        <v>4243520.77</v>
      </c>
    </row>
    <row r="1341" customFormat="false" ht="15" hidden="false" customHeight="false" outlineLevel="0" collapsed="false">
      <c r="A1341" s="0" t="n">
        <v>35</v>
      </c>
      <c r="B1341" s="0" t="s">
        <v>62</v>
      </c>
      <c r="C1341" s="36" t="n">
        <v>103681</v>
      </c>
      <c r="D1341" s="37" t="n">
        <v>41091</v>
      </c>
      <c r="E1341" s="0" t="n">
        <v>2013</v>
      </c>
      <c r="F1341" s="0" t="n">
        <v>6</v>
      </c>
      <c r="G1341" s="38" t="n">
        <v>3814696.04</v>
      </c>
    </row>
    <row r="1342" customFormat="false" ht="15" hidden="false" customHeight="false" outlineLevel="0" collapsed="false">
      <c r="A1342" s="0" t="n">
        <v>36</v>
      </c>
      <c r="B1342" s="0" t="s">
        <v>60</v>
      </c>
      <c r="C1342" s="36" t="n">
        <v>39910</v>
      </c>
      <c r="D1342" s="37" t="n">
        <v>41091</v>
      </c>
      <c r="E1342" s="0" t="n">
        <v>2013</v>
      </c>
      <c r="F1342" s="0" t="n">
        <v>6</v>
      </c>
      <c r="G1342" s="38" t="n">
        <v>1318332.28</v>
      </c>
    </row>
    <row r="1343" customFormat="false" ht="15" hidden="false" customHeight="false" outlineLevel="0" collapsed="false">
      <c r="A1343" s="0" t="n">
        <v>37</v>
      </c>
      <c r="B1343" s="0" t="s">
        <v>64</v>
      </c>
      <c r="C1343" s="36" t="n">
        <v>39910</v>
      </c>
      <c r="D1343" s="37" t="n">
        <v>41091</v>
      </c>
      <c r="E1343" s="0" t="n">
        <v>2013</v>
      </c>
      <c r="F1343" s="0" t="n">
        <v>6</v>
      </c>
      <c r="G1343" s="38" t="n">
        <v>2267785.93</v>
      </c>
    </row>
    <row r="1344" customFormat="false" ht="15" hidden="false" customHeight="false" outlineLevel="0" collapsed="false">
      <c r="A1344" s="0" t="n">
        <v>38</v>
      </c>
      <c r="B1344" s="0" t="s">
        <v>64</v>
      </c>
      <c r="C1344" s="36" t="n">
        <v>39690</v>
      </c>
      <c r="D1344" s="37" t="n">
        <v>41091</v>
      </c>
      <c r="E1344" s="0" t="n">
        <v>2013</v>
      </c>
      <c r="F1344" s="0" t="n">
        <v>6</v>
      </c>
      <c r="G1344" s="38" t="n">
        <v>1936872.99</v>
      </c>
    </row>
    <row r="1345" customFormat="false" ht="15" hidden="false" customHeight="false" outlineLevel="0" collapsed="false">
      <c r="A1345" s="0" t="n">
        <v>39</v>
      </c>
      <c r="B1345" s="0" t="s">
        <v>60</v>
      </c>
      <c r="C1345" s="36" t="n">
        <v>184109</v>
      </c>
      <c r="D1345" s="37" t="n">
        <v>41091</v>
      </c>
      <c r="E1345" s="0" t="n">
        <v>2013</v>
      </c>
      <c r="F1345" s="0" t="n">
        <v>6</v>
      </c>
      <c r="G1345" s="38" t="n">
        <v>6882433.66</v>
      </c>
    </row>
    <row r="1346" customFormat="false" ht="15" hidden="false" customHeight="false" outlineLevel="0" collapsed="false">
      <c r="A1346" s="0" t="n">
        <v>40</v>
      </c>
      <c r="B1346" s="0" t="s">
        <v>60</v>
      </c>
      <c r="C1346" s="36" t="n">
        <v>155083</v>
      </c>
      <c r="D1346" s="37" t="n">
        <v>41091</v>
      </c>
      <c r="E1346" s="0" t="n">
        <v>2013</v>
      </c>
      <c r="F1346" s="0" t="n">
        <v>6</v>
      </c>
      <c r="G1346" s="38" t="n">
        <v>4527147.42</v>
      </c>
    </row>
    <row r="1347" customFormat="false" ht="15" hidden="false" customHeight="false" outlineLevel="0" collapsed="false">
      <c r="A1347" s="0" t="n">
        <v>41</v>
      </c>
      <c r="B1347" s="0" t="s">
        <v>60</v>
      </c>
      <c r="C1347" s="36" t="n">
        <v>196321</v>
      </c>
      <c r="D1347" s="37" t="n">
        <v>41091</v>
      </c>
      <c r="E1347" s="0" t="n">
        <v>2013</v>
      </c>
      <c r="F1347" s="0" t="n">
        <v>6</v>
      </c>
      <c r="G1347" s="38" t="n">
        <v>6095384.65</v>
      </c>
    </row>
    <row r="1348" customFormat="false" ht="15" hidden="false" customHeight="false" outlineLevel="0" collapsed="false">
      <c r="A1348" s="0" t="n">
        <v>42</v>
      </c>
      <c r="B1348" s="0" t="s">
        <v>64</v>
      </c>
      <c r="C1348" s="36" t="n">
        <v>39690</v>
      </c>
      <c r="D1348" s="37" t="n">
        <v>41091</v>
      </c>
      <c r="E1348" s="0" t="n">
        <v>2013</v>
      </c>
      <c r="F1348" s="0" t="n">
        <v>6</v>
      </c>
      <c r="G1348" s="38" t="n">
        <v>2532562.74</v>
      </c>
    </row>
    <row r="1349" customFormat="false" ht="15" hidden="false" customHeight="false" outlineLevel="0" collapsed="false">
      <c r="A1349" s="0" t="n">
        <v>43</v>
      </c>
      <c r="B1349" s="0" t="s">
        <v>64</v>
      </c>
      <c r="C1349" s="36" t="n">
        <v>41062</v>
      </c>
      <c r="D1349" s="37" t="n">
        <v>41091</v>
      </c>
      <c r="E1349" s="0" t="n">
        <v>2013</v>
      </c>
      <c r="F1349" s="0" t="n">
        <v>6</v>
      </c>
      <c r="G1349" s="38" t="n">
        <v>2701096.64</v>
      </c>
    </row>
    <row r="1350" customFormat="false" ht="15" hidden="false" customHeight="false" outlineLevel="0" collapsed="false">
      <c r="A1350" s="0" t="n">
        <v>44</v>
      </c>
      <c r="B1350" s="0" t="s">
        <v>64</v>
      </c>
      <c r="C1350" s="36" t="n">
        <v>39910</v>
      </c>
      <c r="D1350" s="37" t="n">
        <v>41091</v>
      </c>
      <c r="E1350" s="0" t="n">
        <v>2013</v>
      </c>
      <c r="F1350" s="0" t="n">
        <v>6</v>
      </c>
      <c r="G1350" s="38" t="n">
        <v>1497055.5</v>
      </c>
    </row>
    <row r="1351" customFormat="false" ht="15" hidden="false" customHeight="false" outlineLevel="0" collapsed="false">
      <c r="A1351" s="0" t="n">
        <v>45</v>
      </c>
      <c r="B1351" s="0" t="s">
        <v>62</v>
      </c>
      <c r="C1351" s="36" t="n">
        <v>118221</v>
      </c>
      <c r="D1351" s="37" t="n">
        <v>41091</v>
      </c>
      <c r="E1351" s="0" t="n">
        <v>2013</v>
      </c>
      <c r="F1351" s="0" t="n">
        <v>6</v>
      </c>
      <c r="G1351" s="38" t="n">
        <v>3336685.82</v>
      </c>
    </row>
    <row r="1352" customFormat="false" ht="15" hidden="false" customHeight="false" outlineLevel="0" collapsed="false">
      <c r="A1352" s="0" t="n">
        <v>1</v>
      </c>
      <c r="B1352" s="0" t="s">
        <v>60</v>
      </c>
      <c r="C1352" s="36" t="n">
        <v>151315</v>
      </c>
      <c r="D1352" s="37" t="n">
        <v>41122</v>
      </c>
      <c r="E1352" s="0" t="n">
        <v>2013</v>
      </c>
      <c r="F1352" s="0" t="n">
        <v>7</v>
      </c>
      <c r="G1352" s="38" t="n">
        <v>6965542</v>
      </c>
    </row>
    <row r="1353" customFormat="false" ht="15" hidden="false" customHeight="false" outlineLevel="0" collapsed="false">
      <c r="A1353" s="0" t="n">
        <v>2</v>
      </c>
      <c r="B1353" s="0" t="s">
        <v>60</v>
      </c>
      <c r="C1353" s="36" t="n">
        <v>202307</v>
      </c>
      <c r="D1353" s="37" t="n">
        <v>41122</v>
      </c>
      <c r="E1353" s="0" t="n">
        <v>2013</v>
      </c>
      <c r="F1353" s="0" t="n">
        <v>7</v>
      </c>
      <c r="G1353" s="38" t="n">
        <v>8452652.25</v>
      </c>
    </row>
    <row r="1354" customFormat="false" ht="15" hidden="false" customHeight="false" outlineLevel="0" collapsed="false">
      <c r="A1354" s="0" t="n">
        <v>3</v>
      </c>
      <c r="B1354" s="0" t="s">
        <v>62</v>
      </c>
      <c r="C1354" s="36" t="n">
        <v>37392</v>
      </c>
      <c r="D1354" s="37" t="n">
        <v>41122</v>
      </c>
      <c r="E1354" s="0" t="n">
        <v>2013</v>
      </c>
      <c r="F1354" s="0" t="n">
        <v>7</v>
      </c>
      <c r="G1354" s="38" t="n">
        <v>1788014.66</v>
      </c>
    </row>
    <row r="1355" customFormat="false" ht="15" hidden="false" customHeight="false" outlineLevel="0" collapsed="false">
      <c r="A1355" s="0" t="n">
        <v>4</v>
      </c>
      <c r="B1355" s="0" t="s">
        <v>60</v>
      </c>
      <c r="C1355" s="36" t="n">
        <v>205863</v>
      </c>
      <c r="D1355" s="37" t="n">
        <v>41122</v>
      </c>
      <c r="E1355" s="0" t="n">
        <v>2013</v>
      </c>
      <c r="F1355" s="0" t="n">
        <v>7</v>
      </c>
      <c r="G1355" s="38" t="n">
        <v>9615265.63</v>
      </c>
    </row>
    <row r="1356" customFormat="false" ht="15" hidden="false" customHeight="false" outlineLevel="0" collapsed="false">
      <c r="A1356" s="0" t="n">
        <v>5</v>
      </c>
      <c r="B1356" s="0" t="s">
        <v>62</v>
      </c>
      <c r="C1356" s="36" t="n">
        <v>34875</v>
      </c>
      <c r="D1356" s="37" t="n">
        <v>41122</v>
      </c>
      <c r="E1356" s="0" t="n">
        <v>2013</v>
      </c>
      <c r="F1356" s="0" t="n">
        <v>7</v>
      </c>
      <c r="G1356" s="38" t="n">
        <v>1425188.06</v>
      </c>
    </row>
    <row r="1357" customFormat="false" ht="15" hidden="false" customHeight="false" outlineLevel="0" collapsed="false">
      <c r="A1357" s="0" t="n">
        <v>6</v>
      </c>
      <c r="B1357" s="0" t="s">
        <v>60</v>
      </c>
      <c r="C1357" s="36" t="n">
        <v>202505</v>
      </c>
      <c r="D1357" s="37" t="n">
        <v>41122</v>
      </c>
      <c r="E1357" s="0" t="n">
        <v>2013</v>
      </c>
      <c r="F1357" s="0" t="n">
        <v>7</v>
      </c>
      <c r="G1357" s="38" t="n">
        <v>6907369.11</v>
      </c>
    </row>
    <row r="1358" customFormat="false" ht="15" hidden="false" customHeight="false" outlineLevel="0" collapsed="false">
      <c r="A1358" s="0" t="n">
        <v>7</v>
      </c>
      <c r="B1358" s="0" t="s">
        <v>62</v>
      </c>
      <c r="C1358" s="36" t="n">
        <v>70713</v>
      </c>
      <c r="D1358" s="37" t="n">
        <v>41122</v>
      </c>
      <c r="E1358" s="0" t="n">
        <v>2013</v>
      </c>
      <c r="F1358" s="0" t="n">
        <v>7</v>
      </c>
      <c r="G1358" s="38" t="n">
        <v>2805780.98</v>
      </c>
    </row>
    <row r="1359" customFormat="false" ht="15" hidden="false" customHeight="false" outlineLevel="0" collapsed="false">
      <c r="A1359" s="0" t="n">
        <v>8</v>
      </c>
      <c r="B1359" s="0" t="s">
        <v>60</v>
      </c>
      <c r="C1359" s="36" t="n">
        <v>155078</v>
      </c>
      <c r="D1359" s="37" t="n">
        <v>41122</v>
      </c>
      <c r="E1359" s="0" t="n">
        <v>2013</v>
      </c>
      <c r="F1359" s="0" t="n">
        <v>7</v>
      </c>
      <c r="G1359" s="38" t="n">
        <v>4124331.73</v>
      </c>
    </row>
    <row r="1360" customFormat="false" ht="15" hidden="false" customHeight="false" outlineLevel="0" collapsed="false">
      <c r="A1360" s="0" t="n">
        <v>9</v>
      </c>
      <c r="B1360" s="0" t="s">
        <v>62</v>
      </c>
      <c r="C1360" s="36" t="n">
        <v>125833</v>
      </c>
      <c r="D1360" s="37" t="n">
        <v>41122</v>
      </c>
      <c r="E1360" s="0" t="n">
        <v>2013</v>
      </c>
      <c r="F1360" s="0" t="n">
        <v>7</v>
      </c>
      <c r="G1360" s="38" t="n">
        <v>2452442.83</v>
      </c>
    </row>
    <row r="1361" customFormat="false" ht="15" hidden="false" customHeight="false" outlineLevel="0" collapsed="false">
      <c r="A1361" s="0" t="n">
        <v>10</v>
      </c>
      <c r="B1361" s="0" t="s">
        <v>62</v>
      </c>
      <c r="C1361" s="36" t="n">
        <v>126512</v>
      </c>
      <c r="D1361" s="37" t="n">
        <v>41122</v>
      </c>
      <c r="E1361" s="0" t="n">
        <v>2013</v>
      </c>
      <c r="F1361" s="0" t="n">
        <v>7</v>
      </c>
      <c r="G1361" s="38" t="n">
        <v>7954692.59</v>
      </c>
    </row>
    <row r="1362" customFormat="false" ht="15" hidden="false" customHeight="false" outlineLevel="0" collapsed="false">
      <c r="A1362" s="0" t="n">
        <v>11</v>
      </c>
      <c r="B1362" s="0" t="s">
        <v>60</v>
      </c>
      <c r="C1362" s="36" t="n">
        <v>207499</v>
      </c>
      <c r="D1362" s="37" t="n">
        <v>41122</v>
      </c>
      <c r="E1362" s="0" t="n">
        <v>2013</v>
      </c>
      <c r="F1362" s="0" t="n">
        <v>7</v>
      </c>
      <c r="G1362" s="38" t="n">
        <v>6192386.53</v>
      </c>
    </row>
    <row r="1363" customFormat="false" ht="15" hidden="false" customHeight="false" outlineLevel="0" collapsed="false">
      <c r="A1363" s="0" t="n">
        <v>12</v>
      </c>
      <c r="B1363" s="0" t="s">
        <v>62</v>
      </c>
      <c r="C1363" s="36" t="n">
        <v>112238</v>
      </c>
      <c r="D1363" s="37" t="n">
        <v>41122</v>
      </c>
      <c r="E1363" s="0" t="n">
        <v>2013</v>
      </c>
      <c r="F1363" s="0" t="n">
        <v>7</v>
      </c>
      <c r="G1363" s="38" t="n">
        <v>4510595.28</v>
      </c>
    </row>
    <row r="1364" customFormat="false" ht="15" hidden="false" customHeight="false" outlineLevel="0" collapsed="false">
      <c r="A1364" s="0" t="n">
        <v>13</v>
      </c>
      <c r="B1364" s="0" t="s">
        <v>60</v>
      </c>
      <c r="C1364" s="36" t="n">
        <v>219622</v>
      </c>
      <c r="D1364" s="37" t="n">
        <v>41122</v>
      </c>
      <c r="E1364" s="0" t="n">
        <v>2013</v>
      </c>
      <c r="F1364" s="0" t="n">
        <v>7</v>
      </c>
      <c r="G1364" s="38" t="n">
        <v>9146166.3</v>
      </c>
    </row>
    <row r="1365" customFormat="false" ht="15" hidden="false" customHeight="false" outlineLevel="0" collapsed="false">
      <c r="A1365" s="0" t="n">
        <v>14</v>
      </c>
      <c r="B1365" s="0" t="s">
        <v>60</v>
      </c>
      <c r="C1365" s="36" t="n">
        <v>200898</v>
      </c>
      <c r="D1365" s="37" t="n">
        <v>41122</v>
      </c>
      <c r="E1365" s="0" t="n">
        <v>2013</v>
      </c>
      <c r="F1365" s="0" t="n">
        <v>7</v>
      </c>
      <c r="G1365" s="38" t="n">
        <v>7254281.04</v>
      </c>
    </row>
    <row r="1366" customFormat="false" ht="15" hidden="false" customHeight="false" outlineLevel="0" collapsed="false">
      <c r="A1366" s="0" t="n">
        <v>15</v>
      </c>
      <c r="B1366" s="0" t="s">
        <v>62</v>
      </c>
      <c r="C1366" s="36" t="n">
        <v>123737</v>
      </c>
      <c r="D1366" s="37" t="n">
        <v>41122</v>
      </c>
      <c r="E1366" s="0" t="n">
        <v>2013</v>
      </c>
      <c r="F1366" s="0" t="n">
        <v>7</v>
      </c>
      <c r="G1366" s="38" t="n">
        <v>2639762.06</v>
      </c>
    </row>
    <row r="1367" customFormat="false" ht="15" hidden="false" customHeight="false" outlineLevel="0" collapsed="false">
      <c r="A1367" s="0" t="n">
        <v>16</v>
      </c>
      <c r="B1367" s="0" t="s">
        <v>62</v>
      </c>
      <c r="C1367" s="36" t="n">
        <v>57197</v>
      </c>
      <c r="D1367" s="37" t="n">
        <v>41122</v>
      </c>
      <c r="E1367" s="0" t="n">
        <v>2013</v>
      </c>
      <c r="F1367" s="0" t="n">
        <v>7</v>
      </c>
      <c r="G1367" s="38" t="n">
        <v>2429208.91</v>
      </c>
    </row>
    <row r="1368" customFormat="false" ht="15" hidden="false" customHeight="false" outlineLevel="0" collapsed="false">
      <c r="A1368" s="0" t="n">
        <v>17</v>
      </c>
      <c r="B1368" s="0" t="s">
        <v>62</v>
      </c>
      <c r="C1368" s="36" t="n">
        <v>93188</v>
      </c>
      <c r="D1368" s="37" t="n">
        <v>41122</v>
      </c>
      <c r="E1368" s="0" t="n">
        <v>2013</v>
      </c>
      <c r="F1368" s="0" t="n">
        <v>7</v>
      </c>
      <c r="G1368" s="38" t="n">
        <v>3860431.92</v>
      </c>
    </row>
    <row r="1369" customFormat="false" ht="15" hidden="false" customHeight="false" outlineLevel="0" collapsed="false">
      <c r="A1369" s="0" t="n">
        <v>18</v>
      </c>
      <c r="B1369" s="0" t="s">
        <v>62</v>
      </c>
      <c r="C1369" s="36" t="n">
        <v>120653</v>
      </c>
      <c r="D1369" s="37" t="n">
        <v>41122</v>
      </c>
      <c r="E1369" s="0" t="n">
        <v>2013</v>
      </c>
      <c r="F1369" s="0" t="n">
        <v>7</v>
      </c>
      <c r="G1369" s="38" t="n">
        <v>4729262.13</v>
      </c>
    </row>
    <row r="1370" customFormat="false" ht="15" hidden="false" customHeight="false" outlineLevel="0" collapsed="false">
      <c r="A1370" s="0" t="n">
        <v>19</v>
      </c>
      <c r="B1370" s="0" t="s">
        <v>60</v>
      </c>
      <c r="C1370" s="36" t="n">
        <v>203819</v>
      </c>
      <c r="D1370" s="37" t="n">
        <v>41122</v>
      </c>
      <c r="E1370" s="0" t="n">
        <v>2013</v>
      </c>
      <c r="F1370" s="0" t="n">
        <v>7</v>
      </c>
      <c r="G1370" s="38" t="n">
        <v>6446578.28</v>
      </c>
    </row>
    <row r="1371" customFormat="false" ht="15" hidden="false" customHeight="false" outlineLevel="0" collapsed="false">
      <c r="A1371" s="0" t="n">
        <v>20</v>
      </c>
      <c r="B1371" s="0" t="s">
        <v>60</v>
      </c>
      <c r="C1371" s="36" t="n">
        <v>203742</v>
      </c>
      <c r="D1371" s="37" t="n">
        <v>41122</v>
      </c>
      <c r="E1371" s="0" t="n">
        <v>2013</v>
      </c>
      <c r="F1371" s="0" t="n">
        <v>7</v>
      </c>
      <c r="G1371" s="38" t="n">
        <v>9154779.23</v>
      </c>
    </row>
    <row r="1372" customFormat="false" ht="15" hidden="false" customHeight="false" outlineLevel="0" collapsed="false">
      <c r="A1372" s="0" t="n">
        <v>21</v>
      </c>
      <c r="B1372" s="0" t="s">
        <v>62</v>
      </c>
      <c r="C1372" s="36" t="n">
        <v>140167</v>
      </c>
      <c r="D1372" s="37" t="n">
        <v>41122</v>
      </c>
      <c r="E1372" s="0" t="n">
        <v>2013</v>
      </c>
      <c r="F1372" s="0" t="n">
        <v>7</v>
      </c>
      <c r="G1372" s="38" t="n">
        <v>3315443.86</v>
      </c>
    </row>
    <row r="1373" customFormat="false" ht="15" hidden="false" customHeight="false" outlineLevel="0" collapsed="false">
      <c r="A1373" s="0" t="n">
        <v>22</v>
      </c>
      <c r="B1373" s="0" t="s">
        <v>62</v>
      </c>
      <c r="C1373" s="36" t="n">
        <v>119557</v>
      </c>
      <c r="D1373" s="37" t="n">
        <v>41122</v>
      </c>
      <c r="E1373" s="0" t="n">
        <v>2013</v>
      </c>
      <c r="F1373" s="0" t="n">
        <v>7</v>
      </c>
      <c r="G1373" s="38" t="n">
        <v>4469945.61</v>
      </c>
    </row>
    <row r="1374" customFormat="false" ht="15" hidden="false" customHeight="false" outlineLevel="0" collapsed="false">
      <c r="A1374" s="0" t="n">
        <v>23</v>
      </c>
      <c r="B1374" s="0" t="s">
        <v>62</v>
      </c>
      <c r="C1374" s="36" t="n">
        <v>114533</v>
      </c>
      <c r="D1374" s="37" t="n">
        <v>41122</v>
      </c>
      <c r="E1374" s="0" t="n">
        <v>2013</v>
      </c>
      <c r="F1374" s="0" t="n">
        <v>7</v>
      </c>
      <c r="G1374" s="38" t="n">
        <v>6833387.1</v>
      </c>
    </row>
    <row r="1375" customFormat="false" ht="15" hidden="false" customHeight="false" outlineLevel="0" collapsed="false">
      <c r="A1375" s="0" t="n">
        <v>24</v>
      </c>
      <c r="B1375" s="0" t="s">
        <v>60</v>
      </c>
      <c r="C1375" s="36" t="n">
        <v>203819</v>
      </c>
      <c r="D1375" s="37" t="n">
        <v>41122</v>
      </c>
      <c r="E1375" s="0" t="n">
        <v>2013</v>
      </c>
      <c r="F1375" s="0" t="n">
        <v>7</v>
      </c>
      <c r="G1375" s="38" t="n">
        <v>6160613.98</v>
      </c>
    </row>
    <row r="1376" customFormat="false" ht="15" hidden="false" customHeight="false" outlineLevel="0" collapsed="false">
      <c r="A1376" s="0" t="n">
        <v>25</v>
      </c>
      <c r="B1376" s="0" t="s">
        <v>62</v>
      </c>
      <c r="C1376" s="36" t="n">
        <v>128107</v>
      </c>
      <c r="D1376" s="37" t="n">
        <v>41122</v>
      </c>
      <c r="E1376" s="0" t="n">
        <v>2013</v>
      </c>
      <c r="F1376" s="0" t="n">
        <v>7</v>
      </c>
      <c r="G1376" s="38" t="n">
        <v>3214488.79</v>
      </c>
    </row>
    <row r="1377" customFormat="false" ht="15" hidden="false" customHeight="false" outlineLevel="0" collapsed="false">
      <c r="A1377" s="0" t="n">
        <v>26</v>
      </c>
      <c r="B1377" s="0" t="s">
        <v>60</v>
      </c>
      <c r="C1377" s="36" t="n">
        <v>152513</v>
      </c>
      <c r="D1377" s="37" t="n">
        <v>41122</v>
      </c>
      <c r="E1377" s="0" t="n">
        <v>2013</v>
      </c>
      <c r="F1377" s="0" t="n">
        <v>7</v>
      </c>
      <c r="G1377" s="38" t="n">
        <v>4733503.81</v>
      </c>
    </row>
    <row r="1378" customFormat="false" ht="15" hidden="false" customHeight="false" outlineLevel="0" collapsed="false">
      <c r="A1378" s="0" t="n">
        <v>27</v>
      </c>
      <c r="B1378" s="0" t="s">
        <v>60</v>
      </c>
      <c r="C1378" s="36" t="n">
        <v>204184</v>
      </c>
      <c r="D1378" s="37" t="n">
        <v>41122</v>
      </c>
      <c r="E1378" s="0" t="n">
        <v>2013</v>
      </c>
      <c r="F1378" s="0" t="n">
        <v>7</v>
      </c>
      <c r="G1378" s="38" t="n">
        <v>7699317.46</v>
      </c>
    </row>
    <row r="1379" customFormat="false" ht="15" hidden="false" customHeight="false" outlineLevel="0" collapsed="false">
      <c r="A1379" s="0" t="n">
        <v>28</v>
      </c>
      <c r="B1379" s="0" t="s">
        <v>60</v>
      </c>
      <c r="C1379" s="36" t="n">
        <v>206302</v>
      </c>
      <c r="D1379" s="37" t="n">
        <v>41122</v>
      </c>
      <c r="E1379" s="0" t="n">
        <v>2013</v>
      </c>
      <c r="F1379" s="0" t="n">
        <v>7</v>
      </c>
      <c r="G1379" s="38" t="n">
        <v>5469677.38</v>
      </c>
    </row>
    <row r="1380" customFormat="false" ht="15" hidden="false" customHeight="false" outlineLevel="0" collapsed="false">
      <c r="A1380" s="0" t="n">
        <v>29</v>
      </c>
      <c r="B1380" s="0" t="s">
        <v>62</v>
      </c>
      <c r="C1380" s="36" t="n">
        <v>93638</v>
      </c>
      <c r="D1380" s="37" t="n">
        <v>41122</v>
      </c>
      <c r="E1380" s="0" t="n">
        <v>2013</v>
      </c>
      <c r="F1380" s="0" t="n">
        <v>7</v>
      </c>
      <c r="G1380" s="38" t="n">
        <v>2312704.63</v>
      </c>
    </row>
    <row r="1381" customFormat="false" ht="15" hidden="false" customHeight="false" outlineLevel="0" collapsed="false">
      <c r="A1381" s="0" t="n">
        <v>30</v>
      </c>
      <c r="B1381" s="0" t="s">
        <v>64</v>
      </c>
      <c r="C1381" s="36" t="n">
        <v>42988</v>
      </c>
      <c r="D1381" s="37" t="n">
        <v>41122</v>
      </c>
      <c r="E1381" s="0" t="n">
        <v>2013</v>
      </c>
      <c r="F1381" s="0" t="n">
        <v>7</v>
      </c>
      <c r="G1381" s="38" t="n">
        <v>1900859.96</v>
      </c>
    </row>
    <row r="1382" customFormat="false" ht="15" hidden="false" customHeight="false" outlineLevel="0" collapsed="false">
      <c r="A1382" s="0" t="n">
        <v>31</v>
      </c>
      <c r="B1382" s="0" t="s">
        <v>60</v>
      </c>
      <c r="C1382" s="36" t="n">
        <v>203750</v>
      </c>
      <c r="D1382" s="37" t="n">
        <v>41122</v>
      </c>
      <c r="E1382" s="0" t="n">
        <v>2013</v>
      </c>
      <c r="F1382" s="0" t="n">
        <v>7</v>
      </c>
      <c r="G1382" s="38" t="n">
        <v>6145878.12</v>
      </c>
    </row>
    <row r="1383" customFormat="false" ht="15" hidden="false" customHeight="false" outlineLevel="0" collapsed="false">
      <c r="A1383" s="0" t="n">
        <v>32</v>
      </c>
      <c r="B1383" s="0" t="s">
        <v>60</v>
      </c>
      <c r="C1383" s="36" t="n">
        <v>203007</v>
      </c>
      <c r="D1383" s="37" t="n">
        <v>41122</v>
      </c>
      <c r="E1383" s="0" t="n">
        <v>2013</v>
      </c>
      <c r="F1383" s="0" t="n">
        <v>7</v>
      </c>
      <c r="G1383" s="38" t="n">
        <v>5452808.8</v>
      </c>
    </row>
    <row r="1384" customFormat="false" ht="15" hidden="false" customHeight="false" outlineLevel="0" collapsed="false">
      <c r="A1384" s="0" t="n">
        <v>33</v>
      </c>
      <c r="B1384" s="0" t="s">
        <v>60</v>
      </c>
      <c r="C1384" s="36" t="n">
        <v>39690</v>
      </c>
      <c r="D1384" s="37" t="n">
        <v>41122</v>
      </c>
      <c r="E1384" s="0" t="n">
        <v>2013</v>
      </c>
      <c r="F1384" s="0" t="n">
        <v>7</v>
      </c>
      <c r="G1384" s="38" t="n">
        <v>1163453.51</v>
      </c>
    </row>
    <row r="1385" customFormat="false" ht="15" hidden="false" customHeight="false" outlineLevel="0" collapsed="false">
      <c r="A1385" s="0" t="n">
        <v>34</v>
      </c>
      <c r="B1385" s="0" t="s">
        <v>60</v>
      </c>
      <c r="C1385" s="36" t="n">
        <v>158114</v>
      </c>
      <c r="D1385" s="37" t="n">
        <v>41122</v>
      </c>
      <c r="E1385" s="0" t="n">
        <v>2013</v>
      </c>
      <c r="F1385" s="0" t="n">
        <v>7</v>
      </c>
      <c r="G1385" s="38" t="n">
        <v>4295189.72</v>
      </c>
    </row>
    <row r="1386" customFormat="false" ht="15" hidden="false" customHeight="false" outlineLevel="0" collapsed="false">
      <c r="A1386" s="0" t="n">
        <v>35</v>
      </c>
      <c r="B1386" s="0" t="s">
        <v>62</v>
      </c>
      <c r="C1386" s="36" t="n">
        <v>103681</v>
      </c>
      <c r="D1386" s="37" t="n">
        <v>41122</v>
      </c>
      <c r="E1386" s="0" t="n">
        <v>2013</v>
      </c>
      <c r="F1386" s="0" t="n">
        <v>7</v>
      </c>
      <c r="G1386" s="38" t="n">
        <v>3974137.53</v>
      </c>
    </row>
    <row r="1387" customFormat="false" ht="15" hidden="false" customHeight="false" outlineLevel="0" collapsed="false">
      <c r="A1387" s="0" t="n">
        <v>36</v>
      </c>
      <c r="B1387" s="0" t="s">
        <v>60</v>
      </c>
      <c r="C1387" s="36" t="n">
        <v>39910</v>
      </c>
      <c r="D1387" s="37" t="n">
        <v>41122</v>
      </c>
      <c r="E1387" s="0" t="n">
        <v>2013</v>
      </c>
      <c r="F1387" s="0" t="n">
        <v>7</v>
      </c>
      <c r="G1387" s="38" t="n">
        <v>1309457.75</v>
      </c>
    </row>
    <row r="1388" customFormat="false" ht="15" hidden="false" customHeight="false" outlineLevel="0" collapsed="false">
      <c r="A1388" s="0" t="n">
        <v>37</v>
      </c>
      <c r="B1388" s="0" t="s">
        <v>64</v>
      </c>
      <c r="C1388" s="36" t="n">
        <v>39910</v>
      </c>
      <c r="D1388" s="37" t="n">
        <v>41122</v>
      </c>
      <c r="E1388" s="0" t="n">
        <v>2013</v>
      </c>
      <c r="F1388" s="0" t="n">
        <v>7</v>
      </c>
      <c r="G1388" s="38" t="n">
        <v>2295304.27</v>
      </c>
    </row>
    <row r="1389" customFormat="false" ht="15" hidden="false" customHeight="false" outlineLevel="0" collapsed="false">
      <c r="A1389" s="0" t="n">
        <v>38</v>
      </c>
      <c r="B1389" s="0" t="s">
        <v>64</v>
      </c>
      <c r="C1389" s="36" t="n">
        <v>39690</v>
      </c>
      <c r="D1389" s="37" t="n">
        <v>41122</v>
      </c>
      <c r="E1389" s="0" t="n">
        <v>2013</v>
      </c>
      <c r="F1389" s="0" t="n">
        <v>7</v>
      </c>
      <c r="G1389" s="38" t="n">
        <v>1872023.12</v>
      </c>
    </row>
    <row r="1390" customFormat="false" ht="15" hidden="false" customHeight="false" outlineLevel="0" collapsed="false">
      <c r="A1390" s="0" t="n">
        <v>39</v>
      </c>
      <c r="B1390" s="0" t="s">
        <v>60</v>
      </c>
      <c r="C1390" s="36" t="n">
        <v>184109</v>
      </c>
      <c r="D1390" s="37" t="n">
        <v>41122</v>
      </c>
      <c r="E1390" s="0" t="n">
        <v>2013</v>
      </c>
      <c r="F1390" s="0" t="n">
        <v>7</v>
      </c>
      <c r="G1390" s="38" t="n">
        <v>7486945.41</v>
      </c>
    </row>
    <row r="1391" customFormat="false" ht="15" hidden="false" customHeight="false" outlineLevel="0" collapsed="false">
      <c r="A1391" s="0" t="n">
        <v>40</v>
      </c>
      <c r="B1391" s="0" t="s">
        <v>60</v>
      </c>
      <c r="C1391" s="36" t="n">
        <v>155083</v>
      </c>
      <c r="D1391" s="37" t="n">
        <v>41122</v>
      </c>
      <c r="E1391" s="0" t="n">
        <v>2013</v>
      </c>
      <c r="F1391" s="0" t="n">
        <v>7</v>
      </c>
      <c r="G1391" s="38" t="n">
        <v>4367740</v>
      </c>
    </row>
    <row r="1392" customFormat="false" ht="15" hidden="false" customHeight="false" outlineLevel="0" collapsed="false">
      <c r="A1392" s="0" t="n">
        <v>41</v>
      </c>
      <c r="B1392" s="0" t="s">
        <v>60</v>
      </c>
      <c r="C1392" s="36" t="n">
        <v>196321</v>
      </c>
      <c r="D1392" s="37" t="n">
        <v>41122</v>
      </c>
      <c r="E1392" s="0" t="n">
        <v>2013</v>
      </c>
      <c r="F1392" s="0" t="n">
        <v>7</v>
      </c>
      <c r="G1392" s="38" t="n">
        <v>6507090.9</v>
      </c>
    </row>
    <row r="1393" customFormat="false" ht="15" hidden="false" customHeight="false" outlineLevel="0" collapsed="false">
      <c r="A1393" s="0" t="n">
        <v>42</v>
      </c>
      <c r="B1393" s="0" t="s">
        <v>64</v>
      </c>
      <c r="C1393" s="36" t="n">
        <v>39690</v>
      </c>
      <c r="D1393" s="37" t="n">
        <v>41122</v>
      </c>
      <c r="E1393" s="0" t="n">
        <v>2013</v>
      </c>
      <c r="F1393" s="0" t="n">
        <v>7</v>
      </c>
      <c r="G1393" s="38" t="n">
        <v>2438523.43</v>
      </c>
    </row>
    <row r="1394" customFormat="false" ht="15" hidden="false" customHeight="false" outlineLevel="0" collapsed="false">
      <c r="A1394" s="0" t="n">
        <v>43</v>
      </c>
      <c r="B1394" s="0" t="s">
        <v>64</v>
      </c>
      <c r="C1394" s="36" t="n">
        <v>41062</v>
      </c>
      <c r="D1394" s="37" t="n">
        <v>41122</v>
      </c>
      <c r="E1394" s="0" t="n">
        <v>2013</v>
      </c>
      <c r="F1394" s="0" t="n">
        <v>7</v>
      </c>
      <c r="G1394" s="38" t="n">
        <v>2738450.8</v>
      </c>
    </row>
    <row r="1395" customFormat="false" ht="15" hidden="false" customHeight="false" outlineLevel="0" collapsed="false">
      <c r="A1395" s="0" t="n">
        <v>44</v>
      </c>
      <c r="B1395" s="0" t="s">
        <v>64</v>
      </c>
      <c r="C1395" s="36" t="n">
        <v>39910</v>
      </c>
      <c r="D1395" s="37" t="n">
        <v>41122</v>
      </c>
      <c r="E1395" s="0" t="n">
        <v>2013</v>
      </c>
      <c r="F1395" s="0" t="n">
        <v>7</v>
      </c>
      <c r="G1395" s="38" t="n">
        <v>1485197.32</v>
      </c>
    </row>
    <row r="1396" customFormat="false" ht="15" hidden="false" customHeight="false" outlineLevel="0" collapsed="false">
      <c r="A1396" s="0" t="n">
        <v>45</v>
      </c>
      <c r="B1396" s="0" t="s">
        <v>62</v>
      </c>
      <c r="C1396" s="36" t="n">
        <v>118221</v>
      </c>
      <c r="D1396" s="37" t="n">
        <v>41122</v>
      </c>
      <c r="E1396" s="0" t="n">
        <v>2013</v>
      </c>
      <c r="F1396" s="0" t="n">
        <v>7</v>
      </c>
      <c r="G1396" s="38" t="n">
        <v>3219091.32</v>
      </c>
    </row>
    <row r="1397" customFormat="false" ht="15" hidden="false" customHeight="false" outlineLevel="0" collapsed="false">
      <c r="A1397" s="0" t="n">
        <v>1</v>
      </c>
      <c r="B1397" s="0" t="s">
        <v>60</v>
      </c>
      <c r="C1397" s="36" t="n">
        <v>151315</v>
      </c>
      <c r="D1397" s="37" t="n">
        <v>41153</v>
      </c>
      <c r="E1397" s="0" t="n">
        <v>2013</v>
      </c>
      <c r="F1397" s="0" t="n">
        <v>8</v>
      </c>
      <c r="G1397" s="38" t="n">
        <v>6599748.95</v>
      </c>
    </row>
    <row r="1398" customFormat="false" ht="15" hidden="false" customHeight="false" outlineLevel="0" collapsed="false">
      <c r="A1398" s="0" t="n">
        <v>2</v>
      </c>
      <c r="B1398" s="0" t="s">
        <v>60</v>
      </c>
      <c r="C1398" s="36" t="n">
        <v>202307</v>
      </c>
      <c r="D1398" s="37" t="n">
        <v>41153</v>
      </c>
      <c r="E1398" s="0" t="n">
        <v>2013</v>
      </c>
      <c r="F1398" s="0" t="n">
        <v>8</v>
      </c>
      <c r="G1398" s="38" t="n">
        <v>7860418.82</v>
      </c>
    </row>
    <row r="1399" customFormat="false" ht="15" hidden="false" customHeight="false" outlineLevel="0" collapsed="false">
      <c r="A1399" s="0" t="n">
        <v>3</v>
      </c>
      <c r="B1399" s="0" t="s">
        <v>62</v>
      </c>
      <c r="C1399" s="36" t="n">
        <v>37392</v>
      </c>
      <c r="D1399" s="37" t="n">
        <v>41153</v>
      </c>
      <c r="E1399" s="0" t="n">
        <v>2013</v>
      </c>
      <c r="F1399" s="0" t="n">
        <v>8</v>
      </c>
      <c r="G1399" s="38" t="n">
        <v>1746754.74</v>
      </c>
    </row>
    <row r="1400" customFormat="false" ht="15" hidden="false" customHeight="false" outlineLevel="0" collapsed="false">
      <c r="A1400" s="0" t="n">
        <v>4</v>
      </c>
      <c r="B1400" s="0" t="s">
        <v>60</v>
      </c>
      <c r="C1400" s="36" t="n">
        <v>205863</v>
      </c>
      <c r="D1400" s="37" t="n">
        <v>41153</v>
      </c>
      <c r="E1400" s="0" t="n">
        <v>2013</v>
      </c>
      <c r="F1400" s="0" t="n">
        <v>8</v>
      </c>
      <c r="G1400" s="38" t="n">
        <v>9021399.63</v>
      </c>
    </row>
    <row r="1401" customFormat="false" ht="15" hidden="false" customHeight="false" outlineLevel="0" collapsed="false">
      <c r="A1401" s="0" t="n">
        <v>5</v>
      </c>
      <c r="B1401" s="0" t="s">
        <v>62</v>
      </c>
      <c r="C1401" s="36" t="n">
        <v>34875</v>
      </c>
      <c r="D1401" s="37" t="n">
        <v>41153</v>
      </c>
      <c r="E1401" s="0" t="n">
        <v>2013</v>
      </c>
      <c r="F1401" s="0" t="n">
        <v>8</v>
      </c>
      <c r="G1401" s="38" t="n">
        <v>1365911.83</v>
      </c>
    </row>
    <row r="1402" customFormat="false" ht="15" hidden="false" customHeight="false" outlineLevel="0" collapsed="false">
      <c r="A1402" s="0" t="n">
        <v>6</v>
      </c>
      <c r="B1402" s="0" t="s">
        <v>60</v>
      </c>
      <c r="C1402" s="36" t="n">
        <v>202505</v>
      </c>
      <c r="D1402" s="37" t="n">
        <v>41153</v>
      </c>
      <c r="E1402" s="0" t="n">
        <v>2013</v>
      </c>
      <c r="F1402" s="0" t="n">
        <v>8</v>
      </c>
      <c r="G1402" s="38" t="n">
        <v>6211744.05</v>
      </c>
    </row>
    <row r="1403" customFormat="false" ht="15" hidden="false" customHeight="false" outlineLevel="0" collapsed="false">
      <c r="A1403" s="0" t="n">
        <v>7</v>
      </c>
      <c r="B1403" s="0" t="s">
        <v>62</v>
      </c>
      <c r="C1403" s="36" t="n">
        <v>70713</v>
      </c>
      <c r="D1403" s="37" t="n">
        <v>41153</v>
      </c>
      <c r="E1403" s="0" t="n">
        <v>2013</v>
      </c>
      <c r="F1403" s="0" t="n">
        <v>8</v>
      </c>
      <c r="G1403" s="38" t="n">
        <v>2339907.8</v>
      </c>
    </row>
    <row r="1404" customFormat="false" ht="15" hidden="false" customHeight="false" outlineLevel="0" collapsed="false">
      <c r="A1404" s="0" t="n">
        <v>8</v>
      </c>
      <c r="B1404" s="0" t="s">
        <v>60</v>
      </c>
      <c r="C1404" s="36" t="n">
        <v>155078</v>
      </c>
      <c r="D1404" s="37" t="n">
        <v>41153</v>
      </c>
      <c r="E1404" s="0" t="n">
        <v>2013</v>
      </c>
      <c r="F1404" s="0" t="n">
        <v>8</v>
      </c>
      <c r="G1404" s="38" t="n">
        <v>3837232.38</v>
      </c>
    </row>
    <row r="1405" customFormat="false" ht="15" hidden="false" customHeight="false" outlineLevel="0" collapsed="false">
      <c r="A1405" s="0" t="n">
        <v>9</v>
      </c>
      <c r="B1405" s="0" t="s">
        <v>62</v>
      </c>
      <c r="C1405" s="36" t="n">
        <v>125833</v>
      </c>
      <c r="D1405" s="37" t="n">
        <v>41153</v>
      </c>
      <c r="E1405" s="0" t="n">
        <v>2013</v>
      </c>
      <c r="F1405" s="0" t="n">
        <v>8</v>
      </c>
      <c r="G1405" s="38" t="n">
        <v>2312716.24</v>
      </c>
    </row>
    <row r="1406" customFormat="false" ht="15" hidden="false" customHeight="false" outlineLevel="0" collapsed="false">
      <c r="A1406" s="0" t="n">
        <v>10</v>
      </c>
      <c r="B1406" s="0" t="s">
        <v>62</v>
      </c>
      <c r="C1406" s="36" t="n">
        <v>126512</v>
      </c>
      <c r="D1406" s="37" t="n">
        <v>41153</v>
      </c>
      <c r="E1406" s="0" t="n">
        <v>2013</v>
      </c>
      <c r="F1406" s="0" t="n">
        <v>8</v>
      </c>
      <c r="G1406" s="38" t="n">
        <v>7217735.52</v>
      </c>
    </row>
    <row r="1407" customFormat="false" ht="15" hidden="false" customHeight="false" outlineLevel="0" collapsed="false">
      <c r="A1407" s="0" t="n">
        <v>11</v>
      </c>
      <c r="B1407" s="0" t="s">
        <v>60</v>
      </c>
      <c r="C1407" s="36" t="n">
        <v>207499</v>
      </c>
      <c r="D1407" s="37" t="n">
        <v>41153</v>
      </c>
      <c r="E1407" s="0" t="n">
        <v>2013</v>
      </c>
      <c r="F1407" s="0" t="n">
        <v>8</v>
      </c>
      <c r="G1407" s="38" t="n">
        <v>5532335.84</v>
      </c>
    </row>
    <row r="1408" customFormat="false" ht="15" hidden="false" customHeight="false" outlineLevel="0" collapsed="false">
      <c r="A1408" s="0" t="n">
        <v>12</v>
      </c>
      <c r="B1408" s="0" t="s">
        <v>62</v>
      </c>
      <c r="C1408" s="36" t="n">
        <v>112238</v>
      </c>
      <c r="D1408" s="37" t="n">
        <v>41153</v>
      </c>
      <c r="E1408" s="0" t="n">
        <v>2013</v>
      </c>
      <c r="F1408" s="0" t="n">
        <v>8</v>
      </c>
      <c r="G1408" s="38" t="n">
        <v>3924139.71</v>
      </c>
    </row>
    <row r="1409" customFormat="false" ht="15" hidden="false" customHeight="false" outlineLevel="0" collapsed="false">
      <c r="A1409" s="0" t="n">
        <v>13</v>
      </c>
      <c r="B1409" s="0" t="s">
        <v>60</v>
      </c>
      <c r="C1409" s="36" t="n">
        <v>219622</v>
      </c>
      <c r="D1409" s="37" t="n">
        <v>41153</v>
      </c>
      <c r="E1409" s="0" t="n">
        <v>2013</v>
      </c>
      <c r="F1409" s="0" t="n">
        <v>8</v>
      </c>
      <c r="G1409" s="38" t="n">
        <v>8535162.45</v>
      </c>
    </row>
    <row r="1410" customFormat="false" ht="15" hidden="false" customHeight="false" outlineLevel="0" collapsed="false">
      <c r="A1410" s="0" t="n">
        <v>14</v>
      </c>
      <c r="B1410" s="0" t="s">
        <v>60</v>
      </c>
      <c r="C1410" s="36" t="n">
        <v>200898</v>
      </c>
      <c r="D1410" s="37" t="n">
        <v>41153</v>
      </c>
      <c r="E1410" s="0" t="n">
        <v>2013</v>
      </c>
      <c r="F1410" s="0" t="n">
        <v>8</v>
      </c>
      <c r="G1410" s="38" t="n">
        <v>7029340.43</v>
      </c>
    </row>
    <row r="1411" customFormat="false" ht="15" hidden="false" customHeight="false" outlineLevel="0" collapsed="false">
      <c r="A1411" s="0" t="n">
        <v>15</v>
      </c>
      <c r="B1411" s="0" t="s">
        <v>62</v>
      </c>
      <c r="C1411" s="36" t="n">
        <v>123737</v>
      </c>
      <c r="D1411" s="37" t="n">
        <v>41153</v>
      </c>
      <c r="E1411" s="0" t="n">
        <v>2013</v>
      </c>
      <c r="F1411" s="0" t="n">
        <v>8</v>
      </c>
      <c r="G1411" s="38" t="n">
        <v>2365689.93</v>
      </c>
    </row>
    <row r="1412" customFormat="false" ht="15" hidden="false" customHeight="false" outlineLevel="0" collapsed="false">
      <c r="A1412" s="0" t="n">
        <v>16</v>
      </c>
      <c r="B1412" s="0" t="s">
        <v>62</v>
      </c>
      <c r="C1412" s="36" t="n">
        <v>57197</v>
      </c>
      <c r="D1412" s="37" t="n">
        <v>41153</v>
      </c>
      <c r="E1412" s="0" t="n">
        <v>2013</v>
      </c>
      <c r="F1412" s="0" t="n">
        <v>8</v>
      </c>
      <c r="G1412" s="38" t="n">
        <v>2177865.99</v>
      </c>
    </row>
    <row r="1413" customFormat="false" ht="15" hidden="false" customHeight="false" outlineLevel="0" collapsed="false">
      <c r="A1413" s="0" t="n">
        <v>17</v>
      </c>
      <c r="B1413" s="0" t="s">
        <v>62</v>
      </c>
      <c r="C1413" s="36" t="n">
        <v>93188</v>
      </c>
      <c r="D1413" s="37" t="n">
        <v>41153</v>
      </c>
      <c r="E1413" s="0" t="n">
        <v>2013</v>
      </c>
      <c r="F1413" s="0" t="n">
        <v>8</v>
      </c>
      <c r="G1413" s="38" t="n">
        <v>4509867.09</v>
      </c>
    </row>
    <row r="1414" customFormat="false" ht="15" hidden="false" customHeight="false" outlineLevel="0" collapsed="false">
      <c r="A1414" s="0" t="n">
        <v>18</v>
      </c>
      <c r="B1414" s="0" t="s">
        <v>62</v>
      </c>
      <c r="C1414" s="36" t="n">
        <v>120653</v>
      </c>
      <c r="D1414" s="37" t="n">
        <v>41153</v>
      </c>
      <c r="E1414" s="0" t="n">
        <v>2013</v>
      </c>
      <c r="F1414" s="0" t="n">
        <v>8</v>
      </c>
      <c r="G1414" s="38" t="n">
        <v>4330298.74</v>
      </c>
    </row>
    <row r="1415" customFormat="false" ht="15" hidden="false" customHeight="false" outlineLevel="0" collapsed="false">
      <c r="A1415" s="0" t="n">
        <v>19</v>
      </c>
      <c r="B1415" s="0" t="s">
        <v>60</v>
      </c>
      <c r="C1415" s="36" t="n">
        <v>203819</v>
      </c>
      <c r="D1415" s="37" t="n">
        <v>41153</v>
      </c>
      <c r="E1415" s="0" t="n">
        <v>2013</v>
      </c>
      <c r="F1415" s="0" t="n">
        <v>8</v>
      </c>
      <c r="G1415" s="38" t="n">
        <v>5946888.81</v>
      </c>
    </row>
    <row r="1416" customFormat="false" ht="15" hidden="false" customHeight="false" outlineLevel="0" collapsed="false">
      <c r="A1416" s="0" t="n">
        <v>20</v>
      </c>
      <c r="B1416" s="0" t="s">
        <v>60</v>
      </c>
      <c r="C1416" s="36" t="n">
        <v>203742</v>
      </c>
      <c r="D1416" s="37" t="n">
        <v>41153</v>
      </c>
      <c r="E1416" s="0" t="n">
        <v>2013</v>
      </c>
      <c r="F1416" s="0" t="n">
        <v>8</v>
      </c>
      <c r="G1416" s="38" t="n">
        <v>8807248.85</v>
      </c>
    </row>
    <row r="1417" customFormat="false" ht="15" hidden="false" customHeight="false" outlineLevel="0" collapsed="false">
      <c r="A1417" s="0" t="n">
        <v>21</v>
      </c>
      <c r="B1417" s="0" t="s">
        <v>62</v>
      </c>
      <c r="C1417" s="36" t="n">
        <v>140167</v>
      </c>
      <c r="D1417" s="37" t="n">
        <v>41153</v>
      </c>
      <c r="E1417" s="0" t="n">
        <v>2013</v>
      </c>
      <c r="F1417" s="0" t="n">
        <v>8</v>
      </c>
      <c r="G1417" s="38" t="n">
        <v>2771790.69</v>
      </c>
    </row>
    <row r="1418" customFormat="false" ht="15" hidden="false" customHeight="false" outlineLevel="0" collapsed="false">
      <c r="A1418" s="0" t="n">
        <v>22</v>
      </c>
      <c r="B1418" s="0" t="s">
        <v>62</v>
      </c>
      <c r="C1418" s="36" t="n">
        <v>119557</v>
      </c>
      <c r="D1418" s="37" t="n">
        <v>41153</v>
      </c>
      <c r="E1418" s="0" t="n">
        <v>2013</v>
      </c>
      <c r="F1418" s="0" t="n">
        <v>8</v>
      </c>
      <c r="G1418" s="38" t="n">
        <v>4101309.39</v>
      </c>
    </row>
    <row r="1419" customFormat="false" ht="15" hidden="false" customHeight="false" outlineLevel="0" collapsed="false">
      <c r="A1419" s="0" t="n">
        <v>23</v>
      </c>
      <c r="B1419" s="0" t="s">
        <v>62</v>
      </c>
      <c r="C1419" s="36" t="n">
        <v>114533</v>
      </c>
      <c r="D1419" s="37" t="n">
        <v>41153</v>
      </c>
      <c r="E1419" s="0" t="n">
        <v>2013</v>
      </c>
      <c r="F1419" s="0" t="n">
        <v>8</v>
      </c>
      <c r="G1419" s="38" t="n">
        <v>5782328.43</v>
      </c>
    </row>
    <row r="1420" customFormat="false" ht="15" hidden="false" customHeight="false" outlineLevel="0" collapsed="false">
      <c r="A1420" s="0" t="n">
        <v>24</v>
      </c>
      <c r="B1420" s="0" t="s">
        <v>60</v>
      </c>
      <c r="C1420" s="36" t="n">
        <v>203819</v>
      </c>
      <c r="D1420" s="37" t="n">
        <v>41153</v>
      </c>
      <c r="E1420" s="0" t="n">
        <v>2013</v>
      </c>
      <c r="F1420" s="0" t="n">
        <v>8</v>
      </c>
      <c r="G1420" s="38" t="n">
        <v>5645258.39</v>
      </c>
    </row>
    <row r="1421" customFormat="false" ht="15" hidden="false" customHeight="false" outlineLevel="0" collapsed="false">
      <c r="A1421" s="0" t="n">
        <v>25</v>
      </c>
      <c r="B1421" s="0" t="s">
        <v>62</v>
      </c>
      <c r="C1421" s="36" t="n">
        <v>128107</v>
      </c>
      <c r="D1421" s="37" t="n">
        <v>41153</v>
      </c>
      <c r="E1421" s="0" t="n">
        <v>2013</v>
      </c>
      <c r="F1421" s="0" t="n">
        <v>8</v>
      </c>
      <c r="G1421" s="38" t="n">
        <v>2876638.19</v>
      </c>
    </row>
    <row r="1422" customFormat="false" ht="15" hidden="false" customHeight="false" outlineLevel="0" collapsed="false">
      <c r="A1422" s="0" t="n">
        <v>26</v>
      </c>
      <c r="B1422" s="0" t="s">
        <v>60</v>
      </c>
      <c r="C1422" s="36" t="n">
        <v>152513</v>
      </c>
      <c r="D1422" s="37" t="n">
        <v>41153</v>
      </c>
      <c r="E1422" s="0" t="n">
        <v>2013</v>
      </c>
      <c r="F1422" s="0" t="n">
        <v>8</v>
      </c>
      <c r="G1422" s="38" t="n">
        <v>4306817.66</v>
      </c>
    </row>
    <row r="1423" customFormat="false" ht="15" hidden="false" customHeight="false" outlineLevel="0" collapsed="false">
      <c r="A1423" s="0" t="n">
        <v>27</v>
      </c>
      <c r="B1423" s="0" t="s">
        <v>60</v>
      </c>
      <c r="C1423" s="36" t="n">
        <v>204184</v>
      </c>
      <c r="D1423" s="37" t="n">
        <v>41153</v>
      </c>
      <c r="E1423" s="0" t="n">
        <v>2013</v>
      </c>
      <c r="F1423" s="0" t="n">
        <v>8</v>
      </c>
      <c r="G1423" s="38" t="n">
        <v>6913537.95</v>
      </c>
    </row>
    <row r="1424" customFormat="false" ht="15" hidden="false" customHeight="false" outlineLevel="0" collapsed="false">
      <c r="A1424" s="0" t="n">
        <v>28</v>
      </c>
      <c r="B1424" s="0" t="s">
        <v>60</v>
      </c>
      <c r="C1424" s="36" t="n">
        <v>206302</v>
      </c>
      <c r="D1424" s="37" t="n">
        <v>41153</v>
      </c>
      <c r="E1424" s="0" t="n">
        <v>2013</v>
      </c>
      <c r="F1424" s="0" t="n">
        <v>8</v>
      </c>
      <c r="G1424" s="38" t="n">
        <v>5277186.72</v>
      </c>
    </row>
    <row r="1425" customFormat="false" ht="15" hidden="false" customHeight="false" outlineLevel="0" collapsed="false">
      <c r="A1425" s="0" t="n">
        <v>29</v>
      </c>
      <c r="B1425" s="0" t="s">
        <v>62</v>
      </c>
      <c r="C1425" s="36" t="n">
        <v>93638</v>
      </c>
      <c r="D1425" s="37" t="n">
        <v>41153</v>
      </c>
      <c r="E1425" s="0" t="n">
        <v>2013</v>
      </c>
      <c r="F1425" s="0" t="n">
        <v>8</v>
      </c>
      <c r="G1425" s="38" t="n">
        <v>2143444.68</v>
      </c>
    </row>
    <row r="1426" customFormat="false" ht="15" hidden="false" customHeight="false" outlineLevel="0" collapsed="false">
      <c r="A1426" s="0" t="n">
        <v>30</v>
      </c>
      <c r="B1426" s="0" t="s">
        <v>64</v>
      </c>
      <c r="C1426" s="36" t="n">
        <v>42988</v>
      </c>
      <c r="D1426" s="37" t="n">
        <v>41153</v>
      </c>
      <c r="E1426" s="0" t="n">
        <v>2013</v>
      </c>
      <c r="F1426" s="0" t="n">
        <v>8</v>
      </c>
      <c r="G1426" s="38" t="n">
        <v>1868284.02</v>
      </c>
    </row>
    <row r="1427" customFormat="false" ht="15" hidden="false" customHeight="false" outlineLevel="0" collapsed="false">
      <c r="A1427" s="0" t="n">
        <v>31</v>
      </c>
      <c r="B1427" s="0" t="s">
        <v>60</v>
      </c>
      <c r="C1427" s="36" t="n">
        <v>203750</v>
      </c>
      <c r="D1427" s="37" t="n">
        <v>41153</v>
      </c>
      <c r="E1427" s="0" t="n">
        <v>2013</v>
      </c>
      <c r="F1427" s="0" t="n">
        <v>8</v>
      </c>
      <c r="G1427" s="38" t="n">
        <v>5727495.35</v>
      </c>
    </row>
    <row r="1428" customFormat="false" ht="15" hidden="false" customHeight="false" outlineLevel="0" collapsed="false">
      <c r="A1428" s="0" t="n">
        <v>32</v>
      </c>
      <c r="B1428" s="0" t="s">
        <v>60</v>
      </c>
      <c r="C1428" s="36" t="n">
        <v>203007</v>
      </c>
      <c r="D1428" s="37" t="n">
        <v>41153</v>
      </c>
      <c r="E1428" s="0" t="n">
        <v>2013</v>
      </c>
      <c r="F1428" s="0" t="n">
        <v>8</v>
      </c>
      <c r="G1428" s="38" t="n">
        <v>4942944.27</v>
      </c>
    </row>
    <row r="1429" customFormat="false" ht="15" hidden="false" customHeight="false" outlineLevel="0" collapsed="false">
      <c r="A1429" s="0" t="n">
        <v>33</v>
      </c>
      <c r="B1429" s="0" t="s">
        <v>60</v>
      </c>
      <c r="C1429" s="36" t="n">
        <v>39690</v>
      </c>
      <c r="D1429" s="37" t="n">
        <v>41153</v>
      </c>
      <c r="E1429" s="0" t="n">
        <v>2013</v>
      </c>
      <c r="F1429" s="0" t="n">
        <v>8</v>
      </c>
      <c r="G1429" s="38" t="n">
        <v>1135210.81</v>
      </c>
    </row>
    <row r="1430" customFormat="false" ht="15" hidden="false" customHeight="false" outlineLevel="0" collapsed="false">
      <c r="A1430" s="0" t="n">
        <v>34</v>
      </c>
      <c r="B1430" s="0" t="s">
        <v>60</v>
      </c>
      <c r="C1430" s="36" t="n">
        <v>158114</v>
      </c>
      <c r="D1430" s="37" t="n">
        <v>41153</v>
      </c>
      <c r="E1430" s="0" t="n">
        <v>2013</v>
      </c>
      <c r="F1430" s="0" t="n">
        <v>8</v>
      </c>
      <c r="G1430" s="38" t="n">
        <v>4080131.99</v>
      </c>
    </row>
    <row r="1431" customFormat="false" ht="15" hidden="false" customHeight="false" outlineLevel="0" collapsed="false">
      <c r="A1431" s="0" t="n">
        <v>35</v>
      </c>
      <c r="B1431" s="0" t="s">
        <v>62</v>
      </c>
      <c r="C1431" s="36" t="n">
        <v>103681</v>
      </c>
      <c r="D1431" s="37" t="n">
        <v>41153</v>
      </c>
      <c r="E1431" s="0" t="n">
        <v>2013</v>
      </c>
      <c r="F1431" s="0" t="n">
        <v>8</v>
      </c>
      <c r="G1431" s="38" t="n">
        <v>3640251.76</v>
      </c>
    </row>
    <row r="1432" customFormat="false" ht="15" hidden="false" customHeight="false" outlineLevel="0" collapsed="false">
      <c r="A1432" s="0" t="n">
        <v>36</v>
      </c>
      <c r="B1432" s="0" t="s">
        <v>60</v>
      </c>
      <c r="C1432" s="36" t="n">
        <v>39910</v>
      </c>
      <c r="D1432" s="37" t="n">
        <v>41153</v>
      </c>
      <c r="E1432" s="0" t="n">
        <v>2013</v>
      </c>
      <c r="F1432" s="0" t="n">
        <v>8</v>
      </c>
      <c r="G1432" s="38" t="n">
        <v>1239286.86</v>
      </c>
    </row>
    <row r="1433" customFormat="false" ht="15" hidden="false" customHeight="false" outlineLevel="0" collapsed="false">
      <c r="A1433" s="0" t="n">
        <v>37</v>
      </c>
      <c r="B1433" s="0" t="s">
        <v>64</v>
      </c>
      <c r="C1433" s="36" t="n">
        <v>39910</v>
      </c>
      <c r="D1433" s="37" t="n">
        <v>41153</v>
      </c>
      <c r="E1433" s="0" t="n">
        <v>2013</v>
      </c>
      <c r="F1433" s="0" t="n">
        <v>8</v>
      </c>
      <c r="G1433" s="38" t="n">
        <v>2246798.97</v>
      </c>
    </row>
    <row r="1434" customFormat="false" ht="15" hidden="false" customHeight="false" outlineLevel="0" collapsed="false">
      <c r="A1434" s="0" t="n">
        <v>38</v>
      </c>
      <c r="B1434" s="0" t="s">
        <v>64</v>
      </c>
      <c r="C1434" s="36" t="n">
        <v>39690</v>
      </c>
      <c r="D1434" s="37" t="n">
        <v>41153</v>
      </c>
      <c r="E1434" s="0" t="n">
        <v>2013</v>
      </c>
      <c r="F1434" s="0" t="n">
        <v>8</v>
      </c>
      <c r="G1434" s="38" t="n">
        <v>1860282.24</v>
      </c>
    </row>
    <row r="1435" customFormat="false" ht="15" hidden="false" customHeight="false" outlineLevel="0" collapsed="false">
      <c r="A1435" s="0" t="n">
        <v>39</v>
      </c>
      <c r="B1435" s="0" t="s">
        <v>60</v>
      </c>
      <c r="C1435" s="36" t="n">
        <v>184109</v>
      </c>
      <c r="D1435" s="37" t="n">
        <v>41153</v>
      </c>
      <c r="E1435" s="0" t="n">
        <v>2013</v>
      </c>
      <c r="F1435" s="0" t="n">
        <v>8</v>
      </c>
      <c r="G1435" s="38" t="n">
        <v>6558536.51</v>
      </c>
    </row>
    <row r="1436" customFormat="false" ht="15" hidden="false" customHeight="false" outlineLevel="0" collapsed="false">
      <c r="A1436" s="0" t="n">
        <v>40</v>
      </c>
      <c r="B1436" s="0" t="s">
        <v>60</v>
      </c>
      <c r="C1436" s="36" t="n">
        <v>155083</v>
      </c>
      <c r="D1436" s="37" t="n">
        <v>41153</v>
      </c>
      <c r="E1436" s="0" t="n">
        <v>2013</v>
      </c>
      <c r="F1436" s="0" t="n">
        <v>8</v>
      </c>
      <c r="G1436" s="38" t="n">
        <v>4114782.63</v>
      </c>
    </row>
    <row r="1437" customFormat="false" ht="15" hidden="false" customHeight="false" outlineLevel="0" collapsed="false">
      <c r="A1437" s="0" t="n">
        <v>41</v>
      </c>
      <c r="B1437" s="0" t="s">
        <v>60</v>
      </c>
      <c r="C1437" s="36" t="n">
        <v>196321</v>
      </c>
      <c r="D1437" s="37" t="n">
        <v>41153</v>
      </c>
      <c r="E1437" s="0" t="n">
        <v>2013</v>
      </c>
      <c r="F1437" s="0" t="n">
        <v>8</v>
      </c>
      <c r="G1437" s="38" t="n">
        <v>5683371.38</v>
      </c>
    </row>
    <row r="1438" customFormat="false" ht="15" hidden="false" customHeight="false" outlineLevel="0" collapsed="false">
      <c r="A1438" s="0" t="n">
        <v>42</v>
      </c>
      <c r="B1438" s="0" t="s">
        <v>64</v>
      </c>
      <c r="C1438" s="36" t="n">
        <v>39690</v>
      </c>
      <c r="D1438" s="37" t="n">
        <v>41153</v>
      </c>
      <c r="E1438" s="0" t="n">
        <v>2013</v>
      </c>
      <c r="F1438" s="0" t="n">
        <v>8</v>
      </c>
      <c r="G1438" s="38" t="n">
        <v>2406762.15</v>
      </c>
    </row>
    <row r="1439" customFormat="false" ht="15" hidden="false" customHeight="false" outlineLevel="0" collapsed="false">
      <c r="A1439" s="0" t="n">
        <v>43</v>
      </c>
      <c r="B1439" s="0" t="s">
        <v>64</v>
      </c>
      <c r="C1439" s="36" t="n">
        <v>41062</v>
      </c>
      <c r="D1439" s="37" t="n">
        <v>41153</v>
      </c>
      <c r="E1439" s="0" t="n">
        <v>2013</v>
      </c>
      <c r="F1439" s="0" t="n">
        <v>8</v>
      </c>
      <c r="G1439" s="38" t="n">
        <v>2652397.74</v>
      </c>
    </row>
    <row r="1440" customFormat="false" ht="15" hidden="false" customHeight="false" outlineLevel="0" collapsed="false">
      <c r="A1440" s="0" t="n">
        <v>44</v>
      </c>
      <c r="B1440" s="0" t="s">
        <v>64</v>
      </c>
      <c r="C1440" s="36" t="n">
        <v>39910</v>
      </c>
      <c r="D1440" s="37" t="n">
        <v>41153</v>
      </c>
      <c r="E1440" s="0" t="n">
        <v>2013</v>
      </c>
      <c r="F1440" s="0" t="n">
        <v>8</v>
      </c>
      <c r="G1440" s="38" t="n">
        <v>1474186.84</v>
      </c>
    </row>
    <row r="1441" customFormat="false" ht="15" hidden="false" customHeight="false" outlineLevel="0" collapsed="false">
      <c r="A1441" s="0" t="n">
        <v>45</v>
      </c>
      <c r="B1441" s="0" t="s">
        <v>62</v>
      </c>
      <c r="C1441" s="36" t="n">
        <v>118221</v>
      </c>
      <c r="D1441" s="37" t="n">
        <v>41153</v>
      </c>
      <c r="E1441" s="0" t="n">
        <v>2013</v>
      </c>
      <c r="F1441" s="0" t="n">
        <v>8</v>
      </c>
      <c r="G1441" s="38" t="n">
        <v>3114569.68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1" t="s">
        <v>178</v>
      </c>
      <c r="B1" s="11" t="s">
        <v>172</v>
      </c>
      <c r="C1" s="11" t="s">
        <v>175</v>
      </c>
      <c r="D1" s="11" t="s">
        <v>176</v>
      </c>
      <c r="E1" s="11" t="s">
        <v>177</v>
      </c>
    </row>
    <row r="2" customFormat="false" ht="15" hidden="false" customHeight="false" outlineLevel="0" collapsed="false">
      <c r="A2" s="0" t="n">
        <v>1</v>
      </c>
      <c r="B2" s="0" t="s">
        <v>60</v>
      </c>
      <c r="C2" s="0" t="n">
        <v>2011</v>
      </c>
      <c r="D2" s="0" t="n">
        <v>1</v>
      </c>
      <c r="E2" s="38" t="n">
        <v>2434344.86</v>
      </c>
    </row>
    <row r="3" customFormat="false" ht="15" hidden="false" customHeight="false" outlineLevel="0" collapsed="false">
      <c r="A3" s="0" t="n">
        <v>1</v>
      </c>
      <c r="B3" s="0" t="s">
        <v>60</v>
      </c>
      <c r="C3" s="0" t="n">
        <v>2011</v>
      </c>
      <c r="D3" s="0" t="n">
        <v>2</v>
      </c>
      <c r="E3" s="38" t="n">
        <v>2894157.47</v>
      </c>
    </row>
    <row r="4" customFormat="false" ht="15" hidden="false" customHeight="false" outlineLevel="0" collapsed="false">
      <c r="A4" s="0" t="n">
        <v>1</v>
      </c>
      <c r="B4" s="0" t="s">
        <v>60</v>
      </c>
      <c r="C4" s="0" t="n">
        <v>2011</v>
      </c>
      <c r="D4" s="0" t="n">
        <v>3</v>
      </c>
      <c r="E4" s="38" t="n">
        <v>2347271.56</v>
      </c>
    </row>
    <row r="5" customFormat="false" ht="15" hidden="false" customHeight="false" outlineLevel="0" collapsed="false">
      <c r="A5" s="0" t="n">
        <v>1</v>
      </c>
      <c r="B5" s="0" t="s">
        <v>60</v>
      </c>
      <c r="C5" s="0" t="n">
        <v>2011</v>
      </c>
      <c r="D5" s="0" t="n">
        <v>4</v>
      </c>
      <c r="E5" s="38" t="n">
        <v>1668369.11</v>
      </c>
    </row>
    <row r="6" customFormat="false" ht="15" hidden="false" customHeight="false" outlineLevel="0" collapsed="false">
      <c r="A6" s="0" t="n">
        <v>1</v>
      </c>
      <c r="B6" s="0" t="s">
        <v>60</v>
      </c>
      <c r="C6" s="0" t="n">
        <v>2011</v>
      </c>
      <c r="D6" s="0" t="n">
        <v>5</v>
      </c>
      <c r="E6" s="38" t="n">
        <v>1632173.16</v>
      </c>
    </row>
    <row r="7" customFormat="false" ht="15" hidden="false" customHeight="false" outlineLevel="0" collapsed="false">
      <c r="A7" s="0" t="n">
        <v>1</v>
      </c>
      <c r="B7" s="0" t="s">
        <v>60</v>
      </c>
      <c r="C7" s="0" t="n">
        <v>2011</v>
      </c>
      <c r="D7" s="0" t="n">
        <v>6</v>
      </c>
      <c r="E7" s="38" t="n">
        <v>1661478.82</v>
      </c>
    </row>
    <row r="8" customFormat="false" ht="15" hidden="false" customHeight="false" outlineLevel="0" collapsed="false">
      <c r="A8" s="0" t="n">
        <v>1</v>
      </c>
      <c r="B8" s="0" t="s">
        <v>60</v>
      </c>
      <c r="C8" s="0" t="n">
        <v>2011</v>
      </c>
      <c r="D8" s="0" t="n">
        <v>7</v>
      </c>
      <c r="E8" s="38" t="n">
        <v>1614438.49</v>
      </c>
    </row>
    <row r="9" customFormat="false" ht="15" hidden="false" customHeight="false" outlineLevel="0" collapsed="false">
      <c r="A9" s="0" t="n">
        <v>1</v>
      </c>
      <c r="B9" s="0" t="s">
        <v>60</v>
      </c>
      <c r="C9" s="0" t="n">
        <v>2011</v>
      </c>
      <c r="D9" s="0" t="n">
        <v>8</v>
      </c>
      <c r="E9" s="38" t="n">
        <v>1764178.62</v>
      </c>
    </row>
    <row r="10" customFormat="false" ht="15" hidden="false" customHeight="false" outlineLevel="0" collapsed="false">
      <c r="A10" s="0" t="n">
        <v>1</v>
      </c>
      <c r="B10" s="0" t="s">
        <v>60</v>
      </c>
      <c r="C10" s="0" t="n">
        <v>2011</v>
      </c>
      <c r="D10" s="0" t="n">
        <v>9</v>
      </c>
      <c r="E10" s="38" t="n">
        <v>3060263.19</v>
      </c>
    </row>
    <row r="11" customFormat="false" ht="15" hidden="false" customHeight="false" outlineLevel="0" collapsed="false">
      <c r="A11" s="0" t="n">
        <v>1</v>
      </c>
      <c r="B11" s="0" t="s">
        <v>60</v>
      </c>
      <c r="C11" s="0" t="n">
        <v>2011</v>
      </c>
      <c r="D11" s="0" t="n">
        <v>10</v>
      </c>
      <c r="E11" s="38" t="n">
        <v>2041367.35</v>
      </c>
    </row>
    <row r="12" customFormat="false" ht="15" hidden="false" customHeight="false" outlineLevel="0" collapsed="false">
      <c r="A12" s="0" t="n">
        <v>1</v>
      </c>
      <c r="B12" s="0" t="s">
        <v>60</v>
      </c>
      <c r="C12" s="0" t="n">
        <v>2011</v>
      </c>
      <c r="D12" s="0" t="n">
        <v>11</v>
      </c>
      <c r="E12" s="38" t="n">
        <v>3696199.46</v>
      </c>
    </row>
    <row r="13" customFormat="false" ht="15" hidden="false" customHeight="false" outlineLevel="0" collapsed="false">
      <c r="A13" s="0" t="n">
        <v>1</v>
      </c>
      <c r="B13" s="0" t="s">
        <v>60</v>
      </c>
      <c r="C13" s="0" t="n">
        <v>2011</v>
      </c>
      <c r="D13" s="0" t="n">
        <v>12</v>
      </c>
      <c r="E13" s="38" t="n">
        <v>1567182.27</v>
      </c>
    </row>
    <row r="14" customFormat="false" ht="15" hidden="false" customHeight="false" outlineLevel="0" collapsed="false">
      <c r="A14" s="0" t="n">
        <v>1</v>
      </c>
      <c r="B14" s="0" t="s">
        <v>60</v>
      </c>
      <c r="C14" s="0" t="n">
        <v>2012</v>
      </c>
      <c r="D14" s="0" t="n">
        <v>1</v>
      </c>
      <c r="E14" s="38" t="n">
        <v>2375453.55</v>
      </c>
    </row>
    <row r="15" customFormat="false" ht="15" hidden="false" customHeight="false" outlineLevel="0" collapsed="false">
      <c r="A15" s="0" t="n">
        <v>1</v>
      </c>
      <c r="B15" s="0" t="s">
        <v>60</v>
      </c>
      <c r="C15" s="0" t="n">
        <v>2012</v>
      </c>
      <c r="D15" s="0" t="n">
        <v>2</v>
      </c>
      <c r="E15" s="38" t="n">
        <v>1883895.8</v>
      </c>
    </row>
    <row r="16" customFormat="false" ht="15" hidden="false" customHeight="false" outlineLevel="0" collapsed="false">
      <c r="A16" s="0" t="n">
        <v>1</v>
      </c>
      <c r="B16" s="0" t="s">
        <v>60</v>
      </c>
      <c r="C16" s="0" t="n">
        <v>2012</v>
      </c>
      <c r="D16" s="0" t="n">
        <v>3</v>
      </c>
      <c r="E16" s="38" t="n">
        <v>3562371.17</v>
      </c>
    </row>
    <row r="17" customFormat="false" ht="15" hidden="false" customHeight="false" outlineLevel="0" collapsed="false">
      <c r="A17" s="0" t="n">
        <v>1</v>
      </c>
      <c r="B17" s="0" t="s">
        <v>60</v>
      </c>
      <c r="C17" s="0" t="n">
        <v>2012</v>
      </c>
      <c r="D17" s="0" t="n">
        <v>4</v>
      </c>
      <c r="E17" s="38" t="n">
        <v>1552099.44</v>
      </c>
    </row>
    <row r="18" customFormat="false" ht="15" hidden="false" customHeight="false" outlineLevel="0" collapsed="false">
      <c r="A18" s="0" t="n">
        <v>1</v>
      </c>
      <c r="B18" s="0" t="s">
        <v>60</v>
      </c>
      <c r="C18" s="0" t="n">
        <v>2012</v>
      </c>
      <c r="D18" s="0" t="n">
        <v>5</v>
      </c>
      <c r="E18" s="38" t="n">
        <v>1533216.86</v>
      </c>
    </row>
    <row r="19" customFormat="false" ht="15" hidden="false" customHeight="false" outlineLevel="0" collapsed="false">
      <c r="A19" s="0" t="n">
        <v>1</v>
      </c>
      <c r="B19" s="0" t="s">
        <v>60</v>
      </c>
      <c r="C19" s="0" t="n">
        <v>2012</v>
      </c>
      <c r="D19" s="0" t="n">
        <v>6</v>
      </c>
      <c r="E19" s="38" t="n">
        <v>1605620.05</v>
      </c>
    </row>
    <row r="20" customFormat="false" ht="15" hidden="false" customHeight="false" outlineLevel="0" collapsed="false">
      <c r="A20" s="0" t="n">
        <v>1</v>
      </c>
      <c r="B20" s="0" t="s">
        <v>60</v>
      </c>
      <c r="C20" s="0" t="n">
        <v>2012</v>
      </c>
      <c r="D20" s="0" t="n">
        <v>7</v>
      </c>
      <c r="E20" s="38" t="n">
        <v>1611887.55</v>
      </c>
    </row>
    <row r="21" customFormat="false" ht="15" hidden="false" customHeight="false" outlineLevel="0" collapsed="false">
      <c r="A21" s="0" t="n">
        <v>1</v>
      </c>
      <c r="B21" s="0" t="s">
        <v>60</v>
      </c>
      <c r="C21" s="0" t="n">
        <v>2012</v>
      </c>
      <c r="D21" s="0" t="n">
        <v>8</v>
      </c>
      <c r="E21" s="38" t="n">
        <v>1790564.47</v>
      </c>
    </row>
    <row r="22" customFormat="false" ht="15" hidden="false" customHeight="false" outlineLevel="0" collapsed="false">
      <c r="A22" s="0" t="n">
        <v>1</v>
      </c>
      <c r="B22" s="0" t="s">
        <v>60</v>
      </c>
      <c r="C22" s="0" t="n">
        <v>2012</v>
      </c>
      <c r="D22" s="0" t="n">
        <v>9</v>
      </c>
      <c r="E22" s="38" t="n">
        <v>2985176.84</v>
      </c>
    </row>
    <row r="23" customFormat="false" ht="15" hidden="false" customHeight="false" outlineLevel="0" collapsed="false">
      <c r="A23" s="0" t="n">
        <v>1</v>
      </c>
      <c r="B23" s="0" t="s">
        <v>60</v>
      </c>
      <c r="C23" s="0" t="n">
        <v>2012</v>
      </c>
      <c r="D23" s="0" t="n">
        <v>10</v>
      </c>
      <c r="E23" s="38" t="n">
        <v>2187566.15</v>
      </c>
    </row>
    <row r="24" customFormat="false" ht="15" hidden="false" customHeight="false" outlineLevel="0" collapsed="false">
      <c r="A24" s="0" t="n">
        <v>1</v>
      </c>
      <c r="B24" s="0" t="s">
        <v>60</v>
      </c>
      <c r="C24" s="0" t="n">
        <v>2012</v>
      </c>
      <c r="D24" s="0" t="n">
        <v>11</v>
      </c>
      <c r="E24" s="38" t="n">
        <v>3798703.4</v>
      </c>
    </row>
    <row r="25" customFormat="false" ht="15" hidden="false" customHeight="false" outlineLevel="0" collapsed="false">
      <c r="A25" s="0" t="n">
        <v>1</v>
      </c>
      <c r="B25" s="0" t="s">
        <v>60</v>
      </c>
      <c r="C25" s="0" t="n">
        <v>2012</v>
      </c>
      <c r="D25" s="0" t="n">
        <v>12</v>
      </c>
      <c r="E25" s="38" t="n">
        <v>1699689.32</v>
      </c>
    </row>
    <row r="26" customFormat="false" ht="15" hidden="false" customHeight="false" outlineLevel="0" collapsed="false">
      <c r="A26" s="0" t="n">
        <v>1</v>
      </c>
      <c r="B26" s="0" t="s">
        <v>60</v>
      </c>
      <c r="C26" s="0" t="n">
        <v>2013</v>
      </c>
      <c r="D26" s="0" t="n">
        <v>1</v>
      </c>
      <c r="E26" s="38" t="n">
        <v>2689371.05</v>
      </c>
    </row>
    <row r="27" customFormat="false" ht="15" hidden="false" customHeight="false" outlineLevel="0" collapsed="false">
      <c r="A27" s="0" t="n">
        <v>1</v>
      </c>
      <c r="B27" s="0" t="s">
        <v>60</v>
      </c>
      <c r="C27" s="0" t="n">
        <v>2013</v>
      </c>
      <c r="D27" s="0" t="n">
        <v>2</v>
      </c>
      <c r="E27" s="38" t="n">
        <v>2497802.93</v>
      </c>
    </row>
    <row r="28" customFormat="false" ht="15" hidden="false" customHeight="false" outlineLevel="0" collapsed="false">
      <c r="A28" s="0" t="n">
        <v>1</v>
      </c>
      <c r="B28" s="0" t="s">
        <v>60</v>
      </c>
      <c r="C28" s="0" t="n">
        <v>2013</v>
      </c>
      <c r="D28" s="0" t="n">
        <v>3</v>
      </c>
      <c r="E28" s="38" t="n">
        <v>3052715.29</v>
      </c>
    </row>
    <row r="29" customFormat="false" ht="15" hidden="false" customHeight="false" outlineLevel="0" collapsed="false">
      <c r="A29" s="0" t="n">
        <v>1</v>
      </c>
      <c r="B29" s="0" t="s">
        <v>60</v>
      </c>
      <c r="C29" s="0" t="n">
        <v>2013</v>
      </c>
      <c r="D29" s="0" t="n">
        <v>4</v>
      </c>
      <c r="E29" s="38" t="n">
        <v>1694280.49</v>
      </c>
    </row>
    <row r="30" customFormat="false" ht="15" hidden="false" customHeight="false" outlineLevel="0" collapsed="false">
      <c r="A30" s="0" t="n">
        <v>1</v>
      </c>
      <c r="B30" s="0" t="s">
        <v>60</v>
      </c>
      <c r="C30" s="0" t="n">
        <v>2013</v>
      </c>
      <c r="D30" s="0" t="n">
        <v>5</v>
      </c>
      <c r="E30" s="38" t="n">
        <v>1654302.38</v>
      </c>
    </row>
    <row r="31" customFormat="false" ht="15" hidden="false" customHeight="false" outlineLevel="0" collapsed="false">
      <c r="A31" s="0" t="n">
        <v>1</v>
      </c>
      <c r="B31" s="0" t="s">
        <v>60</v>
      </c>
      <c r="C31" s="0" t="n">
        <v>2013</v>
      </c>
      <c r="D31" s="0" t="n">
        <v>6</v>
      </c>
      <c r="E31" s="38" t="n">
        <v>1707758.71</v>
      </c>
    </row>
    <row r="32" customFormat="false" ht="15" hidden="false" customHeight="false" outlineLevel="0" collapsed="false">
      <c r="A32" s="0" t="n">
        <v>1</v>
      </c>
      <c r="B32" s="0" t="s">
        <v>60</v>
      </c>
      <c r="C32" s="0" t="n">
        <v>2013</v>
      </c>
      <c r="D32" s="0" t="n">
        <v>7</v>
      </c>
      <c r="E32" s="38" t="n">
        <v>1696377</v>
      </c>
    </row>
    <row r="33" customFormat="false" ht="15" hidden="false" customHeight="false" outlineLevel="0" collapsed="false">
      <c r="A33" s="0" t="n">
        <v>1</v>
      </c>
      <c r="B33" s="0" t="s">
        <v>60</v>
      </c>
      <c r="C33" s="0" t="n">
        <v>2013</v>
      </c>
      <c r="D33" s="0" t="n">
        <v>8</v>
      </c>
      <c r="E33" s="38" t="n">
        <v>1854791.98</v>
      </c>
    </row>
    <row r="34" customFormat="false" ht="15" hidden="false" customHeight="false" outlineLevel="0" collapsed="false">
      <c r="A34" s="0" t="n">
        <v>1</v>
      </c>
      <c r="B34" s="0" t="s">
        <v>62</v>
      </c>
      <c r="C34" s="0" t="n">
        <v>2011</v>
      </c>
      <c r="D34" s="0" t="n">
        <v>1</v>
      </c>
      <c r="E34" s="38" t="n">
        <v>1423616.28</v>
      </c>
    </row>
    <row r="35" customFormat="false" ht="15" hidden="false" customHeight="false" outlineLevel="0" collapsed="false">
      <c r="A35" s="0" t="n">
        <v>1</v>
      </c>
      <c r="B35" s="0" t="s">
        <v>62</v>
      </c>
      <c r="C35" s="0" t="n">
        <v>2011</v>
      </c>
      <c r="D35" s="0" t="n">
        <v>2</v>
      </c>
      <c r="E35" s="38" t="n">
        <v>1852118.96</v>
      </c>
    </row>
    <row r="36" customFormat="false" ht="15" hidden="false" customHeight="false" outlineLevel="0" collapsed="false">
      <c r="A36" s="0" t="n">
        <v>1</v>
      </c>
      <c r="B36" s="0" t="s">
        <v>62</v>
      </c>
      <c r="C36" s="0" t="n">
        <v>2011</v>
      </c>
      <c r="D36" s="0" t="n">
        <v>3</v>
      </c>
      <c r="E36" s="38" t="n">
        <v>1447439.89</v>
      </c>
    </row>
    <row r="37" customFormat="false" ht="15" hidden="false" customHeight="false" outlineLevel="0" collapsed="false">
      <c r="A37" s="0" t="n">
        <v>1</v>
      </c>
      <c r="B37" s="0" t="s">
        <v>62</v>
      </c>
      <c r="C37" s="0" t="n">
        <v>2011</v>
      </c>
      <c r="D37" s="0" t="n">
        <v>4</v>
      </c>
      <c r="E37" s="38" t="n">
        <v>1011547.7</v>
      </c>
    </row>
    <row r="38" customFormat="false" ht="15" hidden="false" customHeight="false" outlineLevel="0" collapsed="false">
      <c r="A38" s="0" t="n">
        <v>1</v>
      </c>
      <c r="B38" s="0" t="s">
        <v>62</v>
      </c>
      <c r="C38" s="0" t="n">
        <v>2011</v>
      </c>
      <c r="D38" s="0" t="n">
        <v>5</v>
      </c>
      <c r="E38" s="38" t="n">
        <v>988775.05</v>
      </c>
    </row>
    <row r="39" customFormat="false" ht="15" hidden="false" customHeight="false" outlineLevel="0" collapsed="false">
      <c r="A39" s="0" t="n">
        <v>1</v>
      </c>
      <c r="B39" s="0" t="s">
        <v>62</v>
      </c>
      <c r="C39" s="0" t="n">
        <v>2011</v>
      </c>
      <c r="D39" s="0" t="n">
        <v>6</v>
      </c>
      <c r="E39" s="38" t="n">
        <v>975304.64</v>
      </c>
    </row>
    <row r="40" customFormat="false" ht="15" hidden="false" customHeight="false" outlineLevel="0" collapsed="false">
      <c r="A40" s="0" t="n">
        <v>1</v>
      </c>
      <c r="B40" s="0" t="s">
        <v>62</v>
      </c>
      <c r="C40" s="0" t="n">
        <v>2011</v>
      </c>
      <c r="D40" s="0" t="n">
        <v>7</v>
      </c>
      <c r="E40" s="38" t="n">
        <v>949360.71</v>
      </c>
    </row>
    <row r="41" customFormat="false" ht="15" hidden="false" customHeight="false" outlineLevel="0" collapsed="false">
      <c r="A41" s="0" t="n">
        <v>1</v>
      </c>
      <c r="B41" s="0" t="s">
        <v>62</v>
      </c>
      <c r="C41" s="0" t="n">
        <v>2011</v>
      </c>
      <c r="D41" s="0" t="n">
        <v>8</v>
      </c>
      <c r="E41" s="38" t="n">
        <v>1047151.01</v>
      </c>
    </row>
    <row r="42" customFormat="false" ht="15" hidden="false" customHeight="false" outlineLevel="0" collapsed="false">
      <c r="A42" s="0" t="n">
        <v>1</v>
      </c>
      <c r="B42" s="0" t="s">
        <v>62</v>
      </c>
      <c r="C42" s="0" t="n">
        <v>2011</v>
      </c>
      <c r="D42" s="0" t="n">
        <v>9</v>
      </c>
      <c r="E42" s="38" t="n">
        <v>1875689.95</v>
      </c>
    </row>
    <row r="43" customFormat="false" ht="15" hidden="false" customHeight="false" outlineLevel="0" collapsed="false">
      <c r="A43" s="0" t="n">
        <v>1</v>
      </c>
      <c r="B43" s="0" t="s">
        <v>62</v>
      </c>
      <c r="C43" s="0" t="n">
        <v>2011</v>
      </c>
      <c r="D43" s="0" t="n">
        <v>10</v>
      </c>
      <c r="E43" s="38" t="n">
        <v>1271948.24</v>
      </c>
    </row>
    <row r="44" customFormat="false" ht="15" hidden="false" customHeight="false" outlineLevel="0" collapsed="false">
      <c r="A44" s="0" t="n">
        <v>1</v>
      </c>
      <c r="B44" s="0" t="s">
        <v>62</v>
      </c>
      <c r="C44" s="0" t="n">
        <v>2011</v>
      </c>
      <c r="D44" s="0" t="n">
        <v>11</v>
      </c>
      <c r="E44" s="38" t="n">
        <v>2372048.39</v>
      </c>
    </row>
    <row r="45" customFormat="false" ht="15" hidden="false" customHeight="false" outlineLevel="0" collapsed="false">
      <c r="A45" s="0" t="n">
        <v>1</v>
      </c>
      <c r="B45" s="0" t="s">
        <v>62</v>
      </c>
      <c r="C45" s="0" t="n">
        <v>2011</v>
      </c>
      <c r="D45" s="0" t="n">
        <v>12</v>
      </c>
      <c r="E45" s="38" t="n">
        <v>947059.44</v>
      </c>
    </row>
    <row r="46" customFormat="false" ht="15" hidden="false" customHeight="false" outlineLevel="0" collapsed="false">
      <c r="A46" s="0" t="n">
        <v>1</v>
      </c>
      <c r="B46" s="0" t="s">
        <v>62</v>
      </c>
      <c r="C46" s="0" t="n">
        <v>2012</v>
      </c>
      <c r="D46" s="0" t="n">
        <v>1</v>
      </c>
      <c r="E46" s="38" t="n">
        <v>1419150.17</v>
      </c>
    </row>
    <row r="47" customFormat="false" ht="15" hidden="false" customHeight="false" outlineLevel="0" collapsed="false">
      <c r="A47" s="0" t="n">
        <v>1</v>
      </c>
      <c r="B47" s="0" t="s">
        <v>62</v>
      </c>
      <c r="C47" s="0" t="n">
        <v>2012</v>
      </c>
      <c r="D47" s="0" t="n">
        <v>2</v>
      </c>
      <c r="E47" s="38" t="n">
        <v>1128551.08</v>
      </c>
    </row>
    <row r="48" customFormat="false" ht="15" hidden="false" customHeight="false" outlineLevel="0" collapsed="false">
      <c r="A48" s="0" t="n">
        <v>1</v>
      </c>
      <c r="B48" s="0" t="s">
        <v>62</v>
      </c>
      <c r="C48" s="0" t="n">
        <v>2012</v>
      </c>
      <c r="D48" s="0" t="n">
        <v>3</v>
      </c>
      <c r="E48" s="38" t="n">
        <v>2216730.42</v>
      </c>
    </row>
    <row r="49" customFormat="false" ht="15" hidden="false" customHeight="false" outlineLevel="0" collapsed="false">
      <c r="A49" s="0" t="n">
        <v>1</v>
      </c>
      <c r="B49" s="0" t="s">
        <v>62</v>
      </c>
      <c r="C49" s="0" t="n">
        <v>2012</v>
      </c>
      <c r="D49" s="0" t="n">
        <v>4</v>
      </c>
      <c r="E49" s="38" t="n">
        <v>947876.32</v>
      </c>
    </row>
    <row r="50" customFormat="false" ht="15" hidden="false" customHeight="false" outlineLevel="0" collapsed="false">
      <c r="A50" s="0" t="n">
        <v>1</v>
      </c>
      <c r="B50" s="0" t="s">
        <v>62</v>
      </c>
      <c r="C50" s="0" t="n">
        <v>2012</v>
      </c>
      <c r="D50" s="0" t="n">
        <v>5</v>
      </c>
      <c r="E50" s="38" t="n">
        <v>942789.43</v>
      </c>
    </row>
    <row r="51" customFormat="false" ht="15" hidden="false" customHeight="false" outlineLevel="0" collapsed="false">
      <c r="A51" s="0" t="n">
        <v>1</v>
      </c>
      <c r="B51" s="0" t="s">
        <v>62</v>
      </c>
      <c r="C51" s="0" t="n">
        <v>2012</v>
      </c>
      <c r="D51" s="0" t="n">
        <v>6</v>
      </c>
      <c r="E51" s="38" t="n">
        <v>998849.91</v>
      </c>
    </row>
    <row r="52" customFormat="false" ht="15" hidden="false" customHeight="false" outlineLevel="0" collapsed="false">
      <c r="A52" s="0" t="n">
        <v>1</v>
      </c>
      <c r="B52" s="0" t="s">
        <v>62</v>
      </c>
      <c r="C52" s="0" t="n">
        <v>2012</v>
      </c>
      <c r="D52" s="0" t="n">
        <v>7</v>
      </c>
      <c r="E52" s="38" t="n">
        <v>974195.52</v>
      </c>
    </row>
    <row r="53" customFormat="false" ht="15" hidden="false" customHeight="false" outlineLevel="0" collapsed="false">
      <c r="A53" s="0" t="n">
        <v>1</v>
      </c>
      <c r="B53" s="0" t="s">
        <v>62</v>
      </c>
      <c r="C53" s="0" t="n">
        <v>2012</v>
      </c>
      <c r="D53" s="0" t="n">
        <v>8</v>
      </c>
      <c r="E53" s="38" t="n">
        <v>1062057.82</v>
      </c>
    </row>
    <row r="54" customFormat="false" ht="15" hidden="false" customHeight="false" outlineLevel="0" collapsed="false">
      <c r="A54" s="0" t="n">
        <v>1</v>
      </c>
      <c r="B54" s="0" t="s">
        <v>62</v>
      </c>
      <c r="C54" s="0" t="n">
        <v>2012</v>
      </c>
      <c r="D54" s="0" t="n">
        <v>9</v>
      </c>
      <c r="E54" s="38" t="n">
        <v>1778573.68</v>
      </c>
    </row>
    <row r="55" customFormat="false" ht="15" hidden="false" customHeight="false" outlineLevel="0" collapsed="false">
      <c r="A55" s="0" t="n">
        <v>1</v>
      </c>
      <c r="B55" s="0" t="s">
        <v>62</v>
      </c>
      <c r="C55" s="0" t="n">
        <v>2012</v>
      </c>
      <c r="D55" s="0" t="n">
        <v>10</v>
      </c>
      <c r="E55" s="38" t="n">
        <v>1324061.77</v>
      </c>
    </row>
    <row r="56" customFormat="false" ht="15" hidden="false" customHeight="false" outlineLevel="0" collapsed="false">
      <c r="A56" s="0" t="n">
        <v>1</v>
      </c>
      <c r="B56" s="0" t="s">
        <v>62</v>
      </c>
      <c r="C56" s="0" t="n">
        <v>2012</v>
      </c>
      <c r="D56" s="0" t="n">
        <v>11</v>
      </c>
      <c r="E56" s="38" t="n">
        <v>2465390.03</v>
      </c>
    </row>
    <row r="57" customFormat="false" ht="15" hidden="false" customHeight="false" outlineLevel="0" collapsed="false">
      <c r="A57" s="0" t="n">
        <v>1</v>
      </c>
      <c r="B57" s="0" t="s">
        <v>62</v>
      </c>
      <c r="C57" s="0" t="n">
        <v>2012</v>
      </c>
      <c r="D57" s="0" t="n">
        <v>12</v>
      </c>
      <c r="E57" s="38" t="n">
        <v>1020731.94</v>
      </c>
    </row>
    <row r="58" customFormat="false" ht="15" hidden="false" customHeight="false" outlineLevel="0" collapsed="false">
      <c r="A58" s="0" t="n">
        <v>1</v>
      </c>
      <c r="B58" s="0" t="s">
        <v>62</v>
      </c>
      <c r="C58" s="0" t="n">
        <v>2013</v>
      </c>
      <c r="D58" s="0" t="n">
        <v>1</v>
      </c>
      <c r="E58" s="38" t="n">
        <v>1532029.94</v>
      </c>
    </row>
    <row r="59" customFormat="false" ht="15" hidden="false" customHeight="false" outlineLevel="0" collapsed="false">
      <c r="A59" s="0" t="n">
        <v>1</v>
      </c>
      <c r="B59" s="0" t="s">
        <v>62</v>
      </c>
      <c r="C59" s="0" t="n">
        <v>2013</v>
      </c>
      <c r="D59" s="0" t="n">
        <v>2</v>
      </c>
      <c r="E59" s="38" t="n">
        <v>1531385.36</v>
      </c>
    </row>
    <row r="60" customFormat="false" ht="15" hidden="false" customHeight="false" outlineLevel="0" collapsed="false">
      <c r="A60" s="0" t="n">
        <v>1</v>
      </c>
      <c r="B60" s="0" t="s">
        <v>62</v>
      </c>
      <c r="C60" s="0" t="n">
        <v>2013</v>
      </c>
      <c r="D60" s="0" t="n">
        <v>3</v>
      </c>
      <c r="E60" s="38" t="n">
        <v>1824836.55</v>
      </c>
    </row>
    <row r="61" customFormat="false" ht="15" hidden="false" customHeight="false" outlineLevel="0" collapsed="false">
      <c r="A61" s="0" t="n">
        <v>1</v>
      </c>
      <c r="B61" s="0" t="s">
        <v>62</v>
      </c>
      <c r="C61" s="0" t="n">
        <v>2013</v>
      </c>
      <c r="D61" s="0" t="n">
        <v>4</v>
      </c>
      <c r="E61" s="38" t="n">
        <v>953125.18</v>
      </c>
    </row>
    <row r="62" customFormat="false" ht="15" hidden="false" customHeight="false" outlineLevel="0" collapsed="false">
      <c r="A62" s="0" t="n">
        <v>1</v>
      </c>
      <c r="B62" s="0" t="s">
        <v>62</v>
      </c>
      <c r="C62" s="0" t="n">
        <v>2013</v>
      </c>
      <c r="D62" s="0" t="n">
        <v>5</v>
      </c>
      <c r="E62" s="38" t="n">
        <v>955867.36</v>
      </c>
    </row>
    <row r="63" customFormat="false" ht="15" hidden="false" customHeight="false" outlineLevel="0" collapsed="false">
      <c r="A63" s="0" t="n">
        <v>1</v>
      </c>
      <c r="B63" s="0" t="s">
        <v>62</v>
      </c>
      <c r="C63" s="0" t="n">
        <v>2013</v>
      </c>
      <c r="D63" s="0" t="n">
        <v>6</v>
      </c>
      <c r="E63" s="38" t="n">
        <v>982847.71</v>
      </c>
    </row>
    <row r="64" customFormat="false" ht="15" hidden="false" customHeight="false" outlineLevel="0" collapsed="false">
      <c r="A64" s="0" t="n">
        <v>1</v>
      </c>
      <c r="B64" s="0" t="s">
        <v>62</v>
      </c>
      <c r="C64" s="0" t="n">
        <v>2013</v>
      </c>
      <c r="D64" s="0" t="n">
        <v>7</v>
      </c>
      <c r="E64" s="38" t="n">
        <v>963505.88</v>
      </c>
    </row>
    <row r="65" customFormat="false" ht="15" hidden="false" customHeight="false" outlineLevel="0" collapsed="false">
      <c r="A65" s="0" t="n">
        <v>1</v>
      </c>
      <c r="B65" s="0" t="s">
        <v>62</v>
      </c>
      <c r="C65" s="0" t="n">
        <v>2013</v>
      </c>
      <c r="D65" s="0" t="n">
        <v>8</v>
      </c>
      <c r="E65" s="38" t="n">
        <v>1084226.48</v>
      </c>
    </row>
    <row r="66" customFormat="false" ht="15" hidden="false" customHeight="false" outlineLevel="0" collapsed="false">
      <c r="A66" s="0" t="n">
        <v>1</v>
      </c>
      <c r="B66" s="0" t="s">
        <v>64</v>
      </c>
      <c r="C66" s="0" t="n">
        <v>2011</v>
      </c>
      <c r="D66" s="0" t="n">
        <v>1</v>
      </c>
      <c r="E66" s="38" t="n">
        <v>246651.91</v>
      </c>
    </row>
    <row r="67" customFormat="false" ht="15" hidden="false" customHeight="false" outlineLevel="0" collapsed="false">
      <c r="A67" s="0" t="n">
        <v>1</v>
      </c>
      <c r="B67" s="0" t="s">
        <v>64</v>
      </c>
      <c r="C67" s="0" t="n">
        <v>2011</v>
      </c>
      <c r="D67" s="0" t="n">
        <v>2</v>
      </c>
      <c r="E67" s="38" t="n">
        <v>246167.91</v>
      </c>
    </row>
    <row r="68" customFormat="false" ht="15" hidden="false" customHeight="false" outlineLevel="0" collapsed="false">
      <c r="A68" s="0" t="n">
        <v>1</v>
      </c>
      <c r="B68" s="0" t="s">
        <v>64</v>
      </c>
      <c r="C68" s="0" t="n">
        <v>2011</v>
      </c>
      <c r="D68" s="0" t="n">
        <v>3</v>
      </c>
      <c r="E68" s="38" t="n">
        <v>223165.83</v>
      </c>
    </row>
    <row r="69" customFormat="false" ht="15" hidden="false" customHeight="false" outlineLevel="0" collapsed="false">
      <c r="A69" s="0" t="n">
        <v>1</v>
      </c>
      <c r="B69" s="0" t="s">
        <v>64</v>
      </c>
      <c r="C69" s="0" t="n">
        <v>2011</v>
      </c>
      <c r="D69" s="0" t="n">
        <v>4</v>
      </c>
      <c r="E69" s="38" t="n">
        <v>210875.16</v>
      </c>
    </row>
    <row r="70" customFormat="false" ht="15" hidden="false" customHeight="false" outlineLevel="0" collapsed="false">
      <c r="A70" s="0" t="n">
        <v>1</v>
      </c>
      <c r="B70" s="0" t="s">
        <v>64</v>
      </c>
      <c r="C70" s="0" t="n">
        <v>2011</v>
      </c>
      <c r="D70" s="0" t="n">
        <v>5</v>
      </c>
      <c r="E70" s="38" t="n">
        <v>196806.18</v>
      </c>
    </row>
    <row r="71" customFormat="false" ht="15" hidden="false" customHeight="false" outlineLevel="0" collapsed="false">
      <c r="A71" s="0" t="n">
        <v>1</v>
      </c>
      <c r="B71" s="0" t="s">
        <v>64</v>
      </c>
      <c r="C71" s="0" t="n">
        <v>2011</v>
      </c>
      <c r="D71" s="0" t="n">
        <v>6</v>
      </c>
      <c r="E71" s="38" t="n">
        <v>200280.31</v>
      </c>
    </row>
    <row r="72" customFormat="false" ht="15" hidden="false" customHeight="false" outlineLevel="0" collapsed="false">
      <c r="A72" s="0" t="n">
        <v>1</v>
      </c>
      <c r="B72" s="0" t="s">
        <v>64</v>
      </c>
      <c r="C72" s="0" t="n">
        <v>2011</v>
      </c>
      <c r="D72" s="0" t="n">
        <v>7</v>
      </c>
      <c r="E72" s="38" t="n">
        <v>198526.14</v>
      </c>
    </row>
    <row r="73" customFormat="false" ht="15" hidden="false" customHeight="false" outlineLevel="0" collapsed="false">
      <c r="A73" s="0" t="n">
        <v>1</v>
      </c>
      <c r="B73" s="0" t="s">
        <v>64</v>
      </c>
      <c r="C73" s="0" t="n">
        <v>2011</v>
      </c>
      <c r="D73" s="0" t="n">
        <v>8</v>
      </c>
      <c r="E73" s="38" t="n">
        <v>218178.16</v>
      </c>
    </row>
    <row r="74" customFormat="false" ht="15" hidden="false" customHeight="false" outlineLevel="0" collapsed="false">
      <c r="A74" s="0" t="n">
        <v>1</v>
      </c>
      <c r="B74" s="0" t="s">
        <v>64</v>
      </c>
      <c r="C74" s="0" t="n">
        <v>2011</v>
      </c>
      <c r="D74" s="0" t="n">
        <v>9</v>
      </c>
      <c r="E74" s="38" t="n">
        <v>320361.57</v>
      </c>
    </row>
    <row r="75" customFormat="false" ht="15" hidden="false" customHeight="false" outlineLevel="0" collapsed="false">
      <c r="A75" s="0" t="n">
        <v>1</v>
      </c>
      <c r="B75" s="0" t="s">
        <v>64</v>
      </c>
      <c r="C75" s="0" t="n">
        <v>2011</v>
      </c>
      <c r="D75" s="0" t="n">
        <v>10</v>
      </c>
      <c r="E75" s="38" t="n">
        <v>236035.18</v>
      </c>
    </row>
    <row r="76" customFormat="false" ht="15" hidden="false" customHeight="false" outlineLevel="0" collapsed="false">
      <c r="A76" s="0" t="n">
        <v>1</v>
      </c>
      <c r="B76" s="0" t="s">
        <v>64</v>
      </c>
      <c r="C76" s="0" t="n">
        <v>2011</v>
      </c>
      <c r="D76" s="0" t="n">
        <v>11</v>
      </c>
      <c r="E76" s="38" t="n">
        <v>265290.69</v>
      </c>
    </row>
    <row r="77" customFormat="false" ht="15" hidden="false" customHeight="false" outlineLevel="0" collapsed="false">
      <c r="A77" s="0" t="n">
        <v>1</v>
      </c>
      <c r="B77" s="0" t="s">
        <v>64</v>
      </c>
      <c r="C77" s="0" t="n">
        <v>2011</v>
      </c>
      <c r="D77" s="0" t="n">
        <v>12</v>
      </c>
      <c r="E77" s="38" t="n">
        <v>197989.69</v>
      </c>
    </row>
    <row r="78" customFormat="false" ht="15" hidden="false" customHeight="false" outlineLevel="0" collapsed="false">
      <c r="A78" s="0" t="n">
        <v>1</v>
      </c>
      <c r="B78" s="0" t="s">
        <v>64</v>
      </c>
      <c r="C78" s="0" t="n">
        <v>2012</v>
      </c>
      <c r="D78" s="0" t="n">
        <v>1</v>
      </c>
      <c r="E78" s="38" t="n">
        <v>244496.73</v>
      </c>
    </row>
    <row r="79" customFormat="false" ht="15" hidden="false" customHeight="false" outlineLevel="0" collapsed="false">
      <c r="A79" s="0" t="n">
        <v>1</v>
      </c>
      <c r="B79" s="0" t="s">
        <v>64</v>
      </c>
      <c r="C79" s="0" t="n">
        <v>2012</v>
      </c>
      <c r="D79" s="0" t="n">
        <v>2</v>
      </c>
      <c r="E79" s="38" t="n">
        <v>210403.72</v>
      </c>
    </row>
    <row r="80" customFormat="false" ht="15" hidden="false" customHeight="false" outlineLevel="0" collapsed="false">
      <c r="A80" s="0" t="n">
        <v>1</v>
      </c>
      <c r="B80" s="0" t="s">
        <v>64</v>
      </c>
      <c r="C80" s="0" t="n">
        <v>2012</v>
      </c>
      <c r="D80" s="0" t="n">
        <v>3</v>
      </c>
      <c r="E80" s="38" t="n">
        <v>279480.88</v>
      </c>
    </row>
    <row r="81" customFormat="false" ht="15" hidden="false" customHeight="false" outlineLevel="0" collapsed="false">
      <c r="A81" s="0" t="n">
        <v>1</v>
      </c>
      <c r="B81" s="0" t="s">
        <v>64</v>
      </c>
      <c r="C81" s="0" t="n">
        <v>2012</v>
      </c>
      <c r="D81" s="0" t="n">
        <v>4</v>
      </c>
      <c r="E81" s="38" t="n">
        <v>202226.38</v>
      </c>
    </row>
    <row r="82" customFormat="false" ht="15" hidden="false" customHeight="false" outlineLevel="0" collapsed="false">
      <c r="A82" s="0" t="n">
        <v>1</v>
      </c>
      <c r="B82" s="0" t="s">
        <v>64</v>
      </c>
      <c r="C82" s="0" t="n">
        <v>2012</v>
      </c>
      <c r="D82" s="0" t="n">
        <v>5</v>
      </c>
      <c r="E82" s="38" t="n">
        <v>193505.13</v>
      </c>
    </row>
    <row r="83" customFormat="false" ht="15" hidden="false" customHeight="false" outlineLevel="0" collapsed="false">
      <c r="A83" s="0" t="n">
        <v>1</v>
      </c>
      <c r="B83" s="0" t="s">
        <v>64</v>
      </c>
      <c r="C83" s="0" t="n">
        <v>2012</v>
      </c>
      <c r="D83" s="0" t="n">
        <v>6</v>
      </c>
      <c r="E83" s="38" t="n">
        <v>200294.29</v>
      </c>
    </row>
    <row r="84" customFormat="false" ht="15" hidden="false" customHeight="false" outlineLevel="0" collapsed="false">
      <c r="A84" s="0" t="n">
        <v>1</v>
      </c>
      <c r="B84" s="0" t="s">
        <v>64</v>
      </c>
      <c r="C84" s="0" t="n">
        <v>2012</v>
      </c>
      <c r="D84" s="0" t="n">
        <v>7</v>
      </c>
      <c r="E84" s="38" t="n">
        <v>193606.36</v>
      </c>
    </row>
    <row r="85" customFormat="false" ht="15" hidden="false" customHeight="false" outlineLevel="0" collapsed="false">
      <c r="A85" s="0" t="n">
        <v>1</v>
      </c>
      <c r="B85" s="0" t="s">
        <v>64</v>
      </c>
      <c r="C85" s="0" t="n">
        <v>2012</v>
      </c>
      <c r="D85" s="0" t="n">
        <v>8</v>
      </c>
      <c r="E85" s="38" t="n">
        <v>205492.55</v>
      </c>
    </row>
    <row r="86" customFormat="false" ht="15" hidden="false" customHeight="false" outlineLevel="0" collapsed="false">
      <c r="A86" s="0" t="n">
        <v>1</v>
      </c>
      <c r="B86" s="0" t="s">
        <v>64</v>
      </c>
      <c r="C86" s="0" t="n">
        <v>2012</v>
      </c>
      <c r="D86" s="0" t="n">
        <v>9</v>
      </c>
      <c r="E86" s="38" t="n">
        <v>312491.35</v>
      </c>
    </row>
    <row r="87" customFormat="false" ht="15" hidden="false" customHeight="false" outlineLevel="0" collapsed="false">
      <c r="A87" s="0" t="n">
        <v>1</v>
      </c>
      <c r="B87" s="0" t="s">
        <v>64</v>
      </c>
      <c r="C87" s="0" t="n">
        <v>2012</v>
      </c>
      <c r="D87" s="0" t="n">
        <v>10</v>
      </c>
      <c r="E87" s="38" t="n">
        <v>248073.18</v>
      </c>
    </row>
    <row r="88" customFormat="false" ht="15" hidden="false" customHeight="false" outlineLevel="0" collapsed="false">
      <c r="A88" s="0" t="n">
        <v>1</v>
      </c>
      <c r="B88" s="0" t="s">
        <v>64</v>
      </c>
      <c r="C88" s="0" t="n">
        <v>2012</v>
      </c>
      <c r="D88" s="0" t="n">
        <v>11</v>
      </c>
      <c r="E88" s="38" t="n">
        <v>286960.13</v>
      </c>
    </row>
    <row r="89" customFormat="false" ht="15" hidden="false" customHeight="false" outlineLevel="0" collapsed="false">
      <c r="A89" s="0" t="n">
        <v>1</v>
      </c>
      <c r="B89" s="0" t="s">
        <v>64</v>
      </c>
      <c r="C89" s="0" t="n">
        <v>2012</v>
      </c>
      <c r="D89" s="0" t="n">
        <v>12</v>
      </c>
      <c r="E89" s="38" t="n">
        <v>210262.74</v>
      </c>
    </row>
    <row r="90" customFormat="false" ht="15" hidden="false" customHeight="false" outlineLevel="0" collapsed="false">
      <c r="A90" s="0" t="n">
        <v>1</v>
      </c>
      <c r="B90" s="0" t="s">
        <v>64</v>
      </c>
      <c r="C90" s="0" t="n">
        <v>2013</v>
      </c>
      <c r="D90" s="0" t="n">
        <v>1</v>
      </c>
      <c r="E90" s="38" t="n">
        <v>307025.93</v>
      </c>
    </row>
    <row r="91" customFormat="false" ht="15" hidden="false" customHeight="false" outlineLevel="0" collapsed="false">
      <c r="A91" s="0" t="n">
        <v>1</v>
      </c>
      <c r="B91" s="0" t="s">
        <v>64</v>
      </c>
      <c r="C91" s="0" t="n">
        <v>2013</v>
      </c>
      <c r="D91" s="0" t="n">
        <v>2</v>
      </c>
      <c r="E91" s="38" t="n">
        <v>267504.95</v>
      </c>
    </row>
    <row r="92" customFormat="false" ht="15" hidden="false" customHeight="false" outlineLevel="0" collapsed="false">
      <c r="A92" s="0" t="n">
        <v>1</v>
      </c>
      <c r="B92" s="0" t="s">
        <v>64</v>
      </c>
      <c r="C92" s="0" t="n">
        <v>2013</v>
      </c>
      <c r="D92" s="0" t="n">
        <v>3</v>
      </c>
      <c r="E92" s="38" t="n">
        <v>251932.8</v>
      </c>
    </row>
    <row r="93" customFormat="false" ht="15" hidden="false" customHeight="false" outlineLevel="0" collapsed="false">
      <c r="A93" s="0" t="n">
        <v>1</v>
      </c>
      <c r="B93" s="0" t="s">
        <v>64</v>
      </c>
      <c r="C93" s="0" t="n">
        <v>2013</v>
      </c>
      <c r="D93" s="0" t="n">
        <v>4</v>
      </c>
      <c r="E93" s="38" t="n">
        <v>209093.44</v>
      </c>
    </row>
    <row r="94" customFormat="false" ht="15" hidden="false" customHeight="false" outlineLevel="0" collapsed="false">
      <c r="A94" s="0" t="n">
        <v>1</v>
      </c>
      <c r="B94" s="0" t="s">
        <v>64</v>
      </c>
      <c r="C94" s="0" t="n">
        <v>2013</v>
      </c>
      <c r="D94" s="0" t="n">
        <v>5</v>
      </c>
      <c r="E94" s="38" t="n">
        <v>199947.31</v>
      </c>
    </row>
    <row r="95" customFormat="false" ht="15" hidden="false" customHeight="false" outlineLevel="0" collapsed="false">
      <c r="A95" s="0" t="n">
        <v>1</v>
      </c>
      <c r="B95" s="0" t="s">
        <v>64</v>
      </c>
      <c r="C95" s="0" t="n">
        <v>2013</v>
      </c>
      <c r="D95" s="0" t="n">
        <v>6</v>
      </c>
      <c r="E95" s="38" t="n">
        <v>207883.64</v>
      </c>
    </row>
    <row r="96" customFormat="false" ht="15" hidden="false" customHeight="false" outlineLevel="0" collapsed="false">
      <c r="A96" s="0" t="n">
        <v>1</v>
      </c>
      <c r="B96" s="0" t="s">
        <v>64</v>
      </c>
      <c r="C96" s="0" t="n">
        <v>2013</v>
      </c>
      <c r="D96" s="0" t="n">
        <v>7</v>
      </c>
      <c r="E96" s="38" t="n">
        <v>204402.46</v>
      </c>
    </row>
    <row r="97" customFormat="false" ht="15" hidden="false" customHeight="false" outlineLevel="0" collapsed="false">
      <c r="A97" s="0" t="n">
        <v>1</v>
      </c>
      <c r="B97" s="0" t="s">
        <v>64</v>
      </c>
      <c r="C97" s="0" t="n">
        <v>2013</v>
      </c>
      <c r="D97" s="0" t="n">
        <v>8</v>
      </c>
      <c r="E97" s="38" t="n">
        <v>227456.01</v>
      </c>
    </row>
    <row r="98" customFormat="false" ht="15" hidden="false" customHeight="false" outlineLevel="0" collapsed="false">
      <c r="A98" s="0" t="n">
        <v>2</v>
      </c>
      <c r="B98" s="0" t="s">
        <v>60</v>
      </c>
      <c r="C98" s="0" t="n">
        <v>2011</v>
      </c>
      <c r="D98" s="0" t="n">
        <v>1</v>
      </c>
      <c r="E98" s="38" t="n">
        <v>4403779.52</v>
      </c>
    </row>
    <row r="99" customFormat="false" ht="15" hidden="false" customHeight="false" outlineLevel="0" collapsed="false">
      <c r="A99" s="0" t="n">
        <v>2</v>
      </c>
      <c r="B99" s="0" t="s">
        <v>60</v>
      </c>
      <c r="C99" s="0" t="n">
        <v>2011</v>
      </c>
      <c r="D99" s="0" t="n">
        <v>2</v>
      </c>
      <c r="E99" s="38" t="n">
        <v>4809194.11</v>
      </c>
    </row>
    <row r="100" customFormat="false" ht="15" hidden="false" customHeight="false" outlineLevel="0" collapsed="false">
      <c r="A100" s="0" t="n">
        <v>2</v>
      </c>
      <c r="B100" s="0" t="s">
        <v>60</v>
      </c>
      <c r="C100" s="0" t="n">
        <v>2011</v>
      </c>
      <c r="D100" s="0" t="n">
        <v>3</v>
      </c>
      <c r="E100" s="38" t="n">
        <v>4769773.94</v>
      </c>
    </row>
    <row r="101" customFormat="false" ht="15" hidden="false" customHeight="false" outlineLevel="0" collapsed="false">
      <c r="A101" s="0" t="n">
        <v>2</v>
      </c>
      <c r="B101" s="0" t="s">
        <v>60</v>
      </c>
      <c r="C101" s="0" t="n">
        <v>2011</v>
      </c>
      <c r="D101" s="0" t="n">
        <v>4</v>
      </c>
      <c r="E101" s="38" t="n">
        <v>4990999.48</v>
      </c>
    </row>
    <row r="102" customFormat="false" ht="15" hidden="false" customHeight="false" outlineLevel="0" collapsed="false">
      <c r="A102" s="0" t="n">
        <v>2</v>
      </c>
      <c r="B102" s="0" t="s">
        <v>60</v>
      </c>
      <c r="C102" s="0" t="n">
        <v>2011</v>
      </c>
      <c r="D102" s="0" t="n">
        <v>5</v>
      </c>
      <c r="E102" s="38" t="n">
        <v>4978773.78</v>
      </c>
    </row>
    <row r="103" customFormat="false" ht="15" hidden="false" customHeight="false" outlineLevel="0" collapsed="false">
      <c r="A103" s="0" t="n">
        <v>2</v>
      </c>
      <c r="B103" s="0" t="s">
        <v>60</v>
      </c>
      <c r="C103" s="0" t="n">
        <v>2011</v>
      </c>
      <c r="D103" s="0" t="n">
        <v>6</v>
      </c>
      <c r="E103" s="38" t="n">
        <v>5214758.33</v>
      </c>
    </row>
    <row r="104" customFormat="false" ht="15" hidden="false" customHeight="false" outlineLevel="0" collapsed="false">
      <c r="A104" s="0" t="n">
        <v>2</v>
      </c>
      <c r="B104" s="0" t="s">
        <v>60</v>
      </c>
      <c r="C104" s="0" t="n">
        <v>2011</v>
      </c>
      <c r="D104" s="0" t="n">
        <v>7</v>
      </c>
      <c r="E104" s="38" t="n">
        <v>5426719.24</v>
      </c>
    </row>
    <row r="105" customFormat="false" ht="15" hidden="false" customHeight="false" outlineLevel="0" collapsed="false">
      <c r="A105" s="0" t="n">
        <v>2</v>
      </c>
      <c r="B105" s="0" t="s">
        <v>60</v>
      </c>
      <c r="C105" s="0" t="n">
        <v>2011</v>
      </c>
      <c r="D105" s="0" t="n">
        <v>8</v>
      </c>
      <c r="E105" s="38" t="n">
        <v>4810474.32</v>
      </c>
    </row>
    <row r="106" customFormat="false" ht="15" hidden="false" customHeight="false" outlineLevel="0" collapsed="false">
      <c r="A106" s="0" t="n">
        <v>2</v>
      </c>
      <c r="B106" s="0" t="s">
        <v>60</v>
      </c>
      <c r="C106" s="0" t="n">
        <v>2011</v>
      </c>
      <c r="D106" s="0" t="n">
        <v>9</v>
      </c>
      <c r="E106" s="38" t="n">
        <v>4796137.21</v>
      </c>
    </row>
    <row r="107" customFormat="false" ht="15" hidden="false" customHeight="false" outlineLevel="0" collapsed="false">
      <c r="A107" s="0" t="n">
        <v>2</v>
      </c>
      <c r="B107" s="0" t="s">
        <v>60</v>
      </c>
      <c r="C107" s="0" t="n">
        <v>2011</v>
      </c>
      <c r="D107" s="0" t="n">
        <v>10</v>
      </c>
      <c r="E107" s="38" t="n">
        <v>4632474.36</v>
      </c>
    </row>
    <row r="108" customFormat="false" ht="15" hidden="false" customHeight="false" outlineLevel="0" collapsed="false">
      <c r="A108" s="0" t="n">
        <v>2</v>
      </c>
      <c r="B108" s="0" t="s">
        <v>60</v>
      </c>
      <c r="C108" s="0" t="n">
        <v>2011</v>
      </c>
      <c r="D108" s="0" t="n">
        <v>11</v>
      </c>
      <c r="E108" s="38" t="n">
        <v>5327378.15</v>
      </c>
    </row>
    <row r="109" customFormat="false" ht="15" hidden="false" customHeight="false" outlineLevel="0" collapsed="false">
      <c r="A109" s="0" t="n">
        <v>2</v>
      </c>
      <c r="B109" s="0" t="s">
        <v>60</v>
      </c>
      <c r="C109" s="0" t="n">
        <v>2011</v>
      </c>
      <c r="D109" s="0" t="n">
        <v>12</v>
      </c>
      <c r="E109" s="38" t="n">
        <v>4523026.08</v>
      </c>
    </row>
    <row r="110" customFormat="false" ht="15" hidden="false" customHeight="false" outlineLevel="0" collapsed="false">
      <c r="A110" s="0" t="n">
        <v>2</v>
      </c>
      <c r="B110" s="0" t="s">
        <v>60</v>
      </c>
      <c r="C110" s="0" t="n">
        <v>2012</v>
      </c>
      <c r="D110" s="0" t="n">
        <v>1</v>
      </c>
      <c r="E110" s="38" t="n">
        <v>4550521.19</v>
      </c>
    </row>
    <row r="111" customFormat="false" ht="15" hidden="false" customHeight="false" outlineLevel="0" collapsed="false">
      <c r="A111" s="0" t="n">
        <v>2</v>
      </c>
      <c r="B111" s="0" t="s">
        <v>60</v>
      </c>
      <c r="C111" s="0" t="n">
        <v>2012</v>
      </c>
      <c r="D111" s="0" t="n">
        <v>2</v>
      </c>
      <c r="E111" s="38" t="n">
        <v>4958595.47</v>
      </c>
    </row>
    <row r="112" customFormat="false" ht="15" hidden="false" customHeight="false" outlineLevel="0" collapsed="false">
      <c r="A112" s="0" t="n">
        <v>2</v>
      </c>
      <c r="B112" s="0" t="s">
        <v>60</v>
      </c>
      <c r="C112" s="0" t="n">
        <v>2012</v>
      </c>
      <c r="D112" s="0" t="n">
        <v>3</v>
      </c>
      <c r="E112" s="38" t="n">
        <v>4779126.6</v>
      </c>
    </row>
    <row r="113" customFormat="false" ht="15" hidden="false" customHeight="false" outlineLevel="0" collapsed="false">
      <c r="A113" s="0" t="n">
        <v>2</v>
      </c>
      <c r="B113" s="0" t="s">
        <v>60</v>
      </c>
      <c r="C113" s="0" t="n">
        <v>2012</v>
      </c>
      <c r="D113" s="0" t="n">
        <v>4</v>
      </c>
      <c r="E113" s="38" t="n">
        <v>4956607.01</v>
      </c>
    </row>
    <row r="114" customFormat="false" ht="15" hidden="false" customHeight="false" outlineLevel="0" collapsed="false">
      <c r="A114" s="0" t="n">
        <v>2</v>
      </c>
      <c r="B114" s="0" t="s">
        <v>60</v>
      </c>
      <c r="C114" s="0" t="n">
        <v>2012</v>
      </c>
      <c r="D114" s="0" t="n">
        <v>5</v>
      </c>
      <c r="E114" s="38" t="n">
        <v>4937722.37</v>
      </c>
    </row>
    <row r="115" customFormat="false" ht="15" hidden="false" customHeight="false" outlineLevel="0" collapsed="false">
      <c r="A115" s="0" t="n">
        <v>2</v>
      </c>
      <c r="B115" s="0" t="s">
        <v>60</v>
      </c>
      <c r="C115" s="0" t="n">
        <v>2012</v>
      </c>
      <c r="D115" s="0" t="n">
        <v>6</v>
      </c>
      <c r="E115" s="38" t="n">
        <v>5223326.8</v>
      </c>
    </row>
    <row r="116" customFormat="false" ht="15" hidden="false" customHeight="false" outlineLevel="0" collapsed="false">
      <c r="A116" s="0" t="n">
        <v>2</v>
      </c>
      <c r="B116" s="0" t="s">
        <v>60</v>
      </c>
      <c r="C116" s="0" t="n">
        <v>2012</v>
      </c>
      <c r="D116" s="0" t="n">
        <v>7</v>
      </c>
      <c r="E116" s="38" t="n">
        <v>5411824.53</v>
      </c>
    </row>
    <row r="117" customFormat="false" ht="15" hidden="false" customHeight="false" outlineLevel="0" collapsed="false">
      <c r="A117" s="0" t="n">
        <v>2</v>
      </c>
      <c r="B117" s="0" t="s">
        <v>60</v>
      </c>
      <c r="C117" s="0" t="n">
        <v>2012</v>
      </c>
      <c r="D117" s="0" t="n">
        <v>8</v>
      </c>
      <c r="E117" s="38" t="n">
        <v>4841873.14</v>
      </c>
    </row>
    <row r="118" customFormat="false" ht="15" hidden="false" customHeight="false" outlineLevel="0" collapsed="false">
      <c r="A118" s="0" t="n">
        <v>2</v>
      </c>
      <c r="B118" s="0" t="s">
        <v>60</v>
      </c>
      <c r="C118" s="0" t="n">
        <v>2012</v>
      </c>
      <c r="D118" s="0" t="n">
        <v>9</v>
      </c>
      <c r="E118" s="38" t="n">
        <v>4938347.22</v>
      </c>
    </row>
    <row r="119" customFormat="false" ht="15" hidden="false" customHeight="false" outlineLevel="0" collapsed="false">
      <c r="A119" s="0" t="n">
        <v>2</v>
      </c>
      <c r="B119" s="0" t="s">
        <v>60</v>
      </c>
      <c r="C119" s="0" t="n">
        <v>2012</v>
      </c>
      <c r="D119" s="0" t="n">
        <v>10</v>
      </c>
      <c r="E119" s="38" t="n">
        <v>4796696.34</v>
      </c>
    </row>
    <row r="120" customFormat="false" ht="15" hidden="false" customHeight="false" outlineLevel="0" collapsed="false">
      <c r="A120" s="0" t="n">
        <v>2</v>
      </c>
      <c r="B120" s="0" t="s">
        <v>60</v>
      </c>
      <c r="C120" s="0" t="n">
        <v>2012</v>
      </c>
      <c r="D120" s="0" t="n">
        <v>11</v>
      </c>
      <c r="E120" s="38" t="n">
        <v>5717725.18</v>
      </c>
    </row>
    <row r="121" customFormat="false" ht="15" hidden="false" customHeight="false" outlineLevel="0" collapsed="false">
      <c r="A121" s="0" t="n">
        <v>2</v>
      </c>
      <c r="B121" s="0" t="s">
        <v>60</v>
      </c>
      <c r="C121" s="0" t="n">
        <v>2012</v>
      </c>
      <c r="D121" s="0" t="n">
        <v>12</v>
      </c>
      <c r="E121" s="38" t="n">
        <v>4827870.67</v>
      </c>
    </row>
    <row r="122" customFormat="false" ht="15" hidden="false" customHeight="false" outlineLevel="0" collapsed="false">
      <c r="A122" s="0" t="n">
        <v>2</v>
      </c>
      <c r="B122" s="0" t="s">
        <v>60</v>
      </c>
      <c r="C122" s="0" t="n">
        <v>2013</v>
      </c>
      <c r="D122" s="0" t="n">
        <v>1</v>
      </c>
      <c r="E122" s="38" t="n">
        <v>4914837.79</v>
      </c>
    </row>
    <row r="123" customFormat="false" ht="15" hidden="false" customHeight="false" outlineLevel="0" collapsed="false">
      <c r="A123" s="0" t="n">
        <v>2</v>
      </c>
      <c r="B123" s="0" t="s">
        <v>60</v>
      </c>
      <c r="C123" s="0" t="n">
        <v>2013</v>
      </c>
      <c r="D123" s="0" t="n">
        <v>2</v>
      </c>
      <c r="E123" s="38" t="n">
        <v>5108408.5</v>
      </c>
    </row>
    <row r="124" customFormat="false" ht="15" hidden="false" customHeight="false" outlineLevel="0" collapsed="false">
      <c r="A124" s="0" t="n">
        <v>2</v>
      </c>
      <c r="B124" s="0" t="s">
        <v>60</v>
      </c>
      <c r="C124" s="0" t="n">
        <v>2013</v>
      </c>
      <c r="D124" s="0" t="n">
        <v>3</v>
      </c>
      <c r="E124" s="38" t="n">
        <v>4890934.5</v>
      </c>
    </row>
    <row r="125" customFormat="false" ht="15" hidden="false" customHeight="false" outlineLevel="0" collapsed="false">
      <c r="A125" s="0" t="n">
        <v>2</v>
      </c>
      <c r="B125" s="0" t="s">
        <v>60</v>
      </c>
      <c r="C125" s="0" t="n">
        <v>2013</v>
      </c>
      <c r="D125" s="0" t="n">
        <v>4</v>
      </c>
      <c r="E125" s="38" t="n">
        <v>5084392.32</v>
      </c>
    </row>
    <row r="126" customFormat="false" ht="15" hidden="false" customHeight="false" outlineLevel="0" collapsed="false">
      <c r="A126" s="0" t="n">
        <v>2</v>
      </c>
      <c r="B126" s="0" t="s">
        <v>60</v>
      </c>
      <c r="C126" s="0" t="n">
        <v>2013</v>
      </c>
      <c r="D126" s="0" t="n">
        <v>5</v>
      </c>
      <c r="E126" s="38" t="n">
        <v>5092061.92</v>
      </c>
    </row>
    <row r="127" customFormat="false" ht="15" hidden="false" customHeight="false" outlineLevel="0" collapsed="false">
      <c r="A127" s="0" t="n">
        <v>2</v>
      </c>
      <c r="B127" s="0" t="s">
        <v>60</v>
      </c>
      <c r="C127" s="0" t="n">
        <v>2013</v>
      </c>
      <c r="D127" s="0" t="n">
        <v>6</v>
      </c>
      <c r="E127" s="38" t="n">
        <v>5236065.77</v>
      </c>
    </row>
    <row r="128" customFormat="false" ht="15" hidden="false" customHeight="false" outlineLevel="0" collapsed="false">
      <c r="A128" s="0" t="n">
        <v>2</v>
      </c>
      <c r="B128" s="0" t="s">
        <v>60</v>
      </c>
      <c r="C128" s="0" t="n">
        <v>2013</v>
      </c>
      <c r="D128" s="0" t="n">
        <v>7</v>
      </c>
      <c r="E128" s="38" t="n">
        <v>5415952.2</v>
      </c>
    </row>
    <row r="129" customFormat="false" ht="15" hidden="false" customHeight="false" outlineLevel="0" collapsed="false">
      <c r="A129" s="0" t="n">
        <v>2</v>
      </c>
      <c r="B129" s="0" t="s">
        <v>60</v>
      </c>
      <c r="C129" s="0" t="n">
        <v>2013</v>
      </c>
      <c r="D129" s="0" t="n">
        <v>8</v>
      </c>
      <c r="E129" s="38" t="n">
        <v>4805984.2</v>
      </c>
    </row>
    <row r="130" customFormat="false" ht="15" hidden="false" customHeight="false" outlineLevel="0" collapsed="false">
      <c r="A130" s="0" t="n">
        <v>2</v>
      </c>
      <c r="B130" s="0" t="s">
        <v>62</v>
      </c>
      <c r="C130" s="0" t="n">
        <v>2011</v>
      </c>
      <c r="D130" s="0" t="n">
        <v>1</v>
      </c>
      <c r="E130" s="38" t="n">
        <v>2907416.5</v>
      </c>
    </row>
    <row r="131" customFormat="false" ht="15" hidden="false" customHeight="false" outlineLevel="0" collapsed="false">
      <c r="A131" s="0" t="n">
        <v>2</v>
      </c>
      <c r="B131" s="0" t="s">
        <v>62</v>
      </c>
      <c r="C131" s="0" t="n">
        <v>2011</v>
      </c>
      <c r="D131" s="0" t="n">
        <v>2</v>
      </c>
      <c r="E131" s="38" t="n">
        <v>3195885.48</v>
      </c>
    </row>
    <row r="132" customFormat="false" ht="15" hidden="false" customHeight="false" outlineLevel="0" collapsed="false">
      <c r="A132" s="0" t="n">
        <v>2</v>
      </c>
      <c r="B132" s="0" t="s">
        <v>62</v>
      </c>
      <c r="C132" s="0" t="n">
        <v>2011</v>
      </c>
      <c r="D132" s="0" t="n">
        <v>3</v>
      </c>
      <c r="E132" s="38" t="n">
        <v>3123676.75</v>
      </c>
    </row>
    <row r="133" customFormat="false" ht="15" hidden="false" customHeight="false" outlineLevel="0" collapsed="false">
      <c r="A133" s="0" t="n">
        <v>2</v>
      </c>
      <c r="B133" s="0" t="s">
        <v>62</v>
      </c>
      <c r="C133" s="0" t="n">
        <v>2011</v>
      </c>
      <c r="D133" s="0" t="n">
        <v>4</v>
      </c>
      <c r="E133" s="38" t="n">
        <v>3238153.5</v>
      </c>
    </row>
    <row r="134" customFormat="false" ht="15" hidden="false" customHeight="false" outlineLevel="0" collapsed="false">
      <c r="A134" s="0" t="n">
        <v>2</v>
      </c>
      <c r="B134" s="0" t="s">
        <v>62</v>
      </c>
      <c r="C134" s="0" t="n">
        <v>2011</v>
      </c>
      <c r="D134" s="0" t="n">
        <v>5</v>
      </c>
      <c r="E134" s="38" t="n">
        <v>3304366.04</v>
      </c>
    </row>
    <row r="135" customFormat="false" ht="15" hidden="false" customHeight="false" outlineLevel="0" collapsed="false">
      <c r="A135" s="0" t="n">
        <v>2</v>
      </c>
      <c r="B135" s="0" t="s">
        <v>62</v>
      </c>
      <c r="C135" s="0" t="n">
        <v>2011</v>
      </c>
      <c r="D135" s="0" t="n">
        <v>6</v>
      </c>
      <c r="E135" s="38" t="n">
        <v>3465081.28</v>
      </c>
    </row>
    <row r="136" customFormat="false" ht="15" hidden="false" customHeight="false" outlineLevel="0" collapsed="false">
      <c r="A136" s="0" t="n">
        <v>2</v>
      </c>
      <c r="B136" s="0" t="s">
        <v>62</v>
      </c>
      <c r="C136" s="0" t="n">
        <v>2011</v>
      </c>
      <c r="D136" s="0" t="n">
        <v>7</v>
      </c>
      <c r="E136" s="38" t="n">
        <v>3558699.31</v>
      </c>
    </row>
    <row r="137" customFormat="false" ht="15" hidden="false" customHeight="false" outlineLevel="0" collapsed="false">
      <c r="A137" s="0" t="n">
        <v>2</v>
      </c>
      <c r="B137" s="0" t="s">
        <v>62</v>
      </c>
      <c r="C137" s="0" t="n">
        <v>2011</v>
      </c>
      <c r="D137" s="0" t="n">
        <v>8</v>
      </c>
      <c r="E137" s="38" t="n">
        <v>3089612.02</v>
      </c>
    </row>
    <row r="138" customFormat="false" ht="15" hidden="false" customHeight="false" outlineLevel="0" collapsed="false">
      <c r="A138" s="0" t="n">
        <v>2</v>
      </c>
      <c r="B138" s="0" t="s">
        <v>62</v>
      </c>
      <c r="C138" s="0" t="n">
        <v>2011</v>
      </c>
      <c r="D138" s="0" t="n">
        <v>9</v>
      </c>
      <c r="E138" s="38" t="n">
        <v>3046049.05</v>
      </c>
    </row>
    <row r="139" customFormat="false" ht="15" hidden="false" customHeight="false" outlineLevel="0" collapsed="false">
      <c r="A139" s="0" t="n">
        <v>2</v>
      </c>
      <c r="B139" s="0" t="s">
        <v>62</v>
      </c>
      <c r="C139" s="0" t="n">
        <v>2011</v>
      </c>
      <c r="D139" s="0" t="n">
        <v>10</v>
      </c>
      <c r="E139" s="38" t="n">
        <v>2894601.07</v>
      </c>
    </row>
    <row r="140" customFormat="false" ht="15" hidden="false" customHeight="false" outlineLevel="0" collapsed="false">
      <c r="A140" s="0" t="n">
        <v>2</v>
      </c>
      <c r="B140" s="0" t="s">
        <v>62</v>
      </c>
      <c r="C140" s="0" t="n">
        <v>2011</v>
      </c>
      <c r="D140" s="0" t="n">
        <v>11</v>
      </c>
      <c r="E140" s="38" t="n">
        <v>3416936.04</v>
      </c>
    </row>
    <row r="141" customFormat="false" ht="15" hidden="false" customHeight="false" outlineLevel="0" collapsed="false">
      <c r="A141" s="0" t="n">
        <v>2</v>
      </c>
      <c r="B141" s="0" t="s">
        <v>62</v>
      </c>
      <c r="C141" s="0" t="n">
        <v>2011</v>
      </c>
      <c r="D141" s="0" t="n">
        <v>12</v>
      </c>
      <c r="E141" s="38" t="n">
        <v>2866466.25</v>
      </c>
    </row>
    <row r="142" customFormat="false" ht="15" hidden="false" customHeight="false" outlineLevel="0" collapsed="false">
      <c r="A142" s="0" t="n">
        <v>2</v>
      </c>
      <c r="B142" s="0" t="s">
        <v>62</v>
      </c>
      <c r="C142" s="0" t="n">
        <v>2012</v>
      </c>
      <c r="D142" s="0" t="n">
        <v>1</v>
      </c>
      <c r="E142" s="38" t="n">
        <v>2862977.96</v>
      </c>
    </row>
    <row r="143" customFormat="false" ht="15" hidden="false" customHeight="false" outlineLevel="0" collapsed="false">
      <c r="A143" s="0" t="n">
        <v>2</v>
      </c>
      <c r="B143" s="0" t="s">
        <v>62</v>
      </c>
      <c r="C143" s="0" t="n">
        <v>2012</v>
      </c>
      <c r="D143" s="0" t="n">
        <v>2</v>
      </c>
      <c r="E143" s="38" t="n">
        <v>3112721.27</v>
      </c>
    </row>
    <row r="144" customFormat="false" ht="15" hidden="false" customHeight="false" outlineLevel="0" collapsed="false">
      <c r="A144" s="0" t="n">
        <v>2</v>
      </c>
      <c r="B144" s="0" t="s">
        <v>62</v>
      </c>
      <c r="C144" s="0" t="n">
        <v>2012</v>
      </c>
      <c r="D144" s="0" t="n">
        <v>3</v>
      </c>
      <c r="E144" s="38" t="n">
        <v>2995410.93</v>
      </c>
    </row>
    <row r="145" customFormat="false" ht="15" hidden="false" customHeight="false" outlineLevel="0" collapsed="false">
      <c r="A145" s="0" t="n">
        <v>2</v>
      </c>
      <c r="B145" s="0" t="s">
        <v>62</v>
      </c>
      <c r="C145" s="0" t="n">
        <v>2012</v>
      </c>
      <c r="D145" s="0" t="n">
        <v>4</v>
      </c>
      <c r="E145" s="38" t="n">
        <v>3088146.25</v>
      </c>
    </row>
    <row r="146" customFormat="false" ht="15" hidden="false" customHeight="false" outlineLevel="0" collapsed="false">
      <c r="A146" s="0" t="n">
        <v>2</v>
      </c>
      <c r="B146" s="0" t="s">
        <v>62</v>
      </c>
      <c r="C146" s="0" t="n">
        <v>2012</v>
      </c>
      <c r="D146" s="0" t="n">
        <v>5</v>
      </c>
      <c r="E146" s="38" t="n">
        <v>3158012.04</v>
      </c>
    </row>
    <row r="147" customFormat="false" ht="15" hidden="false" customHeight="false" outlineLevel="0" collapsed="false">
      <c r="A147" s="0" t="n">
        <v>2</v>
      </c>
      <c r="B147" s="0" t="s">
        <v>62</v>
      </c>
      <c r="C147" s="0" t="n">
        <v>2012</v>
      </c>
      <c r="D147" s="0" t="n">
        <v>6</v>
      </c>
      <c r="E147" s="38" t="n">
        <v>3317123.64</v>
      </c>
    </row>
    <row r="148" customFormat="false" ht="15" hidden="false" customHeight="false" outlineLevel="0" collapsed="false">
      <c r="A148" s="0" t="n">
        <v>2</v>
      </c>
      <c r="B148" s="0" t="s">
        <v>62</v>
      </c>
      <c r="C148" s="0" t="n">
        <v>2012</v>
      </c>
      <c r="D148" s="0" t="n">
        <v>7</v>
      </c>
      <c r="E148" s="38" t="n">
        <v>3398586.7</v>
      </c>
    </row>
    <row r="149" customFormat="false" ht="15" hidden="false" customHeight="false" outlineLevel="0" collapsed="false">
      <c r="A149" s="0" t="n">
        <v>2</v>
      </c>
      <c r="B149" s="0" t="s">
        <v>62</v>
      </c>
      <c r="C149" s="0" t="n">
        <v>2012</v>
      </c>
      <c r="D149" s="0" t="n">
        <v>8</v>
      </c>
      <c r="E149" s="38" t="n">
        <v>3056988.57</v>
      </c>
    </row>
    <row r="150" customFormat="false" ht="15" hidden="false" customHeight="false" outlineLevel="0" collapsed="false">
      <c r="A150" s="0" t="n">
        <v>2</v>
      </c>
      <c r="B150" s="0" t="s">
        <v>62</v>
      </c>
      <c r="C150" s="0" t="n">
        <v>2012</v>
      </c>
      <c r="D150" s="0" t="n">
        <v>9</v>
      </c>
      <c r="E150" s="38" t="n">
        <v>3060682.72</v>
      </c>
    </row>
    <row r="151" customFormat="false" ht="15" hidden="false" customHeight="false" outlineLevel="0" collapsed="false">
      <c r="A151" s="0" t="n">
        <v>2</v>
      </c>
      <c r="B151" s="0" t="s">
        <v>62</v>
      </c>
      <c r="C151" s="0" t="n">
        <v>2012</v>
      </c>
      <c r="D151" s="0" t="n">
        <v>10</v>
      </c>
      <c r="E151" s="38" t="n">
        <v>3033336.62</v>
      </c>
    </row>
    <row r="152" customFormat="false" ht="15" hidden="false" customHeight="false" outlineLevel="0" collapsed="false">
      <c r="A152" s="0" t="n">
        <v>2</v>
      </c>
      <c r="B152" s="0" t="s">
        <v>62</v>
      </c>
      <c r="C152" s="0" t="n">
        <v>2012</v>
      </c>
      <c r="D152" s="0" t="n">
        <v>11</v>
      </c>
      <c r="E152" s="38" t="n">
        <v>3735038.08</v>
      </c>
    </row>
    <row r="153" customFormat="false" ht="15" hidden="false" customHeight="false" outlineLevel="0" collapsed="false">
      <c r="A153" s="0" t="n">
        <v>2</v>
      </c>
      <c r="B153" s="0" t="s">
        <v>62</v>
      </c>
      <c r="C153" s="0" t="n">
        <v>2012</v>
      </c>
      <c r="D153" s="0" t="n">
        <v>12</v>
      </c>
      <c r="E153" s="38" t="n">
        <v>3039649.02</v>
      </c>
    </row>
    <row r="154" customFormat="false" ht="15" hidden="false" customHeight="false" outlineLevel="0" collapsed="false">
      <c r="A154" s="0" t="n">
        <v>2</v>
      </c>
      <c r="B154" s="0" t="s">
        <v>62</v>
      </c>
      <c r="C154" s="0" t="n">
        <v>2013</v>
      </c>
      <c r="D154" s="0" t="n">
        <v>1</v>
      </c>
      <c r="E154" s="38" t="n">
        <v>3092433.8</v>
      </c>
    </row>
    <row r="155" customFormat="false" ht="15" hidden="false" customHeight="false" outlineLevel="0" collapsed="false">
      <c r="A155" s="0" t="n">
        <v>2</v>
      </c>
      <c r="B155" s="0" t="s">
        <v>62</v>
      </c>
      <c r="C155" s="0" t="n">
        <v>2013</v>
      </c>
      <c r="D155" s="0" t="n">
        <v>2</v>
      </c>
      <c r="E155" s="38" t="n">
        <v>3227217.37</v>
      </c>
    </row>
    <row r="156" customFormat="false" ht="15" hidden="false" customHeight="false" outlineLevel="0" collapsed="false">
      <c r="A156" s="0" t="n">
        <v>2</v>
      </c>
      <c r="B156" s="0" t="s">
        <v>62</v>
      </c>
      <c r="C156" s="0" t="n">
        <v>2013</v>
      </c>
      <c r="D156" s="0" t="n">
        <v>3</v>
      </c>
      <c r="E156" s="38" t="n">
        <v>3115542.82</v>
      </c>
    </row>
    <row r="157" customFormat="false" ht="15" hidden="false" customHeight="false" outlineLevel="0" collapsed="false">
      <c r="A157" s="0" t="n">
        <v>2</v>
      </c>
      <c r="B157" s="0" t="s">
        <v>62</v>
      </c>
      <c r="C157" s="0" t="n">
        <v>2013</v>
      </c>
      <c r="D157" s="0" t="n">
        <v>4</v>
      </c>
      <c r="E157" s="38" t="n">
        <v>3179748.45</v>
      </c>
    </row>
    <row r="158" customFormat="false" ht="15" hidden="false" customHeight="false" outlineLevel="0" collapsed="false">
      <c r="A158" s="0" t="n">
        <v>2</v>
      </c>
      <c r="B158" s="0" t="s">
        <v>62</v>
      </c>
      <c r="C158" s="0" t="n">
        <v>2013</v>
      </c>
      <c r="D158" s="0" t="n">
        <v>5</v>
      </c>
      <c r="E158" s="38" t="n">
        <v>3270505.84</v>
      </c>
    </row>
    <row r="159" customFormat="false" ht="15" hidden="false" customHeight="false" outlineLevel="0" collapsed="false">
      <c r="A159" s="0" t="n">
        <v>2</v>
      </c>
      <c r="B159" s="0" t="s">
        <v>62</v>
      </c>
      <c r="C159" s="0" t="n">
        <v>2013</v>
      </c>
      <c r="D159" s="0" t="n">
        <v>6</v>
      </c>
      <c r="E159" s="38" t="n">
        <v>3368235.94</v>
      </c>
    </row>
    <row r="160" customFormat="false" ht="15" hidden="false" customHeight="false" outlineLevel="0" collapsed="false">
      <c r="A160" s="0" t="n">
        <v>2</v>
      </c>
      <c r="B160" s="0" t="s">
        <v>62</v>
      </c>
      <c r="C160" s="0" t="n">
        <v>2013</v>
      </c>
      <c r="D160" s="0" t="n">
        <v>7</v>
      </c>
      <c r="E160" s="38" t="n">
        <v>3484296.68</v>
      </c>
    </row>
    <row r="161" customFormat="false" ht="15" hidden="false" customHeight="false" outlineLevel="0" collapsed="false">
      <c r="A161" s="0" t="n">
        <v>2</v>
      </c>
      <c r="B161" s="0" t="s">
        <v>62</v>
      </c>
      <c r="C161" s="0" t="n">
        <v>2013</v>
      </c>
      <c r="D161" s="0" t="n">
        <v>8</v>
      </c>
      <c r="E161" s="38" t="n">
        <v>3113252.5</v>
      </c>
    </row>
    <row r="162" customFormat="false" ht="15" hidden="false" customHeight="false" outlineLevel="0" collapsed="false">
      <c r="A162" s="0" t="n">
        <v>2</v>
      </c>
      <c r="B162" s="0" t="s">
        <v>64</v>
      </c>
      <c r="C162" s="0" t="n">
        <v>2011</v>
      </c>
      <c r="D162" s="0" t="n">
        <v>1</v>
      </c>
      <c r="E162" s="38" t="n">
        <v>335653.68</v>
      </c>
    </row>
    <row r="163" customFormat="false" ht="15" hidden="false" customHeight="false" outlineLevel="0" collapsed="false">
      <c r="A163" s="0" t="n">
        <v>2</v>
      </c>
      <c r="B163" s="0" t="s">
        <v>64</v>
      </c>
      <c r="C163" s="0" t="n">
        <v>2011</v>
      </c>
      <c r="D163" s="0" t="n">
        <v>2</v>
      </c>
      <c r="E163" s="38" t="n">
        <v>374057.7</v>
      </c>
    </row>
    <row r="164" customFormat="false" ht="15" hidden="false" customHeight="false" outlineLevel="0" collapsed="false">
      <c r="A164" s="0" t="n">
        <v>2</v>
      </c>
      <c r="B164" s="0" t="s">
        <v>64</v>
      </c>
      <c r="C164" s="0" t="n">
        <v>2011</v>
      </c>
      <c r="D164" s="0" t="n">
        <v>3</v>
      </c>
      <c r="E164" s="38" t="n">
        <v>368233.09</v>
      </c>
    </row>
    <row r="165" customFormat="false" ht="15" hidden="false" customHeight="false" outlineLevel="0" collapsed="false">
      <c r="A165" s="0" t="n">
        <v>2</v>
      </c>
      <c r="B165" s="0" t="s">
        <v>64</v>
      </c>
      <c r="C165" s="0" t="n">
        <v>2011</v>
      </c>
      <c r="D165" s="0" t="n">
        <v>4</v>
      </c>
      <c r="E165" s="38" t="n">
        <v>390223.05</v>
      </c>
    </row>
    <row r="166" customFormat="false" ht="15" hidden="false" customHeight="false" outlineLevel="0" collapsed="false">
      <c r="A166" s="0" t="n">
        <v>2</v>
      </c>
      <c r="B166" s="0" t="s">
        <v>64</v>
      </c>
      <c r="C166" s="0" t="n">
        <v>2011</v>
      </c>
      <c r="D166" s="0" t="n">
        <v>5</v>
      </c>
      <c r="E166" s="38" t="n">
        <v>371538.21</v>
      </c>
    </row>
    <row r="167" customFormat="false" ht="15" hidden="false" customHeight="false" outlineLevel="0" collapsed="false">
      <c r="A167" s="0" t="n">
        <v>2</v>
      </c>
      <c r="B167" s="0" t="s">
        <v>64</v>
      </c>
      <c r="C167" s="0" t="n">
        <v>2011</v>
      </c>
      <c r="D167" s="0" t="n">
        <v>6</v>
      </c>
      <c r="E167" s="38" t="n">
        <v>383567.84</v>
      </c>
    </row>
    <row r="168" customFormat="false" ht="15" hidden="false" customHeight="false" outlineLevel="0" collapsed="false">
      <c r="A168" s="0" t="n">
        <v>2</v>
      </c>
      <c r="B168" s="0" t="s">
        <v>64</v>
      </c>
      <c r="C168" s="0" t="n">
        <v>2011</v>
      </c>
      <c r="D168" s="0" t="n">
        <v>7</v>
      </c>
      <c r="E168" s="38" t="n">
        <v>400037.08</v>
      </c>
    </row>
    <row r="169" customFormat="false" ht="15" hidden="false" customHeight="false" outlineLevel="0" collapsed="false">
      <c r="A169" s="0" t="n">
        <v>2</v>
      </c>
      <c r="B169" s="0" t="s">
        <v>64</v>
      </c>
      <c r="C169" s="0" t="n">
        <v>2011</v>
      </c>
      <c r="D169" s="0" t="n">
        <v>8</v>
      </c>
      <c r="E169" s="38" t="n">
        <v>387397.16</v>
      </c>
    </row>
    <row r="170" customFormat="false" ht="15" hidden="false" customHeight="false" outlineLevel="0" collapsed="false">
      <c r="A170" s="0" t="n">
        <v>2</v>
      </c>
      <c r="B170" s="0" t="s">
        <v>64</v>
      </c>
      <c r="C170" s="0" t="n">
        <v>2011</v>
      </c>
      <c r="D170" s="0" t="n">
        <v>9</v>
      </c>
      <c r="E170" s="38" t="n">
        <v>383428.35</v>
      </c>
    </row>
    <row r="171" customFormat="false" ht="15" hidden="false" customHeight="false" outlineLevel="0" collapsed="false">
      <c r="A171" s="0" t="n">
        <v>2</v>
      </c>
      <c r="B171" s="0" t="s">
        <v>64</v>
      </c>
      <c r="C171" s="0" t="n">
        <v>2011</v>
      </c>
      <c r="D171" s="0" t="n">
        <v>10</v>
      </c>
      <c r="E171" s="38" t="n">
        <v>344688.09</v>
      </c>
    </row>
    <row r="172" customFormat="false" ht="15" hidden="false" customHeight="false" outlineLevel="0" collapsed="false">
      <c r="A172" s="0" t="n">
        <v>2</v>
      </c>
      <c r="B172" s="0" t="s">
        <v>64</v>
      </c>
      <c r="C172" s="0" t="n">
        <v>2011</v>
      </c>
      <c r="D172" s="0" t="n">
        <v>11</v>
      </c>
      <c r="E172" s="38" t="n">
        <v>342360.53</v>
      </c>
    </row>
    <row r="173" customFormat="false" ht="15" hidden="false" customHeight="false" outlineLevel="0" collapsed="false">
      <c r="A173" s="0" t="n">
        <v>2</v>
      </c>
      <c r="B173" s="0" t="s">
        <v>64</v>
      </c>
      <c r="C173" s="0" t="n">
        <v>2011</v>
      </c>
      <c r="D173" s="0" t="n">
        <v>12</v>
      </c>
      <c r="E173" s="38" t="n">
        <v>363091.29</v>
      </c>
    </row>
    <row r="174" customFormat="false" ht="15" hidden="false" customHeight="false" outlineLevel="0" collapsed="false">
      <c r="A174" s="0" t="n">
        <v>2</v>
      </c>
      <c r="B174" s="0" t="s">
        <v>64</v>
      </c>
      <c r="C174" s="0" t="n">
        <v>2012</v>
      </c>
      <c r="D174" s="0" t="n">
        <v>1</v>
      </c>
      <c r="E174" s="38" t="n">
        <v>346583.31</v>
      </c>
    </row>
    <row r="175" customFormat="false" ht="15" hidden="false" customHeight="false" outlineLevel="0" collapsed="false">
      <c r="A175" s="0" t="n">
        <v>2</v>
      </c>
      <c r="B175" s="0" t="s">
        <v>64</v>
      </c>
      <c r="C175" s="0" t="n">
        <v>2012</v>
      </c>
      <c r="D175" s="0" t="n">
        <v>2</v>
      </c>
      <c r="E175" s="38" t="n">
        <v>387957.97</v>
      </c>
    </row>
    <row r="176" customFormat="false" ht="15" hidden="false" customHeight="false" outlineLevel="0" collapsed="false">
      <c r="A176" s="0" t="n">
        <v>2</v>
      </c>
      <c r="B176" s="0" t="s">
        <v>64</v>
      </c>
      <c r="C176" s="0" t="n">
        <v>2012</v>
      </c>
      <c r="D176" s="0" t="n">
        <v>3</v>
      </c>
      <c r="E176" s="38" t="n">
        <v>376632.34</v>
      </c>
    </row>
    <row r="177" customFormat="false" ht="15" hidden="false" customHeight="false" outlineLevel="0" collapsed="false">
      <c r="A177" s="0" t="n">
        <v>2</v>
      </c>
      <c r="B177" s="0" t="s">
        <v>64</v>
      </c>
      <c r="C177" s="0" t="n">
        <v>2012</v>
      </c>
      <c r="D177" s="0" t="n">
        <v>4</v>
      </c>
      <c r="E177" s="38" t="n">
        <v>397259.18</v>
      </c>
    </row>
    <row r="178" customFormat="false" ht="15" hidden="false" customHeight="false" outlineLevel="0" collapsed="false">
      <c r="A178" s="0" t="n">
        <v>2</v>
      </c>
      <c r="B178" s="0" t="s">
        <v>64</v>
      </c>
      <c r="C178" s="0" t="n">
        <v>2012</v>
      </c>
      <c r="D178" s="0" t="n">
        <v>5</v>
      </c>
      <c r="E178" s="38" t="n">
        <v>374864.7</v>
      </c>
    </row>
    <row r="179" customFormat="false" ht="15" hidden="false" customHeight="false" outlineLevel="0" collapsed="false">
      <c r="A179" s="0" t="n">
        <v>2</v>
      </c>
      <c r="B179" s="0" t="s">
        <v>64</v>
      </c>
      <c r="C179" s="0" t="n">
        <v>2012</v>
      </c>
      <c r="D179" s="0" t="n">
        <v>6</v>
      </c>
      <c r="E179" s="38" t="n">
        <v>375771.58</v>
      </c>
    </row>
    <row r="180" customFormat="false" ht="15" hidden="false" customHeight="false" outlineLevel="0" collapsed="false">
      <c r="A180" s="0" t="n">
        <v>2</v>
      </c>
      <c r="B180" s="0" t="s">
        <v>64</v>
      </c>
      <c r="C180" s="0" t="n">
        <v>2012</v>
      </c>
      <c r="D180" s="0" t="n">
        <v>7</v>
      </c>
      <c r="E180" s="38" t="n">
        <v>379577.78</v>
      </c>
    </row>
    <row r="181" customFormat="false" ht="15" hidden="false" customHeight="false" outlineLevel="0" collapsed="false">
      <c r="A181" s="0" t="n">
        <v>2</v>
      </c>
      <c r="B181" s="0" t="s">
        <v>64</v>
      </c>
      <c r="C181" s="0" t="n">
        <v>2012</v>
      </c>
      <c r="D181" s="0" t="n">
        <v>8</v>
      </c>
      <c r="E181" s="38" t="n">
        <v>363796.62</v>
      </c>
    </row>
    <row r="182" customFormat="false" ht="15" hidden="false" customHeight="false" outlineLevel="0" collapsed="false">
      <c r="A182" s="0" t="n">
        <v>2</v>
      </c>
      <c r="B182" s="0" t="s">
        <v>64</v>
      </c>
      <c r="C182" s="0" t="n">
        <v>2012</v>
      </c>
      <c r="D182" s="0" t="n">
        <v>9</v>
      </c>
      <c r="E182" s="38" t="n">
        <v>390450.97</v>
      </c>
    </row>
    <row r="183" customFormat="false" ht="15" hidden="false" customHeight="false" outlineLevel="0" collapsed="false">
      <c r="A183" s="0" t="n">
        <v>2</v>
      </c>
      <c r="B183" s="0" t="s">
        <v>64</v>
      </c>
      <c r="C183" s="0" t="n">
        <v>2012</v>
      </c>
      <c r="D183" s="0" t="n">
        <v>10</v>
      </c>
      <c r="E183" s="38" t="n">
        <v>354194.79</v>
      </c>
    </row>
    <row r="184" customFormat="false" ht="15" hidden="false" customHeight="false" outlineLevel="0" collapsed="false">
      <c r="A184" s="0" t="n">
        <v>2</v>
      </c>
      <c r="B184" s="0" t="s">
        <v>64</v>
      </c>
      <c r="C184" s="0" t="n">
        <v>2012</v>
      </c>
      <c r="D184" s="0" t="n">
        <v>11</v>
      </c>
      <c r="E184" s="38" t="n">
        <v>350822.3</v>
      </c>
    </row>
    <row r="185" customFormat="false" ht="15" hidden="false" customHeight="false" outlineLevel="0" collapsed="false">
      <c r="A185" s="0" t="n">
        <v>2</v>
      </c>
      <c r="B185" s="0" t="s">
        <v>64</v>
      </c>
      <c r="C185" s="0" t="n">
        <v>2012</v>
      </c>
      <c r="D185" s="0" t="n">
        <v>12</v>
      </c>
      <c r="E185" s="38" t="n">
        <v>382508.73</v>
      </c>
    </row>
    <row r="186" customFormat="false" ht="15" hidden="false" customHeight="false" outlineLevel="0" collapsed="false">
      <c r="A186" s="0" t="n">
        <v>2</v>
      </c>
      <c r="B186" s="0" t="s">
        <v>64</v>
      </c>
      <c r="C186" s="0" t="n">
        <v>2013</v>
      </c>
      <c r="D186" s="0" t="n">
        <v>1</v>
      </c>
      <c r="E186" s="38" t="n">
        <v>379245.77</v>
      </c>
    </row>
    <row r="187" customFormat="false" ht="15" hidden="false" customHeight="false" outlineLevel="0" collapsed="false">
      <c r="A187" s="0" t="n">
        <v>2</v>
      </c>
      <c r="B187" s="0" t="s">
        <v>64</v>
      </c>
      <c r="C187" s="0" t="n">
        <v>2013</v>
      </c>
      <c r="D187" s="0" t="n">
        <v>2</v>
      </c>
      <c r="E187" s="38" t="n">
        <v>399309.11</v>
      </c>
    </row>
    <row r="188" customFormat="false" ht="15" hidden="false" customHeight="false" outlineLevel="0" collapsed="false">
      <c r="A188" s="0" t="n">
        <v>2</v>
      </c>
      <c r="B188" s="0" t="s">
        <v>64</v>
      </c>
      <c r="C188" s="0" t="n">
        <v>2013</v>
      </c>
      <c r="D188" s="0" t="n">
        <v>3</v>
      </c>
      <c r="E188" s="38" t="n">
        <v>381368.27</v>
      </c>
    </row>
    <row r="189" customFormat="false" ht="15" hidden="false" customHeight="false" outlineLevel="0" collapsed="false">
      <c r="A189" s="0" t="n">
        <v>2</v>
      </c>
      <c r="B189" s="0" t="s">
        <v>64</v>
      </c>
      <c r="C189" s="0" t="n">
        <v>2013</v>
      </c>
      <c r="D189" s="0" t="n">
        <v>4</v>
      </c>
      <c r="E189" s="38" t="n">
        <v>395812.04</v>
      </c>
    </row>
    <row r="190" customFormat="false" ht="15" hidden="false" customHeight="false" outlineLevel="0" collapsed="false">
      <c r="A190" s="0" t="n">
        <v>2</v>
      </c>
      <c r="B190" s="0" t="s">
        <v>64</v>
      </c>
      <c r="C190" s="0" t="n">
        <v>2013</v>
      </c>
      <c r="D190" s="0" t="n">
        <v>5</v>
      </c>
      <c r="E190" s="38" t="n">
        <v>375263.83</v>
      </c>
    </row>
    <row r="191" customFormat="false" ht="15" hidden="false" customHeight="false" outlineLevel="0" collapsed="false">
      <c r="A191" s="0" t="n">
        <v>2</v>
      </c>
      <c r="B191" s="0" t="s">
        <v>64</v>
      </c>
      <c r="C191" s="0" t="n">
        <v>2013</v>
      </c>
      <c r="D191" s="0" t="n">
        <v>6</v>
      </c>
      <c r="E191" s="38" t="n">
        <v>388823.45</v>
      </c>
    </row>
    <row r="192" customFormat="false" ht="15" hidden="false" customHeight="false" outlineLevel="0" collapsed="false">
      <c r="A192" s="0" t="n">
        <v>2</v>
      </c>
      <c r="B192" s="0" t="s">
        <v>64</v>
      </c>
      <c r="C192" s="0" t="n">
        <v>2013</v>
      </c>
      <c r="D192" s="0" t="n">
        <v>7</v>
      </c>
      <c r="E192" s="38" t="n">
        <v>395777.11</v>
      </c>
    </row>
    <row r="193" customFormat="false" ht="15" hidden="false" customHeight="false" outlineLevel="0" collapsed="false">
      <c r="A193" s="0" t="n">
        <v>2</v>
      </c>
      <c r="B193" s="0" t="s">
        <v>64</v>
      </c>
      <c r="C193" s="0" t="n">
        <v>2013</v>
      </c>
      <c r="D193" s="0" t="n">
        <v>8</v>
      </c>
      <c r="E193" s="38" t="n">
        <v>384277.08</v>
      </c>
    </row>
    <row r="194" customFormat="false" ht="15" hidden="false" customHeight="false" outlineLevel="0" collapsed="false">
      <c r="A194" s="0" t="n">
        <v>3</v>
      </c>
      <c r="B194" s="0" t="s">
        <v>60</v>
      </c>
      <c r="C194" s="0" t="n">
        <v>2011</v>
      </c>
      <c r="D194" s="0" t="n">
        <v>1</v>
      </c>
      <c r="E194" s="38" t="n">
        <v>972137.97</v>
      </c>
    </row>
    <row r="195" customFormat="false" ht="15" hidden="false" customHeight="false" outlineLevel="0" collapsed="false">
      <c r="A195" s="0" t="n">
        <v>3</v>
      </c>
      <c r="B195" s="0" t="s">
        <v>60</v>
      </c>
      <c r="C195" s="0" t="n">
        <v>2011</v>
      </c>
      <c r="D195" s="0" t="n">
        <v>2</v>
      </c>
      <c r="E195" s="38" t="n">
        <v>948717.74</v>
      </c>
    </row>
    <row r="196" customFormat="false" ht="15" hidden="false" customHeight="false" outlineLevel="0" collapsed="false">
      <c r="A196" s="0" t="n">
        <v>3</v>
      </c>
      <c r="B196" s="0" t="s">
        <v>60</v>
      </c>
      <c r="C196" s="0" t="n">
        <v>2011</v>
      </c>
      <c r="D196" s="0" t="n">
        <v>3</v>
      </c>
      <c r="E196" s="38" t="n">
        <v>862138.18</v>
      </c>
    </row>
    <row r="197" customFormat="false" ht="15" hidden="false" customHeight="false" outlineLevel="0" collapsed="false">
      <c r="A197" s="0" t="n">
        <v>3</v>
      </c>
      <c r="B197" s="0" t="s">
        <v>60</v>
      </c>
      <c r="C197" s="0" t="n">
        <v>2011</v>
      </c>
      <c r="D197" s="0" t="n">
        <v>4</v>
      </c>
      <c r="E197" s="38" t="n">
        <v>846333.46</v>
      </c>
    </row>
    <row r="198" customFormat="false" ht="15" hidden="false" customHeight="false" outlineLevel="0" collapsed="false">
      <c r="A198" s="0" t="n">
        <v>3</v>
      </c>
      <c r="B198" s="0" t="s">
        <v>60</v>
      </c>
      <c r="C198" s="0" t="n">
        <v>2011</v>
      </c>
      <c r="D198" s="0" t="n">
        <v>5</v>
      </c>
      <c r="E198" s="38" t="n">
        <v>776696.34</v>
      </c>
    </row>
    <row r="199" customFormat="false" ht="15" hidden="false" customHeight="false" outlineLevel="0" collapsed="false">
      <c r="A199" s="0" t="n">
        <v>3</v>
      </c>
      <c r="B199" s="0" t="s">
        <v>60</v>
      </c>
      <c r="C199" s="0" t="n">
        <v>2011</v>
      </c>
      <c r="D199" s="0" t="n">
        <v>6</v>
      </c>
      <c r="E199" s="38" t="n">
        <v>1709057.03</v>
      </c>
    </row>
    <row r="200" customFormat="false" ht="15" hidden="false" customHeight="false" outlineLevel="0" collapsed="false">
      <c r="A200" s="0" t="n">
        <v>3</v>
      </c>
      <c r="B200" s="0" t="s">
        <v>60</v>
      </c>
      <c r="C200" s="0" t="n">
        <v>2011</v>
      </c>
      <c r="D200" s="0" t="n">
        <v>7</v>
      </c>
      <c r="E200" s="38" t="n">
        <v>3645437.43</v>
      </c>
    </row>
    <row r="201" customFormat="false" ht="15" hidden="false" customHeight="false" outlineLevel="0" collapsed="false">
      <c r="A201" s="0" t="n">
        <v>3</v>
      </c>
      <c r="B201" s="0" t="s">
        <v>60</v>
      </c>
      <c r="C201" s="0" t="n">
        <v>2011</v>
      </c>
      <c r="D201" s="0" t="n">
        <v>8</v>
      </c>
      <c r="E201" s="38" t="n">
        <v>1346150.77</v>
      </c>
    </row>
    <row r="202" customFormat="false" ht="15" hidden="false" customHeight="false" outlineLevel="0" collapsed="false">
      <c r="A202" s="0" t="n">
        <v>3</v>
      </c>
      <c r="B202" s="0" t="s">
        <v>60</v>
      </c>
      <c r="C202" s="0" t="n">
        <v>2011</v>
      </c>
      <c r="D202" s="0" t="n">
        <v>9</v>
      </c>
      <c r="E202" s="38" t="n">
        <v>904970.38</v>
      </c>
    </row>
    <row r="203" customFormat="false" ht="15" hidden="false" customHeight="false" outlineLevel="0" collapsed="false">
      <c r="A203" s="0" t="n">
        <v>3</v>
      </c>
      <c r="B203" s="0" t="s">
        <v>60</v>
      </c>
      <c r="C203" s="0" t="n">
        <v>2011</v>
      </c>
      <c r="D203" s="0" t="n">
        <v>10</v>
      </c>
      <c r="E203" s="38" t="n">
        <v>941481.82</v>
      </c>
    </row>
    <row r="204" customFormat="false" ht="15" hidden="false" customHeight="false" outlineLevel="0" collapsed="false">
      <c r="A204" s="0" t="n">
        <v>3</v>
      </c>
      <c r="B204" s="0" t="s">
        <v>60</v>
      </c>
      <c r="C204" s="0" t="n">
        <v>2011</v>
      </c>
      <c r="D204" s="0" t="n">
        <v>11</v>
      </c>
      <c r="E204" s="38" t="n">
        <v>1272360.02</v>
      </c>
    </row>
    <row r="205" customFormat="false" ht="15" hidden="false" customHeight="false" outlineLevel="0" collapsed="false">
      <c r="A205" s="0" t="n">
        <v>3</v>
      </c>
      <c r="B205" s="0" t="s">
        <v>60</v>
      </c>
      <c r="C205" s="0" t="n">
        <v>2011</v>
      </c>
      <c r="D205" s="0" t="n">
        <v>12</v>
      </c>
      <c r="E205" s="38" t="n">
        <v>1228076.73</v>
      </c>
    </row>
    <row r="206" customFormat="false" ht="15" hidden="false" customHeight="false" outlineLevel="0" collapsed="false">
      <c r="A206" s="0" t="n">
        <v>3</v>
      </c>
      <c r="B206" s="0" t="s">
        <v>60</v>
      </c>
      <c r="C206" s="0" t="n">
        <v>2012</v>
      </c>
      <c r="D206" s="0" t="n">
        <v>1</v>
      </c>
      <c r="E206" s="38" t="n">
        <v>915850.93</v>
      </c>
    </row>
    <row r="207" customFormat="false" ht="15" hidden="false" customHeight="false" outlineLevel="0" collapsed="false">
      <c r="A207" s="0" t="n">
        <v>3</v>
      </c>
      <c r="B207" s="0" t="s">
        <v>60</v>
      </c>
      <c r="C207" s="0" t="n">
        <v>2012</v>
      </c>
      <c r="D207" s="0" t="n">
        <v>2</v>
      </c>
      <c r="E207" s="38" t="n">
        <v>883050.2</v>
      </c>
    </row>
    <row r="208" customFormat="false" ht="15" hidden="false" customHeight="false" outlineLevel="0" collapsed="false">
      <c r="A208" s="0" t="n">
        <v>3</v>
      </c>
      <c r="B208" s="0" t="s">
        <v>60</v>
      </c>
      <c r="C208" s="0" t="n">
        <v>2012</v>
      </c>
      <c r="D208" s="0" t="n">
        <v>3</v>
      </c>
      <c r="E208" s="38" t="n">
        <v>864608.83</v>
      </c>
    </row>
    <row r="209" customFormat="false" ht="15" hidden="false" customHeight="false" outlineLevel="0" collapsed="false">
      <c r="A209" s="0" t="n">
        <v>3</v>
      </c>
      <c r="B209" s="0" t="s">
        <v>60</v>
      </c>
      <c r="C209" s="0" t="n">
        <v>2012</v>
      </c>
      <c r="D209" s="0" t="n">
        <v>4</v>
      </c>
      <c r="E209" s="38" t="n">
        <v>864007.6</v>
      </c>
    </row>
    <row r="210" customFormat="false" ht="15" hidden="false" customHeight="false" outlineLevel="0" collapsed="false">
      <c r="A210" s="0" t="n">
        <v>3</v>
      </c>
      <c r="B210" s="0" t="s">
        <v>60</v>
      </c>
      <c r="C210" s="0" t="n">
        <v>2012</v>
      </c>
      <c r="D210" s="0" t="n">
        <v>5</v>
      </c>
      <c r="E210" s="38" t="n">
        <v>779507.43</v>
      </c>
    </row>
    <row r="211" customFormat="false" ht="15" hidden="false" customHeight="false" outlineLevel="0" collapsed="false">
      <c r="A211" s="0" t="n">
        <v>3</v>
      </c>
      <c r="B211" s="0" t="s">
        <v>60</v>
      </c>
      <c r="C211" s="0" t="n">
        <v>2012</v>
      </c>
      <c r="D211" s="0" t="n">
        <v>6</v>
      </c>
      <c r="E211" s="38" t="n">
        <v>1685105.18</v>
      </c>
    </row>
    <row r="212" customFormat="false" ht="15" hidden="false" customHeight="false" outlineLevel="0" collapsed="false">
      <c r="A212" s="0" t="n">
        <v>3</v>
      </c>
      <c r="B212" s="0" t="s">
        <v>60</v>
      </c>
      <c r="C212" s="0" t="n">
        <v>2012</v>
      </c>
      <c r="D212" s="0" t="n">
        <v>7</v>
      </c>
      <c r="E212" s="38" t="n">
        <v>3815777.42</v>
      </c>
    </row>
    <row r="213" customFormat="false" ht="15" hidden="false" customHeight="false" outlineLevel="0" collapsed="false">
      <c r="A213" s="0" t="n">
        <v>3</v>
      </c>
      <c r="B213" s="0" t="s">
        <v>60</v>
      </c>
      <c r="C213" s="0" t="n">
        <v>2012</v>
      </c>
      <c r="D213" s="0" t="n">
        <v>8</v>
      </c>
      <c r="E213" s="38" t="n">
        <v>1409145.74</v>
      </c>
    </row>
    <row r="214" customFormat="false" ht="15" hidden="false" customHeight="false" outlineLevel="0" collapsed="false">
      <c r="A214" s="0" t="n">
        <v>3</v>
      </c>
      <c r="B214" s="0" t="s">
        <v>60</v>
      </c>
      <c r="C214" s="0" t="n">
        <v>2012</v>
      </c>
      <c r="D214" s="0" t="n">
        <v>9</v>
      </c>
      <c r="E214" s="38" t="n">
        <v>914034.97</v>
      </c>
    </row>
    <row r="215" customFormat="false" ht="15" hidden="false" customHeight="false" outlineLevel="0" collapsed="false">
      <c r="A215" s="0" t="n">
        <v>3</v>
      </c>
      <c r="B215" s="0" t="s">
        <v>60</v>
      </c>
      <c r="C215" s="0" t="n">
        <v>2012</v>
      </c>
      <c r="D215" s="0" t="n">
        <v>10</v>
      </c>
      <c r="E215" s="38" t="n">
        <v>916580.01</v>
      </c>
    </row>
    <row r="216" customFormat="false" ht="15" hidden="false" customHeight="false" outlineLevel="0" collapsed="false">
      <c r="A216" s="0" t="n">
        <v>3</v>
      </c>
      <c r="B216" s="0" t="s">
        <v>60</v>
      </c>
      <c r="C216" s="0" t="n">
        <v>2012</v>
      </c>
      <c r="D216" s="0" t="n">
        <v>11</v>
      </c>
      <c r="E216" s="38" t="n">
        <v>1339173.4</v>
      </c>
    </row>
    <row r="217" customFormat="false" ht="15" hidden="false" customHeight="false" outlineLevel="0" collapsed="false">
      <c r="A217" s="0" t="n">
        <v>3</v>
      </c>
      <c r="B217" s="0" t="s">
        <v>60</v>
      </c>
      <c r="C217" s="0" t="n">
        <v>2012</v>
      </c>
      <c r="D217" s="0" t="n">
        <v>12</v>
      </c>
      <c r="E217" s="38" t="n">
        <v>1259856.26</v>
      </c>
    </row>
    <row r="218" customFormat="false" ht="15" hidden="false" customHeight="false" outlineLevel="0" collapsed="false">
      <c r="A218" s="0" t="n">
        <v>3</v>
      </c>
      <c r="B218" s="0" t="s">
        <v>60</v>
      </c>
      <c r="C218" s="0" t="n">
        <v>2013</v>
      </c>
      <c r="D218" s="0" t="n">
        <v>1</v>
      </c>
      <c r="E218" s="38" t="n">
        <v>1025047.53</v>
      </c>
    </row>
    <row r="219" customFormat="false" ht="15" hidden="false" customHeight="false" outlineLevel="0" collapsed="false">
      <c r="A219" s="0" t="n">
        <v>3</v>
      </c>
      <c r="B219" s="0" t="s">
        <v>60</v>
      </c>
      <c r="C219" s="0" t="n">
        <v>2013</v>
      </c>
      <c r="D219" s="0" t="n">
        <v>2</v>
      </c>
      <c r="E219" s="38" t="n">
        <v>920912.07</v>
      </c>
    </row>
    <row r="220" customFormat="false" ht="15" hidden="false" customHeight="false" outlineLevel="0" collapsed="false">
      <c r="A220" s="0" t="n">
        <v>3</v>
      </c>
      <c r="B220" s="0" t="s">
        <v>60</v>
      </c>
      <c r="C220" s="0" t="n">
        <v>2013</v>
      </c>
      <c r="D220" s="0" t="n">
        <v>3</v>
      </c>
      <c r="E220" s="38" t="n">
        <v>840812.96</v>
      </c>
    </row>
    <row r="221" customFormat="false" ht="15" hidden="false" customHeight="false" outlineLevel="0" collapsed="false">
      <c r="A221" s="0" t="n">
        <v>3</v>
      </c>
      <c r="B221" s="0" t="s">
        <v>60</v>
      </c>
      <c r="C221" s="0" t="n">
        <v>2013</v>
      </c>
      <c r="D221" s="0" t="n">
        <v>4</v>
      </c>
      <c r="E221" s="38" t="n">
        <v>857547.97</v>
      </c>
    </row>
    <row r="222" customFormat="false" ht="15" hidden="false" customHeight="false" outlineLevel="0" collapsed="false">
      <c r="A222" s="0" t="n">
        <v>3</v>
      </c>
      <c r="B222" s="0" t="s">
        <v>60</v>
      </c>
      <c r="C222" s="0" t="n">
        <v>2013</v>
      </c>
      <c r="D222" s="0" t="n">
        <v>5</v>
      </c>
      <c r="E222" s="38" t="n">
        <v>801558.68</v>
      </c>
    </row>
    <row r="223" customFormat="false" ht="15" hidden="false" customHeight="false" outlineLevel="0" collapsed="false">
      <c r="A223" s="0" t="n">
        <v>3</v>
      </c>
      <c r="B223" s="0" t="s">
        <v>60</v>
      </c>
      <c r="C223" s="0" t="n">
        <v>2013</v>
      </c>
      <c r="D223" s="0" t="n">
        <v>6</v>
      </c>
      <c r="E223" s="38" t="n">
        <v>1862087.7</v>
      </c>
    </row>
    <row r="224" customFormat="false" ht="15" hidden="false" customHeight="false" outlineLevel="0" collapsed="false">
      <c r="A224" s="0" t="n">
        <v>3</v>
      </c>
      <c r="B224" s="0" t="s">
        <v>60</v>
      </c>
      <c r="C224" s="0" t="n">
        <v>2013</v>
      </c>
      <c r="D224" s="0" t="n">
        <v>7</v>
      </c>
      <c r="E224" s="38" t="n">
        <v>3988407.13</v>
      </c>
    </row>
    <row r="225" customFormat="false" ht="15" hidden="false" customHeight="false" outlineLevel="0" collapsed="false">
      <c r="A225" s="0" t="n">
        <v>3</v>
      </c>
      <c r="B225" s="0" t="s">
        <v>60</v>
      </c>
      <c r="C225" s="0" t="n">
        <v>2013</v>
      </c>
      <c r="D225" s="0" t="n">
        <v>8</v>
      </c>
      <c r="E225" s="38" t="n">
        <v>1445904.19</v>
      </c>
    </row>
    <row r="226" customFormat="false" ht="15" hidden="false" customHeight="false" outlineLevel="0" collapsed="false">
      <c r="A226" s="0" t="n">
        <v>3</v>
      </c>
      <c r="B226" s="0" t="s">
        <v>62</v>
      </c>
      <c r="C226" s="0" t="n">
        <v>2011</v>
      </c>
      <c r="D226" s="0" t="n">
        <v>1</v>
      </c>
      <c r="E226" s="38" t="n">
        <v>728098.05</v>
      </c>
    </row>
    <row r="227" customFormat="false" ht="15" hidden="false" customHeight="false" outlineLevel="0" collapsed="false">
      <c r="A227" s="0" t="n">
        <v>3</v>
      </c>
      <c r="B227" s="0" t="s">
        <v>62</v>
      </c>
      <c r="C227" s="0" t="n">
        <v>2011</v>
      </c>
      <c r="D227" s="0" t="n">
        <v>2</v>
      </c>
      <c r="E227" s="38" t="n">
        <v>755224.1</v>
      </c>
    </row>
    <row r="228" customFormat="false" ht="15" hidden="false" customHeight="false" outlineLevel="0" collapsed="false">
      <c r="A228" s="0" t="n">
        <v>3</v>
      </c>
      <c r="B228" s="0" t="s">
        <v>62</v>
      </c>
      <c r="C228" s="0" t="n">
        <v>2011</v>
      </c>
      <c r="D228" s="0" t="n">
        <v>3</v>
      </c>
      <c r="E228" s="38" t="n">
        <v>678098.96</v>
      </c>
    </row>
    <row r="229" customFormat="false" ht="15" hidden="false" customHeight="false" outlineLevel="0" collapsed="false">
      <c r="A229" s="0" t="n">
        <v>3</v>
      </c>
      <c r="B229" s="0" t="s">
        <v>62</v>
      </c>
      <c r="C229" s="0" t="n">
        <v>2011</v>
      </c>
      <c r="D229" s="0" t="n">
        <v>4</v>
      </c>
      <c r="E229" s="38" t="n">
        <v>645583.76</v>
      </c>
    </row>
    <row r="230" customFormat="false" ht="15" hidden="false" customHeight="false" outlineLevel="0" collapsed="false">
      <c r="A230" s="0" t="n">
        <v>3</v>
      </c>
      <c r="B230" s="0" t="s">
        <v>62</v>
      </c>
      <c r="C230" s="0" t="n">
        <v>2011</v>
      </c>
      <c r="D230" s="0" t="n">
        <v>5</v>
      </c>
      <c r="E230" s="38" t="n">
        <v>597675.38</v>
      </c>
    </row>
    <row r="231" customFormat="false" ht="15" hidden="false" customHeight="false" outlineLevel="0" collapsed="false">
      <c r="A231" s="0" t="n">
        <v>3</v>
      </c>
      <c r="B231" s="0" t="s">
        <v>62</v>
      </c>
      <c r="C231" s="0" t="n">
        <v>2011</v>
      </c>
      <c r="D231" s="0" t="n">
        <v>6</v>
      </c>
      <c r="E231" s="38" t="n">
        <v>1227732.43</v>
      </c>
    </row>
    <row r="232" customFormat="false" ht="15" hidden="false" customHeight="false" outlineLevel="0" collapsed="false">
      <c r="A232" s="0" t="n">
        <v>3</v>
      </c>
      <c r="B232" s="0" t="s">
        <v>62</v>
      </c>
      <c r="C232" s="0" t="n">
        <v>2011</v>
      </c>
      <c r="D232" s="0" t="n">
        <v>7</v>
      </c>
      <c r="E232" s="38" t="n">
        <v>2556834.47</v>
      </c>
    </row>
    <row r="233" customFormat="false" ht="15" hidden="false" customHeight="false" outlineLevel="0" collapsed="false">
      <c r="A233" s="0" t="n">
        <v>3</v>
      </c>
      <c r="B233" s="0" t="s">
        <v>62</v>
      </c>
      <c r="C233" s="0" t="n">
        <v>2011</v>
      </c>
      <c r="D233" s="0" t="n">
        <v>8</v>
      </c>
      <c r="E233" s="38" t="n">
        <v>1057763.8</v>
      </c>
    </row>
    <row r="234" customFormat="false" ht="15" hidden="false" customHeight="false" outlineLevel="0" collapsed="false">
      <c r="A234" s="0" t="n">
        <v>3</v>
      </c>
      <c r="B234" s="0" t="s">
        <v>62</v>
      </c>
      <c r="C234" s="0" t="n">
        <v>2011</v>
      </c>
      <c r="D234" s="0" t="n">
        <v>9</v>
      </c>
      <c r="E234" s="38" t="n">
        <v>651766.17</v>
      </c>
    </row>
    <row r="235" customFormat="false" ht="15" hidden="false" customHeight="false" outlineLevel="0" collapsed="false">
      <c r="A235" s="0" t="n">
        <v>3</v>
      </c>
      <c r="B235" s="0" t="s">
        <v>62</v>
      </c>
      <c r="C235" s="0" t="n">
        <v>2011</v>
      </c>
      <c r="D235" s="0" t="n">
        <v>10</v>
      </c>
      <c r="E235" s="38" t="n">
        <v>689150.18</v>
      </c>
    </row>
    <row r="236" customFormat="false" ht="15" hidden="false" customHeight="false" outlineLevel="0" collapsed="false">
      <c r="A236" s="0" t="n">
        <v>3</v>
      </c>
      <c r="B236" s="0" t="s">
        <v>62</v>
      </c>
      <c r="C236" s="0" t="n">
        <v>2011</v>
      </c>
      <c r="D236" s="0" t="n">
        <v>11</v>
      </c>
      <c r="E236" s="38" t="n">
        <v>923670.95</v>
      </c>
    </row>
    <row r="237" customFormat="false" ht="15" hidden="false" customHeight="false" outlineLevel="0" collapsed="false">
      <c r="A237" s="0" t="n">
        <v>3</v>
      </c>
      <c r="B237" s="0" t="s">
        <v>62</v>
      </c>
      <c r="C237" s="0" t="n">
        <v>2011</v>
      </c>
      <c r="D237" s="0" t="n">
        <v>12</v>
      </c>
      <c r="E237" s="38" t="n">
        <v>916057.74</v>
      </c>
    </row>
    <row r="238" customFormat="false" ht="15" hidden="false" customHeight="false" outlineLevel="0" collapsed="false">
      <c r="A238" s="0" t="n">
        <v>3</v>
      </c>
      <c r="B238" s="0" t="s">
        <v>62</v>
      </c>
      <c r="C238" s="0" t="n">
        <v>2012</v>
      </c>
      <c r="D238" s="0" t="n">
        <v>1</v>
      </c>
      <c r="E238" s="38" t="n">
        <v>679380.58</v>
      </c>
    </row>
    <row r="239" customFormat="false" ht="15" hidden="false" customHeight="false" outlineLevel="0" collapsed="false">
      <c r="A239" s="0" t="n">
        <v>3</v>
      </c>
      <c r="B239" s="0" t="s">
        <v>62</v>
      </c>
      <c r="C239" s="0" t="n">
        <v>2012</v>
      </c>
      <c r="D239" s="0" t="n">
        <v>2</v>
      </c>
      <c r="E239" s="38" t="n">
        <v>671331.83</v>
      </c>
    </row>
    <row r="240" customFormat="false" ht="15" hidden="false" customHeight="false" outlineLevel="0" collapsed="false">
      <c r="A240" s="0" t="n">
        <v>3</v>
      </c>
      <c r="B240" s="0" t="s">
        <v>62</v>
      </c>
      <c r="C240" s="0" t="n">
        <v>2012</v>
      </c>
      <c r="D240" s="0" t="n">
        <v>3</v>
      </c>
      <c r="E240" s="38" t="n">
        <v>659950.79</v>
      </c>
    </row>
    <row r="241" customFormat="false" ht="15" hidden="false" customHeight="false" outlineLevel="0" collapsed="false">
      <c r="A241" s="0" t="n">
        <v>3</v>
      </c>
      <c r="B241" s="0" t="s">
        <v>62</v>
      </c>
      <c r="C241" s="0" t="n">
        <v>2012</v>
      </c>
      <c r="D241" s="0" t="n">
        <v>4</v>
      </c>
      <c r="E241" s="38" t="n">
        <v>614230.25</v>
      </c>
    </row>
    <row r="242" customFormat="false" ht="15" hidden="false" customHeight="false" outlineLevel="0" collapsed="false">
      <c r="A242" s="0" t="n">
        <v>3</v>
      </c>
      <c r="B242" s="0" t="s">
        <v>62</v>
      </c>
      <c r="C242" s="0" t="n">
        <v>2012</v>
      </c>
      <c r="D242" s="0" t="n">
        <v>5</v>
      </c>
      <c r="E242" s="38" t="n">
        <v>562325.69</v>
      </c>
    </row>
    <row r="243" customFormat="false" ht="15" hidden="false" customHeight="false" outlineLevel="0" collapsed="false">
      <c r="A243" s="0" t="n">
        <v>3</v>
      </c>
      <c r="B243" s="0" t="s">
        <v>62</v>
      </c>
      <c r="C243" s="0" t="n">
        <v>2012</v>
      </c>
      <c r="D243" s="0" t="n">
        <v>6</v>
      </c>
      <c r="E243" s="38" t="n">
        <v>1130814.4</v>
      </c>
    </row>
    <row r="244" customFormat="false" ht="15" hidden="false" customHeight="false" outlineLevel="0" collapsed="false">
      <c r="A244" s="0" t="n">
        <v>3</v>
      </c>
      <c r="B244" s="0" t="s">
        <v>62</v>
      </c>
      <c r="C244" s="0" t="n">
        <v>2012</v>
      </c>
      <c r="D244" s="0" t="n">
        <v>7</v>
      </c>
      <c r="E244" s="38" t="n">
        <v>2598086.08</v>
      </c>
    </row>
    <row r="245" customFormat="false" ht="15" hidden="false" customHeight="false" outlineLevel="0" collapsed="false">
      <c r="A245" s="0" t="n">
        <v>3</v>
      </c>
      <c r="B245" s="0" t="s">
        <v>62</v>
      </c>
      <c r="C245" s="0" t="n">
        <v>2012</v>
      </c>
      <c r="D245" s="0" t="n">
        <v>8</v>
      </c>
      <c r="E245" s="38" t="n">
        <v>1094777.05</v>
      </c>
    </row>
    <row r="246" customFormat="false" ht="15" hidden="false" customHeight="false" outlineLevel="0" collapsed="false">
      <c r="A246" s="0" t="n">
        <v>3</v>
      </c>
      <c r="B246" s="0" t="s">
        <v>62</v>
      </c>
      <c r="C246" s="0" t="n">
        <v>2012</v>
      </c>
      <c r="D246" s="0" t="n">
        <v>9</v>
      </c>
      <c r="E246" s="38" t="n">
        <v>648802.98</v>
      </c>
    </row>
    <row r="247" customFormat="false" ht="15" hidden="false" customHeight="false" outlineLevel="0" collapsed="false">
      <c r="A247" s="0" t="n">
        <v>3</v>
      </c>
      <c r="B247" s="0" t="s">
        <v>62</v>
      </c>
      <c r="C247" s="0" t="n">
        <v>2012</v>
      </c>
      <c r="D247" s="0" t="n">
        <v>10</v>
      </c>
      <c r="E247" s="38" t="n">
        <v>673499.5</v>
      </c>
    </row>
    <row r="248" customFormat="false" ht="15" hidden="false" customHeight="false" outlineLevel="0" collapsed="false">
      <c r="A248" s="0" t="n">
        <v>3</v>
      </c>
      <c r="B248" s="0" t="s">
        <v>62</v>
      </c>
      <c r="C248" s="0" t="n">
        <v>2012</v>
      </c>
      <c r="D248" s="0" t="n">
        <v>11</v>
      </c>
      <c r="E248" s="38" t="n">
        <v>966263.58</v>
      </c>
    </row>
    <row r="249" customFormat="false" ht="15" hidden="false" customHeight="false" outlineLevel="0" collapsed="false">
      <c r="A249" s="0" t="n">
        <v>3</v>
      </c>
      <c r="B249" s="0" t="s">
        <v>62</v>
      </c>
      <c r="C249" s="0" t="n">
        <v>2012</v>
      </c>
      <c r="D249" s="0" t="n">
        <v>12</v>
      </c>
      <c r="E249" s="38" t="n">
        <v>929553.21</v>
      </c>
    </row>
    <row r="250" customFormat="false" ht="15" hidden="false" customHeight="false" outlineLevel="0" collapsed="false">
      <c r="A250" s="0" t="n">
        <v>3</v>
      </c>
      <c r="B250" s="0" t="s">
        <v>62</v>
      </c>
      <c r="C250" s="0" t="n">
        <v>2013</v>
      </c>
      <c r="D250" s="0" t="n">
        <v>1</v>
      </c>
      <c r="E250" s="38" t="n">
        <v>724837.47</v>
      </c>
    </row>
    <row r="251" customFormat="false" ht="15" hidden="false" customHeight="false" outlineLevel="0" collapsed="false">
      <c r="A251" s="0" t="n">
        <v>3</v>
      </c>
      <c r="B251" s="0" t="s">
        <v>62</v>
      </c>
      <c r="C251" s="0" t="n">
        <v>2013</v>
      </c>
      <c r="D251" s="0" t="n">
        <v>2</v>
      </c>
      <c r="E251" s="38" t="n">
        <v>673009.86</v>
      </c>
    </row>
    <row r="252" customFormat="false" ht="15" hidden="false" customHeight="false" outlineLevel="0" collapsed="false">
      <c r="A252" s="0" t="n">
        <v>3</v>
      </c>
      <c r="B252" s="0" t="s">
        <v>62</v>
      </c>
      <c r="C252" s="0" t="n">
        <v>2013</v>
      </c>
      <c r="D252" s="0" t="n">
        <v>3</v>
      </c>
      <c r="E252" s="38" t="n">
        <v>625259.72</v>
      </c>
    </row>
    <row r="253" customFormat="false" ht="15" hidden="false" customHeight="false" outlineLevel="0" collapsed="false">
      <c r="A253" s="0" t="n">
        <v>3</v>
      </c>
      <c r="B253" s="0" t="s">
        <v>62</v>
      </c>
      <c r="C253" s="0" t="n">
        <v>2013</v>
      </c>
      <c r="D253" s="0" t="n">
        <v>4</v>
      </c>
      <c r="E253" s="38" t="n">
        <v>609519.16</v>
      </c>
    </row>
    <row r="254" customFormat="false" ht="15" hidden="false" customHeight="false" outlineLevel="0" collapsed="false">
      <c r="A254" s="0" t="n">
        <v>3</v>
      </c>
      <c r="B254" s="0" t="s">
        <v>62</v>
      </c>
      <c r="C254" s="0" t="n">
        <v>2013</v>
      </c>
      <c r="D254" s="0" t="n">
        <v>5</v>
      </c>
      <c r="E254" s="38" t="n">
        <v>582384.02</v>
      </c>
    </row>
    <row r="255" customFormat="false" ht="15" hidden="false" customHeight="false" outlineLevel="0" collapsed="false">
      <c r="A255" s="0" t="n">
        <v>3</v>
      </c>
      <c r="B255" s="0" t="s">
        <v>62</v>
      </c>
      <c r="C255" s="0" t="n">
        <v>2013</v>
      </c>
      <c r="D255" s="0" t="n">
        <v>6</v>
      </c>
      <c r="E255" s="38" t="n">
        <v>1318863.11</v>
      </c>
    </row>
    <row r="256" customFormat="false" ht="15" hidden="false" customHeight="false" outlineLevel="0" collapsed="false">
      <c r="A256" s="0" t="n">
        <v>3</v>
      </c>
      <c r="B256" s="0" t="s">
        <v>62</v>
      </c>
      <c r="C256" s="0" t="n">
        <v>2013</v>
      </c>
      <c r="D256" s="0" t="n">
        <v>7</v>
      </c>
      <c r="E256" s="38" t="n">
        <v>2708590.47</v>
      </c>
    </row>
    <row r="257" customFormat="false" ht="15" hidden="false" customHeight="false" outlineLevel="0" collapsed="false">
      <c r="A257" s="0" t="n">
        <v>3</v>
      </c>
      <c r="B257" s="0" t="s">
        <v>62</v>
      </c>
      <c r="C257" s="0" t="n">
        <v>2013</v>
      </c>
      <c r="D257" s="0" t="n">
        <v>8</v>
      </c>
      <c r="E257" s="38" t="n">
        <v>1010847.62</v>
      </c>
    </row>
    <row r="258" customFormat="false" ht="15" hidden="false" customHeight="false" outlineLevel="0" collapsed="false">
      <c r="A258" s="0" t="n">
        <v>3</v>
      </c>
      <c r="B258" s="0" t="s">
        <v>64</v>
      </c>
      <c r="C258" s="0" t="n">
        <v>2011</v>
      </c>
      <c r="D258" s="0" t="n">
        <v>1</v>
      </c>
      <c r="E258" s="38" t="n">
        <v>21307.97</v>
      </c>
    </row>
    <row r="259" customFormat="false" ht="15" hidden="false" customHeight="false" outlineLevel="0" collapsed="false">
      <c r="A259" s="0" t="n">
        <v>3</v>
      </c>
      <c r="B259" s="0" t="s">
        <v>64</v>
      </c>
      <c r="C259" s="0" t="n">
        <v>2011</v>
      </c>
      <c r="D259" s="0" t="n">
        <v>2</v>
      </c>
      <c r="E259" s="38" t="n">
        <v>20023.9</v>
      </c>
    </row>
    <row r="260" customFormat="false" ht="15" hidden="false" customHeight="false" outlineLevel="0" collapsed="false">
      <c r="A260" s="0" t="n">
        <v>3</v>
      </c>
      <c r="B260" s="0" t="s">
        <v>64</v>
      </c>
      <c r="C260" s="0" t="n">
        <v>2011</v>
      </c>
      <c r="D260" s="0" t="n">
        <v>3</v>
      </c>
      <c r="E260" s="38" t="n">
        <v>19910.55</v>
      </c>
    </row>
    <row r="261" customFormat="false" ht="15" hidden="false" customHeight="false" outlineLevel="0" collapsed="false">
      <c r="A261" s="0" t="n">
        <v>3</v>
      </c>
      <c r="B261" s="0" t="s">
        <v>64</v>
      </c>
      <c r="C261" s="0" t="n">
        <v>2011</v>
      </c>
      <c r="D261" s="0" t="n">
        <v>4</v>
      </c>
      <c r="E261" s="38" t="n">
        <v>20341.84</v>
      </c>
    </row>
    <row r="262" customFormat="false" ht="15" hidden="false" customHeight="false" outlineLevel="0" collapsed="false">
      <c r="A262" s="0" t="n">
        <v>3</v>
      </c>
      <c r="B262" s="0" t="s">
        <v>64</v>
      </c>
      <c r="C262" s="0" t="n">
        <v>2011</v>
      </c>
      <c r="D262" s="0" t="n">
        <v>5</v>
      </c>
      <c r="E262" s="38" t="n">
        <v>13854.05</v>
      </c>
    </row>
    <row r="263" customFormat="false" ht="15" hidden="false" customHeight="false" outlineLevel="0" collapsed="false">
      <c r="A263" s="0" t="n">
        <v>3</v>
      </c>
      <c r="B263" s="0" t="s">
        <v>64</v>
      </c>
      <c r="C263" s="0" t="n">
        <v>2011</v>
      </c>
      <c r="D263" s="0" t="n">
        <v>6</v>
      </c>
      <c r="E263" s="38" t="n">
        <v>14601.06</v>
      </c>
    </row>
    <row r="264" customFormat="false" ht="15" hidden="false" customHeight="false" outlineLevel="0" collapsed="false">
      <c r="A264" s="0" t="n">
        <v>3</v>
      </c>
      <c r="B264" s="0" t="s">
        <v>64</v>
      </c>
      <c r="C264" s="0" t="n">
        <v>2011</v>
      </c>
      <c r="D264" s="0" t="n">
        <v>7</v>
      </c>
      <c r="E264" s="38" t="n">
        <v>27121.22</v>
      </c>
    </row>
    <row r="265" customFormat="false" ht="15" hidden="false" customHeight="false" outlineLevel="0" collapsed="false">
      <c r="A265" s="0" t="n">
        <v>3</v>
      </c>
      <c r="B265" s="0" t="s">
        <v>64</v>
      </c>
      <c r="C265" s="0" t="n">
        <v>2011</v>
      </c>
      <c r="D265" s="0" t="n">
        <v>8</v>
      </c>
      <c r="E265" s="38" t="n">
        <v>20319.17</v>
      </c>
    </row>
    <row r="266" customFormat="false" ht="15" hidden="false" customHeight="false" outlineLevel="0" collapsed="false">
      <c r="A266" s="0" t="n">
        <v>3</v>
      </c>
      <c r="B266" s="0" t="s">
        <v>64</v>
      </c>
      <c r="C266" s="0" t="n">
        <v>2011</v>
      </c>
      <c r="D266" s="0" t="n">
        <v>9</v>
      </c>
      <c r="E266" s="38" t="n">
        <v>19733.8</v>
      </c>
    </row>
    <row r="267" customFormat="false" ht="15" hidden="false" customHeight="false" outlineLevel="0" collapsed="false">
      <c r="A267" s="0" t="n">
        <v>3</v>
      </c>
      <c r="B267" s="0" t="s">
        <v>64</v>
      </c>
      <c r="C267" s="0" t="n">
        <v>2011</v>
      </c>
      <c r="D267" s="0" t="n">
        <v>10</v>
      </c>
      <c r="E267" s="38" t="n">
        <v>17951.24</v>
      </c>
    </row>
    <row r="268" customFormat="false" ht="15" hidden="false" customHeight="false" outlineLevel="0" collapsed="false">
      <c r="A268" s="0" t="n">
        <v>3</v>
      </c>
      <c r="B268" s="0" t="s">
        <v>64</v>
      </c>
      <c r="C268" s="0" t="n">
        <v>2011</v>
      </c>
      <c r="D268" s="0" t="n">
        <v>11</v>
      </c>
      <c r="E268" s="38" t="n">
        <v>20501.77</v>
      </c>
    </row>
    <row r="269" customFormat="false" ht="15" hidden="false" customHeight="false" outlineLevel="0" collapsed="false">
      <c r="A269" s="0" t="n">
        <v>3</v>
      </c>
      <c r="B269" s="0" t="s">
        <v>64</v>
      </c>
      <c r="C269" s="0" t="n">
        <v>2011</v>
      </c>
      <c r="D269" s="0" t="n">
        <v>12</v>
      </c>
      <c r="E269" s="38" t="n">
        <v>23933.57</v>
      </c>
    </row>
    <row r="270" customFormat="false" ht="15" hidden="false" customHeight="false" outlineLevel="0" collapsed="false">
      <c r="A270" s="0" t="n">
        <v>3</v>
      </c>
      <c r="B270" s="0" t="s">
        <v>64</v>
      </c>
      <c r="C270" s="0" t="n">
        <v>2012</v>
      </c>
      <c r="D270" s="0" t="n">
        <v>1</v>
      </c>
      <c r="E270" s="38" t="n">
        <v>19559.73</v>
      </c>
    </row>
    <row r="271" customFormat="false" ht="15" hidden="false" customHeight="false" outlineLevel="0" collapsed="false">
      <c r="A271" s="0" t="n">
        <v>3</v>
      </c>
      <c r="B271" s="0" t="s">
        <v>64</v>
      </c>
      <c r="C271" s="0" t="n">
        <v>2012</v>
      </c>
      <c r="D271" s="0" t="n">
        <v>2</v>
      </c>
      <c r="E271" s="38" t="n">
        <v>18478.11</v>
      </c>
    </row>
    <row r="272" customFormat="false" ht="15" hidden="false" customHeight="false" outlineLevel="0" collapsed="false">
      <c r="A272" s="0" t="n">
        <v>3</v>
      </c>
      <c r="B272" s="0" t="s">
        <v>64</v>
      </c>
      <c r="C272" s="0" t="n">
        <v>2012</v>
      </c>
      <c r="D272" s="0" t="n">
        <v>3</v>
      </c>
      <c r="E272" s="38" t="n">
        <v>18373.07</v>
      </c>
    </row>
    <row r="273" customFormat="false" ht="15" hidden="false" customHeight="false" outlineLevel="0" collapsed="false">
      <c r="A273" s="0" t="n">
        <v>3</v>
      </c>
      <c r="B273" s="0" t="s">
        <v>64</v>
      </c>
      <c r="C273" s="0" t="n">
        <v>2012</v>
      </c>
      <c r="D273" s="0" t="n">
        <v>4</v>
      </c>
      <c r="E273" s="38" t="n">
        <v>19176.69</v>
      </c>
    </row>
    <row r="274" customFormat="false" ht="15" hidden="false" customHeight="false" outlineLevel="0" collapsed="false">
      <c r="A274" s="0" t="n">
        <v>3</v>
      </c>
      <c r="B274" s="0" t="s">
        <v>64</v>
      </c>
      <c r="C274" s="0" t="n">
        <v>2012</v>
      </c>
      <c r="D274" s="0" t="n">
        <v>5</v>
      </c>
      <c r="E274" s="38" t="n">
        <v>13051.7</v>
      </c>
    </row>
    <row r="275" customFormat="false" ht="15" hidden="false" customHeight="false" outlineLevel="0" collapsed="false">
      <c r="A275" s="0" t="n">
        <v>3</v>
      </c>
      <c r="B275" s="0" t="s">
        <v>64</v>
      </c>
      <c r="C275" s="0" t="n">
        <v>2012</v>
      </c>
      <c r="D275" s="0" t="n">
        <v>6</v>
      </c>
      <c r="E275" s="38" t="n">
        <v>30329.96</v>
      </c>
    </row>
    <row r="276" customFormat="false" ht="15" hidden="false" customHeight="false" outlineLevel="0" collapsed="false">
      <c r="A276" s="0" t="n">
        <v>3</v>
      </c>
      <c r="B276" s="0" t="s">
        <v>64</v>
      </c>
      <c r="C276" s="0" t="n">
        <v>2012</v>
      </c>
      <c r="D276" s="0" t="n">
        <v>7</v>
      </c>
      <c r="E276" s="38" t="n">
        <v>46221.78</v>
      </c>
    </row>
    <row r="277" customFormat="false" ht="15" hidden="false" customHeight="false" outlineLevel="0" collapsed="false">
      <c r="A277" s="0" t="n">
        <v>3</v>
      </c>
      <c r="B277" s="0" t="s">
        <v>64</v>
      </c>
      <c r="C277" s="0" t="n">
        <v>2012</v>
      </c>
      <c r="D277" s="0" t="n">
        <v>8</v>
      </c>
      <c r="E277" s="38" t="n">
        <v>20404.8</v>
      </c>
    </row>
    <row r="278" customFormat="false" ht="15" hidden="false" customHeight="false" outlineLevel="0" collapsed="false">
      <c r="A278" s="0" t="n">
        <v>3</v>
      </c>
      <c r="B278" s="0" t="s">
        <v>64</v>
      </c>
      <c r="C278" s="0" t="n">
        <v>2012</v>
      </c>
      <c r="D278" s="0" t="n">
        <v>9</v>
      </c>
      <c r="E278" s="38" t="n">
        <v>18479.95</v>
      </c>
    </row>
    <row r="279" customFormat="false" ht="15" hidden="false" customHeight="false" outlineLevel="0" collapsed="false">
      <c r="A279" s="0" t="n">
        <v>3</v>
      </c>
      <c r="B279" s="0" t="s">
        <v>64</v>
      </c>
      <c r="C279" s="0" t="n">
        <v>2012</v>
      </c>
      <c r="D279" s="0" t="n">
        <v>10</v>
      </c>
      <c r="E279" s="38" t="n">
        <v>15572.77</v>
      </c>
    </row>
    <row r="280" customFormat="false" ht="15" hidden="false" customHeight="false" outlineLevel="0" collapsed="false">
      <c r="A280" s="0" t="n">
        <v>3</v>
      </c>
      <c r="B280" s="0" t="s">
        <v>64</v>
      </c>
      <c r="C280" s="0" t="n">
        <v>2012</v>
      </c>
      <c r="D280" s="0" t="n">
        <v>11</v>
      </c>
      <c r="E280" s="38" t="n">
        <v>19268.59</v>
      </c>
    </row>
    <row r="281" customFormat="false" ht="15" hidden="false" customHeight="false" outlineLevel="0" collapsed="false">
      <c r="A281" s="0" t="n">
        <v>3</v>
      </c>
      <c r="B281" s="0" t="s">
        <v>64</v>
      </c>
      <c r="C281" s="0" t="n">
        <v>2012</v>
      </c>
      <c r="D281" s="0" t="n">
        <v>12</v>
      </c>
      <c r="E281" s="38" t="n">
        <v>23761.01</v>
      </c>
    </row>
    <row r="282" customFormat="false" ht="15" hidden="false" customHeight="false" outlineLevel="0" collapsed="false">
      <c r="A282" s="0" t="n">
        <v>3</v>
      </c>
      <c r="B282" s="0" t="s">
        <v>64</v>
      </c>
      <c r="C282" s="0" t="n">
        <v>2013</v>
      </c>
      <c r="D282" s="0" t="n">
        <v>1</v>
      </c>
      <c r="E282" s="38" t="n">
        <v>20756.61</v>
      </c>
    </row>
    <row r="283" customFormat="false" ht="15" hidden="false" customHeight="false" outlineLevel="0" collapsed="false">
      <c r="A283" s="0" t="n">
        <v>3</v>
      </c>
      <c r="B283" s="0" t="s">
        <v>64</v>
      </c>
      <c r="C283" s="0" t="n">
        <v>2013</v>
      </c>
      <c r="D283" s="0" t="n">
        <v>2</v>
      </c>
      <c r="E283" s="38" t="n">
        <v>18866.75</v>
      </c>
    </row>
    <row r="284" customFormat="false" ht="15" hidden="false" customHeight="false" outlineLevel="0" collapsed="false">
      <c r="A284" s="0" t="n">
        <v>3</v>
      </c>
      <c r="B284" s="0" t="s">
        <v>64</v>
      </c>
      <c r="C284" s="0" t="n">
        <v>2013</v>
      </c>
      <c r="D284" s="0" t="n">
        <v>3</v>
      </c>
      <c r="E284" s="38" t="n">
        <v>17152.27</v>
      </c>
    </row>
    <row r="285" customFormat="false" ht="15" hidden="false" customHeight="false" outlineLevel="0" collapsed="false">
      <c r="A285" s="0" t="n">
        <v>3</v>
      </c>
      <c r="B285" s="0" t="s">
        <v>64</v>
      </c>
      <c r="C285" s="0" t="n">
        <v>2013</v>
      </c>
      <c r="D285" s="0" t="n">
        <v>4</v>
      </c>
      <c r="E285" s="38" t="n">
        <v>17691.22</v>
      </c>
    </row>
    <row r="286" customFormat="false" ht="15" hidden="false" customHeight="false" outlineLevel="0" collapsed="false">
      <c r="A286" s="0" t="n">
        <v>3</v>
      </c>
      <c r="B286" s="0" t="s">
        <v>64</v>
      </c>
      <c r="C286" s="0" t="n">
        <v>2013</v>
      </c>
      <c r="D286" s="0" t="n">
        <v>5</v>
      </c>
      <c r="E286" s="38" t="n">
        <v>14610.65</v>
      </c>
    </row>
    <row r="287" customFormat="false" ht="15" hidden="false" customHeight="false" outlineLevel="0" collapsed="false">
      <c r="A287" s="0" t="n">
        <v>3</v>
      </c>
      <c r="B287" s="0" t="s">
        <v>64</v>
      </c>
      <c r="C287" s="0" t="n">
        <v>2013</v>
      </c>
      <c r="D287" s="0" t="n">
        <v>6</v>
      </c>
      <c r="E287" s="38" t="n">
        <v>27012.4</v>
      </c>
    </row>
    <row r="288" customFormat="false" ht="15" hidden="false" customHeight="false" outlineLevel="0" collapsed="false">
      <c r="A288" s="0" t="n">
        <v>3</v>
      </c>
      <c r="B288" s="0" t="s">
        <v>64</v>
      </c>
      <c r="C288" s="0" t="n">
        <v>2013</v>
      </c>
      <c r="D288" s="0" t="n">
        <v>7</v>
      </c>
      <c r="E288" s="38" t="n">
        <v>45065.64</v>
      </c>
    </row>
    <row r="289" customFormat="false" ht="15" hidden="false" customHeight="false" outlineLevel="0" collapsed="false">
      <c r="A289" s="0" t="n">
        <v>3</v>
      </c>
      <c r="B289" s="0" t="s">
        <v>64</v>
      </c>
      <c r="C289" s="0" t="n">
        <v>2013</v>
      </c>
      <c r="D289" s="0" t="n">
        <v>8</v>
      </c>
      <c r="E289" s="38" t="n">
        <v>22202.66</v>
      </c>
    </row>
    <row r="290" customFormat="false" ht="15" hidden="false" customHeight="false" outlineLevel="0" collapsed="false">
      <c r="A290" s="0" t="n">
        <v>4</v>
      </c>
      <c r="B290" s="0" t="s">
        <v>60</v>
      </c>
      <c r="C290" s="0" t="n">
        <v>2011</v>
      </c>
      <c r="D290" s="0" t="n">
        <v>1</v>
      </c>
      <c r="E290" s="38" t="n">
        <v>2750625.57</v>
      </c>
    </row>
    <row r="291" customFormat="false" ht="15" hidden="false" customHeight="false" outlineLevel="0" collapsed="false">
      <c r="A291" s="0" t="n">
        <v>4</v>
      </c>
      <c r="B291" s="0" t="s">
        <v>60</v>
      </c>
      <c r="C291" s="0" t="n">
        <v>2011</v>
      </c>
      <c r="D291" s="0" t="n">
        <v>2</v>
      </c>
      <c r="E291" s="38" t="n">
        <v>2985965.28</v>
      </c>
    </row>
    <row r="292" customFormat="false" ht="15" hidden="false" customHeight="false" outlineLevel="0" collapsed="false">
      <c r="A292" s="0" t="n">
        <v>4</v>
      </c>
      <c r="B292" s="0" t="s">
        <v>60</v>
      </c>
      <c r="C292" s="0" t="n">
        <v>2011</v>
      </c>
      <c r="D292" s="0" t="n">
        <v>3</v>
      </c>
      <c r="E292" s="38" t="n">
        <v>2957730.96</v>
      </c>
    </row>
    <row r="293" customFormat="false" ht="15" hidden="false" customHeight="false" outlineLevel="0" collapsed="false">
      <c r="A293" s="0" t="n">
        <v>4</v>
      </c>
      <c r="B293" s="0" t="s">
        <v>60</v>
      </c>
      <c r="C293" s="0" t="n">
        <v>2011</v>
      </c>
      <c r="D293" s="0" t="n">
        <v>4</v>
      </c>
      <c r="E293" s="38" t="n">
        <v>3144129.35</v>
      </c>
    </row>
    <row r="294" customFormat="false" ht="15" hidden="false" customHeight="false" outlineLevel="0" collapsed="false">
      <c r="A294" s="0" t="n">
        <v>4</v>
      </c>
      <c r="B294" s="0" t="s">
        <v>60</v>
      </c>
      <c r="C294" s="0" t="n">
        <v>2011</v>
      </c>
      <c r="D294" s="0" t="n">
        <v>5</v>
      </c>
      <c r="E294" s="38" t="n">
        <v>3120213.75</v>
      </c>
    </row>
    <row r="295" customFormat="false" ht="15" hidden="false" customHeight="false" outlineLevel="0" collapsed="false">
      <c r="A295" s="0" t="n">
        <v>4</v>
      </c>
      <c r="B295" s="0" t="s">
        <v>60</v>
      </c>
      <c r="C295" s="0" t="n">
        <v>2011</v>
      </c>
      <c r="D295" s="0" t="n">
        <v>6</v>
      </c>
      <c r="E295" s="38" t="n">
        <v>3299621.42</v>
      </c>
    </row>
    <row r="296" customFormat="false" ht="15" hidden="false" customHeight="false" outlineLevel="0" collapsed="false">
      <c r="A296" s="0" t="n">
        <v>4</v>
      </c>
      <c r="B296" s="0" t="s">
        <v>60</v>
      </c>
      <c r="C296" s="0" t="n">
        <v>2011</v>
      </c>
      <c r="D296" s="0" t="n">
        <v>7</v>
      </c>
      <c r="E296" s="38" t="n">
        <v>3384842.86</v>
      </c>
    </row>
    <row r="297" customFormat="false" ht="15" hidden="false" customHeight="false" outlineLevel="0" collapsed="false">
      <c r="A297" s="0" t="n">
        <v>4</v>
      </c>
      <c r="B297" s="0" t="s">
        <v>60</v>
      </c>
      <c r="C297" s="0" t="n">
        <v>2011</v>
      </c>
      <c r="D297" s="0" t="n">
        <v>8</v>
      </c>
      <c r="E297" s="38" t="n">
        <v>3025111.48</v>
      </c>
    </row>
    <row r="298" customFormat="false" ht="15" hidden="false" customHeight="false" outlineLevel="0" collapsed="false">
      <c r="A298" s="0" t="n">
        <v>4</v>
      </c>
      <c r="B298" s="0" t="s">
        <v>60</v>
      </c>
      <c r="C298" s="0" t="n">
        <v>2011</v>
      </c>
      <c r="D298" s="0" t="n">
        <v>9</v>
      </c>
      <c r="E298" s="38" t="n">
        <v>3026826.87</v>
      </c>
    </row>
    <row r="299" customFormat="false" ht="15" hidden="false" customHeight="false" outlineLevel="0" collapsed="false">
      <c r="A299" s="0" t="n">
        <v>4</v>
      </c>
      <c r="B299" s="0" t="s">
        <v>60</v>
      </c>
      <c r="C299" s="0" t="n">
        <v>2011</v>
      </c>
      <c r="D299" s="0" t="n">
        <v>10</v>
      </c>
      <c r="E299" s="38" t="n">
        <v>3190026.24</v>
      </c>
    </row>
    <row r="300" customFormat="false" ht="15" hidden="false" customHeight="false" outlineLevel="0" collapsed="false">
      <c r="A300" s="0" t="n">
        <v>4</v>
      </c>
      <c r="B300" s="0" t="s">
        <v>60</v>
      </c>
      <c r="C300" s="0" t="n">
        <v>2011</v>
      </c>
      <c r="D300" s="0" t="n">
        <v>11</v>
      </c>
      <c r="E300" s="38" t="n">
        <v>3343408.8</v>
      </c>
    </row>
    <row r="301" customFormat="false" ht="15" hidden="false" customHeight="false" outlineLevel="0" collapsed="false">
      <c r="A301" s="0" t="n">
        <v>4</v>
      </c>
      <c r="B301" s="0" t="s">
        <v>60</v>
      </c>
      <c r="C301" s="0" t="n">
        <v>2011</v>
      </c>
      <c r="D301" s="0" t="n">
        <v>12</v>
      </c>
      <c r="E301" s="38" t="n">
        <v>3067744.71</v>
      </c>
    </row>
    <row r="302" customFormat="false" ht="15" hidden="false" customHeight="false" outlineLevel="0" collapsed="false">
      <c r="A302" s="0" t="n">
        <v>4</v>
      </c>
      <c r="B302" s="0" t="s">
        <v>60</v>
      </c>
      <c r="C302" s="0" t="n">
        <v>2012</v>
      </c>
      <c r="D302" s="0" t="n">
        <v>1</v>
      </c>
      <c r="E302" s="38" t="n">
        <v>2794277.23</v>
      </c>
    </row>
    <row r="303" customFormat="false" ht="15" hidden="false" customHeight="false" outlineLevel="0" collapsed="false">
      <c r="A303" s="0" t="n">
        <v>4</v>
      </c>
      <c r="B303" s="0" t="s">
        <v>60</v>
      </c>
      <c r="C303" s="0" t="n">
        <v>2012</v>
      </c>
      <c r="D303" s="0" t="n">
        <v>2</v>
      </c>
      <c r="E303" s="38" t="n">
        <v>2985015.39</v>
      </c>
    </row>
    <row r="304" customFormat="false" ht="15" hidden="false" customHeight="false" outlineLevel="0" collapsed="false">
      <c r="A304" s="0" t="n">
        <v>4</v>
      </c>
      <c r="B304" s="0" t="s">
        <v>60</v>
      </c>
      <c r="C304" s="0" t="n">
        <v>2012</v>
      </c>
      <c r="D304" s="0" t="n">
        <v>3</v>
      </c>
      <c r="E304" s="38" t="n">
        <v>2933436.21</v>
      </c>
    </row>
    <row r="305" customFormat="false" ht="15" hidden="false" customHeight="false" outlineLevel="0" collapsed="false">
      <c r="A305" s="0" t="n">
        <v>4</v>
      </c>
      <c r="B305" s="0" t="s">
        <v>60</v>
      </c>
      <c r="C305" s="0" t="n">
        <v>2012</v>
      </c>
      <c r="D305" s="0" t="n">
        <v>4</v>
      </c>
      <c r="E305" s="38" t="n">
        <v>3147680.94</v>
      </c>
    </row>
    <row r="306" customFormat="false" ht="15" hidden="false" customHeight="false" outlineLevel="0" collapsed="false">
      <c r="A306" s="0" t="n">
        <v>4</v>
      </c>
      <c r="B306" s="0" t="s">
        <v>60</v>
      </c>
      <c r="C306" s="0" t="n">
        <v>2012</v>
      </c>
      <c r="D306" s="0" t="n">
        <v>5</v>
      </c>
      <c r="E306" s="38" t="n">
        <v>3141315.89</v>
      </c>
    </row>
    <row r="307" customFormat="false" ht="15" hidden="false" customHeight="false" outlineLevel="0" collapsed="false">
      <c r="A307" s="0" t="n">
        <v>4</v>
      </c>
      <c r="B307" s="0" t="s">
        <v>60</v>
      </c>
      <c r="C307" s="0" t="n">
        <v>2012</v>
      </c>
      <c r="D307" s="0" t="n">
        <v>6</v>
      </c>
      <c r="E307" s="38" t="n">
        <v>3257485.76</v>
      </c>
    </row>
    <row r="308" customFormat="false" ht="15" hidden="false" customHeight="false" outlineLevel="0" collapsed="false">
      <c r="A308" s="0" t="n">
        <v>4</v>
      </c>
      <c r="B308" s="0" t="s">
        <v>60</v>
      </c>
      <c r="C308" s="0" t="n">
        <v>2012</v>
      </c>
      <c r="D308" s="0" t="n">
        <v>7</v>
      </c>
      <c r="E308" s="38" t="n">
        <v>3457311.62</v>
      </c>
    </row>
    <row r="309" customFormat="false" ht="15" hidden="false" customHeight="false" outlineLevel="0" collapsed="false">
      <c r="A309" s="0" t="n">
        <v>4</v>
      </c>
      <c r="B309" s="0" t="s">
        <v>60</v>
      </c>
      <c r="C309" s="0" t="n">
        <v>2012</v>
      </c>
      <c r="D309" s="0" t="n">
        <v>8</v>
      </c>
      <c r="E309" s="38" t="n">
        <v>3067702.96</v>
      </c>
    </row>
    <row r="310" customFormat="false" ht="15" hidden="false" customHeight="false" outlineLevel="0" collapsed="false">
      <c r="A310" s="0" t="n">
        <v>4</v>
      </c>
      <c r="B310" s="0" t="s">
        <v>60</v>
      </c>
      <c r="C310" s="0" t="n">
        <v>2012</v>
      </c>
      <c r="D310" s="0" t="n">
        <v>9</v>
      </c>
      <c r="E310" s="38" t="n">
        <v>3184833.47</v>
      </c>
    </row>
    <row r="311" customFormat="false" ht="15" hidden="false" customHeight="false" outlineLevel="0" collapsed="false">
      <c r="A311" s="0" t="n">
        <v>4</v>
      </c>
      <c r="B311" s="0" t="s">
        <v>60</v>
      </c>
      <c r="C311" s="0" t="n">
        <v>2012</v>
      </c>
      <c r="D311" s="0" t="n">
        <v>10</v>
      </c>
      <c r="E311" s="38" t="n">
        <v>3312848.48</v>
      </c>
    </row>
    <row r="312" customFormat="false" ht="15" hidden="false" customHeight="false" outlineLevel="0" collapsed="false">
      <c r="A312" s="0" t="n">
        <v>4</v>
      </c>
      <c r="B312" s="0" t="s">
        <v>60</v>
      </c>
      <c r="C312" s="0" t="n">
        <v>2012</v>
      </c>
      <c r="D312" s="0" t="n">
        <v>11</v>
      </c>
      <c r="E312" s="38" t="n">
        <v>3424119.84</v>
      </c>
    </row>
    <row r="313" customFormat="false" ht="15" hidden="false" customHeight="false" outlineLevel="0" collapsed="false">
      <c r="A313" s="0" t="n">
        <v>4</v>
      </c>
      <c r="B313" s="0" t="s">
        <v>60</v>
      </c>
      <c r="C313" s="0" t="n">
        <v>2012</v>
      </c>
      <c r="D313" s="0" t="n">
        <v>12</v>
      </c>
      <c r="E313" s="38" t="n">
        <v>3187708.66</v>
      </c>
    </row>
    <row r="314" customFormat="false" ht="15" hidden="false" customHeight="false" outlineLevel="0" collapsed="false">
      <c r="A314" s="0" t="n">
        <v>4</v>
      </c>
      <c r="B314" s="0" t="s">
        <v>60</v>
      </c>
      <c r="C314" s="0" t="n">
        <v>2013</v>
      </c>
      <c r="D314" s="0" t="n">
        <v>1</v>
      </c>
      <c r="E314" s="38" t="n">
        <v>3003737.58</v>
      </c>
    </row>
    <row r="315" customFormat="false" ht="15" hidden="false" customHeight="false" outlineLevel="0" collapsed="false">
      <c r="A315" s="0" t="n">
        <v>4</v>
      </c>
      <c r="B315" s="0" t="s">
        <v>60</v>
      </c>
      <c r="C315" s="0" t="n">
        <v>2013</v>
      </c>
      <c r="D315" s="0" t="n">
        <v>2</v>
      </c>
      <c r="E315" s="38" t="n">
        <v>3120649.69</v>
      </c>
    </row>
    <row r="316" customFormat="false" ht="15" hidden="false" customHeight="false" outlineLevel="0" collapsed="false">
      <c r="A316" s="0" t="n">
        <v>4</v>
      </c>
      <c r="B316" s="0" t="s">
        <v>60</v>
      </c>
      <c r="C316" s="0" t="n">
        <v>2013</v>
      </c>
      <c r="D316" s="0" t="n">
        <v>3</v>
      </c>
      <c r="E316" s="38" t="n">
        <v>3135065.52</v>
      </c>
    </row>
    <row r="317" customFormat="false" ht="15" hidden="false" customHeight="false" outlineLevel="0" collapsed="false">
      <c r="A317" s="0" t="n">
        <v>4</v>
      </c>
      <c r="B317" s="0" t="s">
        <v>60</v>
      </c>
      <c r="C317" s="0" t="n">
        <v>2013</v>
      </c>
      <c r="D317" s="0" t="n">
        <v>4</v>
      </c>
      <c r="E317" s="38" t="n">
        <v>3293504.55</v>
      </c>
    </row>
    <row r="318" customFormat="false" ht="15" hidden="false" customHeight="false" outlineLevel="0" collapsed="false">
      <c r="A318" s="0" t="n">
        <v>4</v>
      </c>
      <c r="B318" s="0" t="s">
        <v>60</v>
      </c>
      <c r="C318" s="0" t="n">
        <v>2013</v>
      </c>
      <c r="D318" s="0" t="n">
        <v>5</v>
      </c>
      <c r="E318" s="38" t="n">
        <v>3230116.43</v>
      </c>
    </row>
    <row r="319" customFormat="false" ht="15" hidden="false" customHeight="false" outlineLevel="0" collapsed="false">
      <c r="A319" s="0" t="n">
        <v>4</v>
      </c>
      <c r="B319" s="0" t="s">
        <v>60</v>
      </c>
      <c r="C319" s="0" t="n">
        <v>2013</v>
      </c>
      <c r="D319" s="0" t="n">
        <v>6</v>
      </c>
      <c r="E319" s="38" t="n">
        <v>3383671.62</v>
      </c>
    </row>
    <row r="320" customFormat="false" ht="15" hidden="false" customHeight="false" outlineLevel="0" collapsed="false">
      <c r="A320" s="0" t="n">
        <v>4</v>
      </c>
      <c r="B320" s="0" t="s">
        <v>60</v>
      </c>
      <c r="C320" s="0" t="n">
        <v>2013</v>
      </c>
      <c r="D320" s="0" t="n">
        <v>7</v>
      </c>
      <c r="E320" s="38" t="n">
        <v>3443173.03</v>
      </c>
    </row>
    <row r="321" customFormat="false" ht="15" hidden="false" customHeight="false" outlineLevel="0" collapsed="false">
      <c r="A321" s="0" t="n">
        <v>4</v>
      </c>
      <c r="B321" s="0" t="s">
        <v>60</v>
      </c>
      <c r="C321" s="0" t="n">
        <v>2013</v>
      </c>
      <c r="D321" s="0" t="n">
        <v>8</v>
      </c>
      <c r="E321" s="38" t="n">
        <v>3077557.33</v>
      </c>
    </row>
    <row r="322" customFormat="false" ht="15" hidden="false" customHeight="false" outlineLevel="0" collapsed="false">
      <c r="A322" s="0" t="n">
        <v>4</v>
      </c>
      <c r="B322" s="0" t="s">
        <v>62</v>
      </c>
      <c r="C322" s="0" t="n">
        <v>2011</v>
      </c>
      <c r="D322" s="0" t="n">
        <v>1</v>
      </c>
      <c r="E322" s="38" t="n">
        <v>1380758.23</v>
      </c>
    </row>
    <row r="323" customFormat="false" ht="15" hidden="false" customHeight="false" outlineLevel="0" collapsed="false">
      <c r="A323" s="0" t="n">
        <v>4</v>
      </c>
      <c r="B323" s="0" t="s">
        <v>62</v>
      </c>
      <c r="C323" s="0" t="n">
        <v>2011</v>
      </c>
      <c r="D323" s="0" t="n">
        <v>2</v>
      </c>
      <c r="E323" s="38" t="n">
        <v>1522488.83</v>
      </c>
    </row>
    <row r="324" customFormat="false" ht="15" hidden="false" customHeight="false" outlineLevel="0" collapsed="false">
      <c r="A324" s="0" t="n">
        <v>4</v>
      </c>
      <c r="B324" s="0" t="s">
        <v>62</v>
      </c>
      <c r="C324" s="0" t="n">
        <v>2011</v>
      </c>
      <c r="D324" s="0" t="n">
        <v>3</v>
      </c>
      <c r="E324" s="38" t="n">
        <v>1490870.49</v>
      </c>
    </row>
    <row r="325" customFormat="false" ht="15" hidden="false" customHeight="false" outlineLevel="0" collapsed="false">
      <c r="A325" s="0" t="n">
        <v>4</v>
      </c>
      <c r="B325" s="0" t="s">
        <v>62</v>
      </c>
      <c r="C325" s="0" t="n">
        <v>2011</v>
      </c>
      <c r="D325" s="0" t="n">
        <v>4</v>
      </c>
      <c r="E325" s="38" t="n">
        <v>1563236.2</v>
      </c>
    </row>
    <row r="326" customFormat="false" ht="15" hidden="false" customHeight="false" outlineLevel="0" collapsed="false">
      <c r="A326" s="0" t="n">
        <v>4</v>
      </c>
      <c r="B326" s="0" t="s">
        <v>62</v>
      </c>
      <c r="C326" s="0" t="n">
        <v>2011</v>
      </c>
      <c r="D326" s="0" t="n">
        <v>5</v>
      </c>
      <c r="E326" s="38" t="n">
        <v>1573412.88</v>
      </c>
    </row>
    <row r="327" customFormat="false" ht="15" hidden="false" customHeight="false" outlineLevel="0" collapsed="false">
      <c r="A327" s="0" t="n">
        <v>4</v>
      </c>
      <c r="B327" s="0" t="s">
        <v>62</v>
      </c>
      <c r="C327" s="0" t="n">
        <v>2011</v>
      </c>
      <c r="D327" s="0" t="n">
        <v>6</v>
      </c>
      <c r="E327" s="38" t="n">
        <v>1670686.63</v>
      </c>
    </row>
    <row r="328" customFormat="false" ht="15" hidden="false" customHeight="false" outlineLevel="0" collapsed="false">
      <c r="A328" s="0" t="n">
        <v>4</v>
      </c>
      <c r="B328" s="0" t="s">
        <v>62</v>
      </c>
      <c r="C328" s="0" t="n">
        <v>2011</v>
      </c>
      <c r="D328" s="0" t="n">
        <v>7</v>
      </c>
      <c r="E328" s="38" t="n">
        <v>1722495.81</v>
      </c>
    </row>
    <row r="329" customFormat="false" ht="15" hidden="false" customHeight="false" outlineLevel="0" collapsed="false">
      <c r="A329" s="0" t="n">
        <v>4</v>
      </c>
      <c r="B329" s="0" t="s">
        <v>62</v>
      </c>
      <c r="C329" s="0" t="n">
        <v>2011</v>
      </c>
      <c r="D329" s="0" t="n">
        <v>8</v>
      </c>
      <c r="E329" s="38" t="n">
        <v>1544586.51</v>
      </c>
    </row>
    <row r="330" customFormat="false" ht="15" hidden="false" customHeight="false" outlineLevel="0" collapsed="false">
      <c r="A330" s="0" t="n">
        <v>4</v>
      </c>
      <c r="B330" s="0" t="s">
        <v>62</v>
      </c>
      <c r="C330" s="0" t="n">
        <v>2011</v>
      </c>
      <c r="D330" s="0" t="n">
        <v>9</v>
      </c>
      <c r="E330" s="38" t="n">
        <v>1502100.02</v>
      </c>
    </row>
    <row r="331" customFormat="false" ht="15" hidden="false" customHeight="false" outlineLevel="0" collapsed="false">
      <c r="A331" s="0" t="n">
        <v>4</v>
      </c>
      <c r="B331" s="0" t="s">
        <v>62</v>
      </c>
      <c r="C331" s="0" t="n">
        <v>2011</v>
      </c>
      <c r="D331" s="0" t="n">
        <v>10</v>
      </c>
      <c r="E331" s="38" t="n">
        <v>1508005.84</v>
      </c>
    </row>
    <row r="332" customFormat="false" ht="15" hidden="false" customHeight="false" outlineLevel="0" collapsed="false">
      <c r="A332" s="0" t="n">
        <v>4</v>
      </c>
      <c r="B332" s="0" t="s">
        <v>62</v>
      </c>
      <c r="C332" s="0" t="n">
        <v>2011</v>
      </c>
      <c r="D332" s="0" t="n">
        <v>11</v>
      </c>
      <c r="E332" s="38" t="n">
        <v>1612834.48</v>
      </c>
    </row>
    <row r="333" customFormat="false" ht="15" hidden="false" customHeight="false" outlineLevel="0" collapsed="false">
      <c r="A333" s="0" t="n">
        <v>4</v>
      </c>
      <c r="B333" s="0" t="s">
        <v>62</v>
      </c>
      <c r="C333" s="0" t="n">
        <v>2011</v>
      </c>
      <c r="D333" s="0" t="n">
        <v>12</v>
      </c>
      <c r="E333" s="38" t="n">
        <v>1546860.58</v>
      </c>
    </row>
    <row r="334" customFormat="false" ht="15" hidden="false" customHeight="false" outlineLevel="0" collapsed="false">
      <c r="A334" s="0" t="n">
        <v>4</v>
      </c>
      <c r="B334" s="0" t="s">
        <v>62</v>
      </c>
      <c r="C334" s="0" t="n">
        <v>2012</v>
      </c>
      <c r="D334" s="0" t="n">
        <v>1</v>
      </c>
      <c r="E334" s="38" t="n">
        <v>1405686.99</v>
      </c>
    </row>
    <row r="335" customFormat="false" ht="15" hidden="false" customHeight="false" outlineLevel="0" collapsed="false">
      <c r="A335" s="0" t="n">
        <v>4</v>
      </c>
      <c r="B335" s="0" t="s">
        <v>62</v>
      </c>
      <c r="C335" s="0" t="n">
        <v>2012</v>
      </c>
      <c r="D335" s="0" t="n">
        <v>2</v>
      </c>
      <c r="E335" s="38" t="n">
        <v>1515750.13</v>
      </c>
    </row>
    <row r="336" customFormat="false" ht="15" hidden="false" customHeight="false" outlineLevel="0" collapsed="false">
      <c r="A336" s="0" t="n">
        <v>4</v>
      </c>
      <c r="B336" s="0" t="s">
        <v>62</v>
      </c>
      <c r="C336" s="0" t="n">
        <v>2012</v>
      </c>
      <c r="D336" s="0" t="n">
        <v>3</v>
      </c>
      <c r="E336" s="38" t="n">
        <v>1435420.1</v>
      </c>
    </row>
    <row r="337" customFormat="false" ht="15" hidden="false" customHeight="false" outlineLevel="0" collapsed="false">
      <c r="A337" s="0" t="n">
        <v>4</v>
      </c>
      <c r="B337" s="0" t="s">
        <v>62</v>
      </c>
      <c r="C337" s="0" t="n">
        <v>2012</v>
      </c>
      <c r="D337" s="0" t="n">
        <v>4</v>
      </c>
      <c r="E337" s="38" t="n">
        <v>1566242.8</v>
      </c>
    </row>
    <row r="338" customFormat="false" ht="15" hidden="false" customHeight="false" outlineLevel="0" collapsed="false">
      <c r="A338" s="0" t="n">
        <v>4</v>
      </c>
      <c r="B338" s="0" t="s">
        <v>62</v>
      </c>
      <c r="C338" s="0" t="n">
        <v>2012</v>
      </c>
      <c r="D338" s="0" t="n">
        <v>5</v>
      </c>
      <c r="E338" s="38" t="n">
        <v>1574639.62</v>
      </c>
    </row>
    <row r="339" customFormat="false" ht="15" hidden="false" customHeight="false" outlineLevel="0" collapsed="false">
      <c r="A339" s="0" t="n">
        <v>4</v>
      </c>
      <c r="B339" s="0" t="s">
        <v>62</v>
      </c>
      <c r="C339" s="0" t="n">
        <v>2012</v>
      </c>
      <c r="D339" s="0" t="n">
        <v>6</v>
      </c>
      <c r="E339" s="38" t="n">
        <v>1650530.31</v>
      </c>
    </row>
    <row r="340" customFormat="false" ht="15" hidden="false" customHeight="false" outlineLevel="0" collapsed="false">
      <c r="A340" s="0" t="n">
        <v>4</v>
      </c>
      <c r="B340" s="0" t="s">
        <v>62</v>
      </c>
      <c r="C340" s="0" t="n">
        <v>2012</v>
      </c>
      <c r="D340" s="0" t="n">
        <v>7</v>
      </c>
      <c r="E340" s="38" t="n">
        <v>1738303.95</v>
      </c>
    </row>
    <row r="341" customFormat="false" ht="15" hidden="false" customHeight="false" outlineLevel="0" collapsed="false">
      <c r="A341" s="0" t="n">
        <v>4</v>
      </c>
      <c r="B341" s="0" t="s">
        <v>62</v>
      </c>
      <c r="C341" s="0" t="n">
        <v>2012</v>
      </c>
      <c r="D341" s="0" t="n">
        <v>8</v>
      </c>
      <c r="E341" s="38" t="n">
        <v>1558753.08</v>
      </c>
    </row>
    <row r="342" customFormat="false" ht="15" hidden="false" customHeight="false" outlineLevel="0" collapsed="false">
      <c r="A342" s="0" t="n">
        <v>4</v>
      </c>
      <c r="B342" s="0" t="s">
        <v>62</v>
      </c>
      <c r="C342" s="0" t="n">
        <v>2012</v>
      </c>
      <c r="D342" s="0" t="n">
        <v>9</v>
      </c>
      <c r="E342" s="38" t="n">
        <v>1563287.48</v>
      </c>
    </row>
    <row r="343" customFormat="false" ht="15" hidden="false" customHeight="false" outlineLevel="0" collapsed="false">
      <c r="A343" s="0" t="n">
        <v>4</v>
      </c>
      <c r="B343" s="0" t="s">
        <v>62</v>
      </c>
      <c r="C343" s="0" t="n">
        <v>2012</v>
      </c>
      <c r="D343" s="0" t="n">
        <v>10</v>
      </c>
      <c r="E343" s="38" t="n">
        <v>1556887.84</v>
      </c>
    </row>
    <row r="344" customFormat="false" ht="15" hidden="false" customHeight="false" outlineLevel="0" collapsed="false">
      <c r="A344" s="0" t="n">
        <v>4</v>
      </c>
      <c r="B344" s="0" t="s">
        <v>62</v>
      </c>
      <c r="C344" s="0" t="n">
        <v>2012</v>
      </c>
      <c r="D344" s="0" t="n">
        <v>11</v>
      </c>
      <c r="E344" s="38" t="n">
        <v>1639206.95</v>
      </c>
    </row>
    <row r="345" customFormat="false" ht="15" hidden="false" customHeight="false" outlineLevel="0" collapsed="false">
      <c r="A345" s="0" t="n">
        <v>4</v>
      </c>
      <c r="B345" s="0" t="s">
        <v>62</v>
      </c>
      <c r="C345" s="0" t="n">
        <v>2012</v>
      </c>
      <c r="D345" s="0" t="n">
        <v>12</v>
      </c>
      <c r="E345" s="38" t="n">
        <v>1579806.67</v>
      </c>
    </row>
    <row r="346" customFormat="false" ht="15" hidden="false" customHeight="false" outlineLevel="0" collapsed="false">
      <c r="A346" s="0" t="n">
        <v>4</v>
      </c>
      <c r="B346" s="0" t="s">
        <v>62</v>
      </c>
      <c r="C346" s="0" t="n">
        <v>2013</v>
      </c>
      <c r="D346" s="0" t="n">
        <v>1</v>
      </c>
      <c r="E346" s="38" t="n">
        <v>1492718.2</v>
      </c>
    </row>
    <row r="347" customFormat="false" ht="15" hidden="false" customHeight="false" outlineLevel="0" collapsed="false">
      <c r="A347" s="0" t="n">
        <v>4</v>
      </c>
      <c r="B347" s="0" t="s">
        <v>62</v>
      </c>
      <c r="C347" s="0" t="n">
        <v>2013</v>
      </c>
      <c r="D347" s="0" t="n">
        <v>2</v>
      </c>
      <c r="E347" s="38" t="n">
        <v>1546543.98</v>
      </c>
    </row>
    <row r="348" customFormat="false" ht="15" hidden="false" customHeight="false" outlineLevel="0" collapsed="false">
      <c r="A348" s="0" t="n">
        <v>4</v>
      </c>
      <c r="B348" s="0" t="s">
        <v>62</v>
      </c>
      <c r="C348" s="0" t="n">
        <v>2013</v>
      </c>
      <c r="D348" s="0" t="n">
        <v>3</v>
      </c>
      <c r="E348" s="38" t="n">
        <v>1534120.91</v>
      </c>
    </row>
    <row r="349" customFormat="false" ht="15" hidden="false" customHeight="false" outlineLevel="0" collapsed="false">
      <c r="A349" s="0" t="n">
        <v>4</v>
      </c>
      <c r="B349" s="0" t="s">
        <v>62</v>
      </c>
      <c r="C349" s="0" t="n">
        <v>2013</v>
      </c>
      <c r="D349" s="0" t="n">
        <v>4</v>
      </c>
      <c r="E349" s="38" t="n">
        <v>1594729.35</v>
      </c>
    </row>
    <row r="350" customFormat="false" ht="15" hidden="false" customHeight="false" outlineLevel="0" collapsed="false">
      <c r="A350" s="0" t="n">
        <v>4</v>
      </c>
      <c r="B350" s="0" t="s">
        <v>62</v>
      </c>
      <c r="C350" s="0" t="n">
        <v>2013</v>
      </c>
      <c r="D350" s="0" t="n">
        <v>5</v>
      </c>
      <c r="E350" s="38" t="n">
        <v>1629896.8</v>
      </c>
    </row>
    <row r="351" customFormat="false" ht="15" hidden="false" customHeight="false" outlineLevel="0" collapsed="false">
      <c r="A351" s="0" t="n">
        <v>4</v>
      </c>
      <c r="B351" s="0" t="s">
        <v>62</v>
      </c>
      <c r="C351" s="0" t="n">
        <v>2013</v>
      </c>
      <c r="D351" s="0" t="n">
        <v>6</v>
      </c>
      <c r="E351" s="38" t="n">
        <v>1711378.2</v>
      </c>
    </row>
    <row r="352" customFormat="false" ht="15" hidden="false" customHeight="false" outlineLevel="0" collapsed="false">
      <c r="A352" s="0" t="n">
        <v>4</v>
      </c>
      <c r="B352" s="0" t="s">
        <v>62</v>
      </c>
      <c r="C352" s="0" t="n">
        <v>2013</v>
      </c>
      <c r="D352" s="0" t="n">
        <v>7</v>
      </c>
      <c r="E352" s="38" t="n">
        <v>1728220.44</v>
      </c>
    </row>
    <row r="353" customFormat="false" ht="15" hidden="false" customHeight="false" outlineLevel="0" collapsed="false">
      <c r="A353" s="0" t="n">
        <v>4</v>
      </c>
      <c r="B353" s="0" t="s">
        <v>62</v>
      </c>
      <c r="C353" s="0" t="n">
        <v>2013</v>
      </c>
      <c r="D353" s="0" t="n">
        <v>8</v>
      </c>
      <c r="E353" s="38" t="n">
        <v>1580562.39</v>
      </c>
    </row>
    <row r="354" customFormat="false" ht="15" hidden="false" customHeight="false" outlineLevel="0" collapsed="false">
      <c r="A354" s="0" t="n">
        <v>4</v>
      </c>
      <c r="B354" s="0" t="s">
        <v>64</v>
      </c>
      <c r="C354" s="0" t="n">
        <v>2011</v>
      </c>
      <c r="D354" s="0" t="n">
        <v>1</v>
      </c>
      <c r="E354" s="38" t="n">
        <v>321888.44</v>
      </c>
    </row>
    <row r="355" customFormat="false" ht="15" hidden="false" customHeight="false" outlineLevel="0" collapsed="false">
      <c r="A355" s="0" t="n">
        <v>4</v>
      </c>
      <c r="B355" s="0" t="s">
        <v>64</v>
      </c>
      <c r="C355" s="0" t="n">
        <v>2011</v>
      </c>
      <c r="D355" s="0" t="n">
        <v>2</v>
      </c>
      <c r="E355" s="38" t="n">
        <v>346324.3</v>
      </c>
    </row>
    <row r="356" customFormat="false" ht="15" hidden="false" customHeight="false" outlineLevel="0" collapsed="false">
      <c r="A356" s="0" t="n">
        <v>4</v>
      </c>
      <c r="B356" s="0" t="s">
        <v>64</v>
      </c>
      <c r="C356" s="0" t="n">
        <v>2011</v>
      </c>
      <c r="D356" s="0" t="n">
        <v>3</v>
      </c>
      <c r="E356" s="38" t="n">
        <v>344987.14</v>
      </c>
    </row>
    <row r="357" customFormat="false" ht="15" hidden="false" customHeight="false" outlineLevel="0" collapsed="false">
      <c r="A357" s="0" t="n">
        <v>4</v>
      </c>
      <c r="B357" s="0" t="s">
        <v>64</v>
      </c>
      <c r="C357" s="0" t="n">
        <v>2011</v>
      </c>
      <c r="D357" s="0" t="n">
        <v>4</v>
      </c>
      <c r="E357" s="38" t="n">
        <v>360146.1</v>
      </c>
    </row>
    <row r="358" customFormat="false" ht="15" hidden="false" customHeight="false" outlineLevel="0" collapsed="false">
      <c r="A358" s="0" t="n">
        <v>4</v>
      </c>
      <c r="B358" s="0" t="s">
        <v>64</v>
      </c>
      <c r="C358" s="0" t="n">
        <v>2011</v>
      </c>
      <c r="D358" s="0" t="n">
        <v>5</v>
      </c>
      <c r="E358" s="38" t="n">
        <v>346444.13</v>
      </c>
    </row>
    <row r="359" customFormat="false" ht="15" hidden="false" customHeight="false" outlineLevel="0" collapsed="false">
      <c r="A359" s="0" t="n">
        <v>4</v>
      </c>
      <c r="B359" s="0" t="s">
        <v>64</v>
      </c>
      <c r="C359" s="0" t="n">
        <v>2011</v>
      </c>
      <c r="D359" s="0" t="n">
        <v>6</v>
      </c>
      <c r="E359" s="38" t="n">
        <v>363543</v>
      </c>
    </row>
    <row r="360" customFormat="false" ht="15" hidden="false" customHeight="false" outlineLevel="0" collapsed="false">
      <c r="A360" s="0" t="n">
        <v>4</v>
      </c>
      <c r="B360" s="0" t="s">
        <v>64</v>
      </c>
      <c r="C360" s="0" t="n">
        <v>2011</v>
      </c>
      <c r="D360" s="0" t="n">
        <v>7</v>
      </c>
      <c r="E360" s="38" t="n">
        <v>366655.84</v>
      </c>
    </row>
    <row r="361" customFormat="false" ht="15" hidden="false" customHeight="false" outlineLevel="0" collapsed="false">
      <c r="A361" s="0" t="n">
        <v>4</v>
      </c>
      <c r="B361" s="0" t="s">
        <v>64</v>
      </c>
      <c r="C361" s="0" t="n">
        <v>2011</v>
      </c>
      <c r="D361" s="0" t="n">
        <v>8</v>
      </c>
      <c r="E361" s="38" t="n">
        <v>358885.09</v>
      </c>
    </row>
    <row r="362" customFormat="false" ht="15" hidden="false" customHeight="false" outlineLevel="0" collapsed="false">
      <c r="A362" s="0" t="n">
        <v>4</v>
      </c>
      <c r="B362" s="0" t="s">
        <v>64</v>
      </c>
      <c r="C362" s="0" t="n">
        <v>2011</v>
      </c>
      <c r="D362" s="0" t="n">
        <v>9</v>
      </c>
      <c r="E362" s="38" t="n">
        <v>360806.85</v>
      </c>
    </row>
    <row r="363" customFormat="false" ht="15" hidden="false" customHeight="false" outlineLevel="0" collapsed="false">
      <c r="A363" s="0" t="n">
        <v>4</v>
      </c>
      <c r="B363" s="0" t="s">
        <v>64</v>
      </c>
      <c r="C363" s="0" t="n">
        <v>2011</v>
      </c>
      <c r="D363" s="0" t="n">
        <v>10</v>
      </c>
      <c r="E363" s="38" t="n">
        <v>366816.44</v>
      </c>
    </row>
    <row r="364" customFormat="false" ht="15" hidden="false" customHeight="false" outlineLevel="0" collapsed="false">
      <c r="A364" s="0" t="n">
        <v>4</v>
      </c>
      <c r="B364" s="0" t="s">
        <v>64</v>
      </c>
      <c r="C364" s="0" t="n">
        <v>2011</v>
      </c>
      <c r="D364" s="0" t="n">
        <v>11</v>
      </c>
      <c r="E364" s="38" t="n">
        <v>376297.03</v>
      </c>
    </row>
    <row r="365" customFormat="false" ht="15" hidden="false" customHeight="false" outlineLevel="0" collapsed="false">
      <c r="A365" s="0" t="n">
        <v>4</v>
      </c>
      <c r="B365" s="0" t="s">
        <v>64</v>
      </c>
      <c r="C365" s="0" t="n">
        <v>2011</v>
      </c>
      <c r="D365" s="0" t="n">
        <v>12</v>
      </c>
      <c r="E365" s="38" t="n">
        <v>370765.36</v>
      </c>
    </row>
    <row r="366" customFormat="false" ht="15" hidden="false" customHeight="false" outlineLevel="0" collapsed="false">
      <c r="A366" s="0" t="n">
        <v>4</v>
      </c>
      <c r="B366" s="0" t="s">
        <v>64</v>
      </c>
      <c r="C366" s="0" t="n">
        <v>2012</v>
      </c>
      <c r="D366" s="0" t="n">
        <v>1</v>
      </c>
      <c r="E366" s="38" t="n">
        <v>332371.93</v>
      </c>
    </row>
    <row r="367" customFormat="false" ht="15" hidden="false" customHeight="false" outlineLevel="0" collapsed="false">
      <c r="A367" s="0" t="n">
        <v>4</v>
      </c>
      <c r="B367" s="0" t="s">
        <v>64</v>
      </c>
      <c r="C367" s="0" t="n">
        <v>2012</v>
      </c>
      <c r="D367" s="0" t="n">
        <v>2</v>
      </c>
      <c r="E367" s="38" t="n">
        <v>353948.7</v>
      </c>
    </row>
    <row r="368" customFormat="false" ht="15" hidden="false" customHeight="false" outlineLevel="0" collapsed="false">
      <c r="A368" s="0" t="n">
        <v>4</v>
      </c>
      <c r="B368" s="0" t="s">
        <v>64</v>
      </c>
      <c r="C368" s="0" t="n">
        <v>2012</v>
      </c>
      <c r="D368" s="0" t="n">
        <v>3</v>
      </c>
      <c r="E368" s="38" t="n">
        <v>346034.93</v>
      </c>
    </row>
    <row r="369" customFormat="false" ht="15" hidden="false" customHeight="false" outlineLevel="0" collapsed="false">
      <c r="A369" s="0" t="n">
        <v>4</v>
      </c>
      <c r="B369" s="0" t="s">
        <v>64</v>
      </c>
      <c r="C369" s="0" t="n">
        <v>2012</v>
      </c>
      <c r="D369" s="0" t="n">
        <v>4</v>
      </c>
      <c r="E369" s="38" t="n">
        <v>362049.23</v>
      </c>
    </row>
    <row r="370" customFormat="false" ht="15" hidden="false" customHeight="false" outlineLevel="0" collapsed="false">
      <c r="A370" s="0" t="n">
        <v>4</v>
      </c>
      <c r="B370" s="0" t="s">
        <v>64</v>
      </c>
      <c r="C370" s="0" t="n">
        <v>2012</v>
      </c>
      <c r="D370" s="0" t="n">
        <v>5</v>
      </c>
      <c r="E370" s="38" t="n">
        <v>337281.98</v>
      </c>
    </row>
    <row r="371" customFormat="false" ht="15" hidden="false" customHeight="false" outlineLevel="0" collapsed="false">
      <c r="A371" s="0" t="n">
        <v>4</v>
      </c>
      <c r="B371" s="0" t="s">
        <v>64</v>
      </c>
      <c r="C371" s="0" t="n">
        <v>2012</v>
      </c>
      <c r="D371" s="0" t="n">
        <v>6</v>
      </c>
      <c r="E371" s="38" t="n">
        <v>345421.77</v>
      </c>
    </row>
    <row r="372" customFormat="false" ht="15" hidden="false" customHeight="false" outlineLevel="0" collapsed="false">
      <c r="A372" s="0" t="n">
        <v>4</v>
      </c>
      <c r="B372" s="0" t="s">
        <v>64</v>
      </c>
      <c r="C372" s="0" t="n">
        <v>2012</v>
      </c>
      <c r="D372" s="0" t="n">
        <v>7</v>
      </c>
      <c r="E372" s="38" t="n">
        <v>347822.91</v>
      </c>
    </row>
    <row r="373" customFormat="false" ht="15" hidden="false" customHeight="false" outlineLevel="0" collapsed="false">
      <c r="A373" s="0" t="n">
        <v>4</v>
      </c>
      <c r="B373" s="0" t="s">
        <v>64</v>
      </c>
      <c r="C373" s="0" t="n">
        <v>2012</v>
      </c>
      <c r="D373" s="0" t="n">
        <v>8</v>
      </c>
      <c r="E373" s="38" t="n">
        <v>330879.28</v>
      </c>
    </row>
    <row r="374" customFormat="false" ht="15" hidden="false" customHeight="false" outlineLevel="0" collapsed="false">
      <c r="A374" s="0" t="n">
        <v>4</v>
      </c>
      <c r="B374" s="0" t="s">
        <v>64</v>
      </c>
      <c r="C374" s="0" t="n">
        <v>2012</v>
      </c>
      <c r="D374" s="0" t="n">
        <v>9</v>
      </c>
      <c r="E374" s="38" t="n">
        <v>354537.63</v>
      </c>
    </row>
    <row r="375" customFormat="false" ht="15" hidden="false" customHeight="false" outlineLevel="0" collapsed="false">
      <c r="A375" s="0" t="n">
        <v>4</v>
      </c>
      <c r="B375" s="0" t="s">
        <v>64</v>
      </c>
      <c r="C375" s="0" t="n">
        <v>2012</v>
      </c>
      <c r="D375" s="0" t="n">
        <v>10</v>
      </c>
      <c r="E375" s="38" t="n">
        <v>370362.87</v>
      </c>
    </row>
    <row r="376" customFormat="false" ht="15" hidden="false" customHeight="false" outlineLevel="0" collapsed="false">
      <c r="A376" s="0" t="n">
        <v>4</v>
      </c>
      <c r="B376" s="0" t="s">
        <v>64</v>
      </c>
      <c r="C376" s="0" t="n">
        <v>2012</v>
      </c>
      <c r="D376" s="0" t="n">
        <v>11</v>
      </c>
      <c r="E376" s="38" t="n">
        <v>376754.47</v>
      </c>
    </row>
    <row r="377" customFormat="false" ht="15" hidden="false" customHeight="false" outlineLevel="0" collapsed="false">
      <c r="A377" s="0" t="n">
        <v>4</v>
      </c>
      <c r="B377" s="0" t="s">
        <v>64</v>
      </c>
      <c r="C377" s="0" t="n">
        <v>2012</v>
      </c>
      <c r="D377" s="0" t="n">
        <v>12</v>
      </c>
      <c r="E377" s="38" t="n">
        <v>377521.98</v>
      </c>
    </row>
    <row r="378" customFormat="false" ht="15" hidden="false" customHeight="false" outlineLevel="0" collapsed="false">
      <c r="A378" s="0" t="n">
        <v>4</v>
      </c>
      <c r="B378" s="0" t="s">
        <v>64</v>
      </c>
      <c r="C378" s="0" t="n">
        <v>2013</v>
      </c>
      <c r="D378" s="0" t="n">
        <v>1</v>
      </c>
      <c r="E378" s="38" t="n">
        <v>346266.85</v>
      </c>
    </row>
    <row r="379" customFormat="false" ht="15" hidden="false" customHeight="false" outlineLevel="0" collapsed="false">
      <c r="A379" s="0" t="n">
        <v>4</v>
      </c>
      <c r="B379" s="0" t="s">
        <v>64</v>
      </c>
      <c r="C379" s="0" t="n">
        <v>2013</v>
      </c>
      <c r="D379" s="0" t="n">
        <v>2</v>
      </c>
      <c r="E379" s="38" t="n">
        <v>363264.23</v>
      </c>
    </row>
    <row r="380" customFormat="false" ht="15" hidden="false" customHeight="false" outlineLevel="0" collapsed="false">
      <c r="A380" s="0" t="n">
        <v>4</v>
      </c>
      <c r="B380" s="0" t="s">
        <v>64</v>
      </c>
      <c r="C380" s="0" t="n">
        <v>2013</v>
      </c>
      <c r="D380" s="0" t="n">
        <v>3</v>
      </c>
      <c r="E380" s="38" t="n">
        <v>363193.73</v>
      </c>
    </row>
    <row r="381" customFormat="false" ht="15" hidden="false" customHeight="false" outlineLevel="0" collapsed="false">
      <c r="A381" s="0" t="n">
        <v>4</v>
      </c>
      <c r="B381" s="0" t="s">
        <v>64</v>
      </c>
      <c r="C381" s="0" t="n">
        <v>2013</v>
      </c>
      <c r="D381" s="0" t="n">
        <v>4</v>
      </c>
      <c r="E381" s="38" t="n">
        <v>375422.9</v>
      </c>
    </row>
    <row r="382" customFormat="false" ht="15" hidden="false" customHeight="false" outlineLevel="0" collapsed="false">
      <c r="A382" s="0" t="n">
        <v>4</v>
      </c>
      <c r="B382" s="0" t="s">
        <v>64</v>
      </c>
      <c r="C382" s="0" t="n">
        <v>2013</v>
      </c>
      <c r="D382" s="0" t="n">
        <v>5</v>
      </c>
      <c r="E382" s="38" t="n">
        <v>349981.72</v>
      </c>
    </row>
    <row r="383" customFormat="false" ht="15" hidden="false" customHeight="false" outlineLevel="0" collapsed="false">
      <c r="A383" s="0" t="n">
        <v>4</v>
      </c>
      <c r="B383" s="0" t="s">
        <v>64</v>
      </c>
      <c r="C383" s="0" t="n">
        <v>2013</v>
      </c>
      <c r="D383" s="0" t="n">
        <v>6</v>
      </c>
      <c r="E383" s="38" t="n">
        <v>366332.83</v>
      </c>
    </row>
    <row r="384" customFormat="false" ht="15" hidden="false" customHeight="false" outlineLevel="0" collapsed="false">
      <c r="A384" s="0" t="n">
        <v>4</v>
      </c>
      <c r="B384" s="0" t="s">
        <v>64</v>
      </c>
      <c r="C384" s="0" t="n">
        <v>2013</v>
      </c>
      <c r="D384" s="0" t="n">
        <v>7</v>
      </c>
      <c r="E384" s="38" t="n">
        <v>364899.35</v>
      </c>
    </row>
    <row r="385" customFormat="false" ht="15" hidden="false" customHeight="false" outlineLevel="0" collapsed="false">
      <c r="A385" s="0" t="n">
        <v>4</v>
      </c>
      <c r="B385" s="0" t="s">
        <v>64</v>
      </c>
      <c r="C385" s="0" t="n">
        <v>2013</v>
      </c>
      <c r="D385" s="0" t="n">
        <v>8</v>
      </c>
      <c r="E385" s="38" t="n">
        <v>354455.01</v>
      </c>
    </row>
    <row r="386" customFormat="false" ht="15" hidden="false" customHeight="false" outlineLevel="0" collapsed="false">
      <c r="A386" s="0" t="n">
        <v>5</v>
      </c>
      <c r="B386" s="0" t="s">
        <v>60</v>
      </c>
      <c r="C386" s="0" t="n">
        <v>2011</v>
      </c>
      <c r="D386" s="0" t="n">
        <v>1</v>
      </c>
      <c r="E386" s="38" t="n">
        <v>2542230.65</v>
      </c>
    </row>
    <row r="387" customFormat="false" ht="15" hidden="false" customHeight="false" outlineLevel="0" collapsed="false">
      <c r="A387" s="0" t="n">
        <v>5</v>
      </c>
      <c r="B387" s="0" t="s">
        <v>60</v>
      </c>
      <c r="C387" s="0" t="n">
        <v>2011</v>
      </c>
      <c r="D387" s="0" t="n">
        <v>2</v>
      </c>
      <c r="E387" s="38" t="n">
        <v>3296460.89</v>
      </c>
    </row>
    <row r="388" customFormat="false" ht="15" hidden="false" customHeight="false" outlineLevel="0" collapsed="false">
      <c r="A388" s="0" t="n">
        <v>5</v>
      </c>
      <c r="B388" s="0" t="s">
        <v>60</v>
      </c>
      <c r="C388" s="0" t="n">
        <v>2011</v>
      </c>
      <c r="D388" s="0" t="n">
        <v>3</v>
      </c>
      <c r="E388" s="38" t="n">
        <v>2481075.81</v>
      </c>
    </row>
    <row r="389" customFormat="false" ht="15" hidden="false" customHeight="false" outlineLevel="0" collapsed="false">
      <c r="A389" s="0" t="n">
        <v>5</v>
      </c>
      <c r="B389" s="0" t="s">
        <v>60</v>
      </c>
      <c r="C389" s="0" t="n">
        <v>2011</v>
      </c>
      <c r="D389" s="0" t="n">
        <v>4</v>
      </c>
      <c r="E389" s="38" t="n">
        <v>2008692.29</v>
      </c>
    </row>
    <row r="390" customFormat="false" ht="15" hidden="false" customHeight="false" outlineLevel="0" collapsed="false">
      <c r="A390" s="0" t="n">
        <v>5</v>
      </c>
      <c r="B390" s="0" t="s">
        <v>60</v>
      </c>
      <c r="C390" s="0" t="n">
        <v>2011</v>
      </c>
      <c r="D390" s="0" t="n">
        <v>5</v>
      </c>
      <c r="E390" s="38" t="n">
        <v>2213008.91</v>
      </c>
    </row>
    <row r="391" customFormat="false" ht="15" hidden="false" customHeight="false" outlineLevel="0" collapsed="false">
      <c r="A391" s="0" t="n">
        <v>5</v>
      </c>
      <c r="B391" s="0" t="s">
        <v>60</v>
      </c>
      <c r="C391" s="0" t="n">
        <v>2011</v>
      </c>
      <c r="D391" s="0" t="n">
        <v>6</v>
      </c>
      <c r="E391" s="38" t="n">
        <v>2035000.47</v>
      </c>
    </row>
    <row r="392" customFormat="false" ht="15" hidden="false" customHeight="false" outlineLevel="0" collapsed="false">
      <c r="A392" s="0" t="n">
        <v>5</v>
      </c>
      <c r="B392" s="0" t="s">
        <v>60</v>
      </c>
      <c r="C392" s="0" t="n">
        <v>2011</v>
      </c>
      <c r="D392" s="0" t="n">
        <v>7</v>
      </c>
      <c r="E392" s="38" t="n">
        <v>1928398.34</v>
      </c>
    </row>
    <row r="393" customFormat="false" ht="15" hidden="false" customHeight="false" outlineLevel="0" collapsed="false">
      <c r="A393" s="0" t="n">
        <v>5</v>
      </c>
      <c r="B393" s="0" t="s">
        <v>60</v>
      </c>
      <c r="C393" s="0" t="n">
        <v>2011</v>
      </c>
      <c r="D393" s="0" t="n">
        <v>8</v>
      </c>
      <c r="E393" s="38" t="n">
        <v>1947414.82</v>
      </c>
    </row>
    <row r="394" customFormat="false" ht="15" hidden="false" customHeight="false" outlineLevel="0" collapsed="false">
      <c r="A394" s="0" t="n">
        <v>5</v>
      </c>
      <c r="B394" s="0" t="s">
        <v>60</v>
      </c>
      <c r="C394" s="0" t="n">
        <v>2011</v>
      </c>
      <c r="D394" s="0" t="n">
        <v>9</v>
      </c>
      <c r="E394" s="38" t="n">
        <v>2249861.02</v>
      </c>
    </row>
    <row r="395" customFormat="false" ht="15" hidden="false" customHeight="false" outlineLevel="0" collapsed="false">
      <c r="A395" s="0" t="n">
        <v>5</v>
      </c>
      <c r="B395" s="0" t="s">
        <v>60</v>
      </c>
      <c r="C395" s="0" t="n">
        <v>2011</v>
      </c>
      <c r="D395" s="0" t="n">
        <v>10</v>
      </c>
      <c r="E395" s="38" t="n">
        <v>4272047.98</v>
      </c>
    </row>
    <row r="396" customFormat="false" ht="15" hidden="false" customHeight="false" outlineLevel="0" collapsed="false">
      <c r="A396" s="0" t="n">
        <v>5</v>
      </c>
      <c r="B396" s="0" t="s">
        <v>60</v>
      </c>
      <c r="C396" s="0" t="n">
        <v>2011</v>
      </c>
      <c r="D396" s="0" t="n">
        <v>11</v>
      </c>
      <c r="E396" s="38" t="n">
        <v>6588563.85</v>
      </c>
    </row>
    <row r="397" customFormat="false" ht="15" hidden="false" customHeight="false" outlineLevel="0" collapsed="false">
      <c r="A397" s="0" t="n">
        <v>5</v>
      </c>
      <c r="B397" s="0" t="s">
        <v>60</v>
      </c>
      <c r="C397" s="0" t="n">
        <v>2011</v>
      </c>
      <c r="D397" s="0" t="n">
        <v>12</v>
      </c>
      <c r="E397" s="38" t="n">
        <v>2204838.36</v>
      </c>
    </row>
    <row r="398" customFormat="false" ht="15" hidden="false" customHeight="false" outlineLevel="0" collapsed="false">
      <c r="A398" s="0" t="n">
        <v>5</v>
      </c>
      <c r="B398" s="0" t="s">
        <v>60</v>
      </c>
      <c r="C398" s="0" t="n">
        <v>2012</v>
      </c>
      <c r="D398" s="0" t="n">
        <v>1</v>
      </c>
      <c r="E398" s="38" t="n">
        <v>2652050.35</v>
      </c>
    </row>
    <row r="399" customFormat="false" ht="15" hidden="false" customHeight="false" outlineLevel="0" collapsed="false">
      <c r="A399" s="0" t="n">
        <v>5</v>
      </c>
      <c r="B399" s="0" t="s">
        <v>60</v>
      </c>
      <c r="C399" s="0" t="n">
        <v>2012</v>
      </c>
      <c r="D399" s="0" t="n">
        <v>2</v>
      </c>
      <c r="E399" s="38" t="n">
        <v>2487840.09</v>
      </c>
    </row>
    <row r="400" customFormat="false" ht="15" hidden="false" customHeight="false" outlineLevel="0" collapsed="false">
      <c r="A400" s="0" t="n">
        <v>5</v>
      </c>
      <c r="B400" s="0" t="s">
        <v>60</v>
      </c>
      <c r="C400" s="0" t="n">
        <v>2012</v>
      </c>
      <c r="D400" s="0" t="n">
        <v>3</v>
      </c>
      <c r="E400" s="38" t="n">
        <v>2426493.45</v>
      </c>
    </row>
    <row r="401" customFormat="false" ht="15" hidden="false" customHeight="false" outlineLevel="0" collapsed="false">
      <c r="A401" s="0" t="n">
        <v>5</v>
      </c>
      <c r="B401" s="0" t="s">
        <v>60</v>
      </c>
      <c r="C401" s="0" t="n">
        <v>2012</v>
      </c>
      <c r="D401" s="0" t="n">
        <v>4</v>
      </c>
      <c r="E401" s="38" t="n">
        <v>1828123.75</v>
      </c>
    </row>
    <row r="402" customFormat="false" ht="15" hidden="false" customHeight="false" outlineLevel="0" collapsed="false">
      <c r="A402" s="0" t="n">
        <v>5</v>
      </c>
      <c r="B402" s="0" t="s">
        <v>60</v>
      </c>
      <c r="C402" s="0" t="n">
        <v>2012</v>
      </c>
      <c r="D402" s="0" t="n">
        <v>5</v>
      </c>
      <c r="E402" s="38" t="n">
        <v>1992434.35</v>
      </c>
    </row>
    <row r="403" customFormat="false" ht="15" hidden="false" customHeight="false" outlineLevel="0" collapsed="false">
      <c r="A403" s="0" t="n">
        <v>5</v>
      </c>
      <c r="B403" s="0" t="s">
        <v>60</v>
      </c>
      <c r="C403" s="0" t="n">
        <v>2012</v>
      </c>
      <c r="D403" s="0" t="n">
        <v>6</v>
      </c>
      <c r="E403" s="38" t="n">
        <v>1842096.64</v>
      </c>
    </row>
    <row r="404" customFormat="false" ht="15" hidden="false" customHeight="false" outlineLevel="0" collapsed="false">
      <c r="A404" s="0" t="n">
        <v>5</v>
      </c>
      <c r="B404" s="0" t="s">
        <v>60</v>
      </c>
      <c r="C404" s="0" t="n">
        <v>2012</v>
      </c>
      <c r="D404" s="0" t="n">
        <v>7</v>
      </c>
      <c r="E404" s="38" t="n">
        <v>1865137.19</v>
      </c>
    </row>
    <row r="405" customFormat="false" ht="15" hidden="false" customHeight="false" outlineLevel="0" collapsed="false">
      <c r="A405" s="0" t="n">
        <v>5</v>
      </c>
      <c r="B405" s="0" t="s">
        <v>60</v>
      </c>
      <c r="C405" s="0" t="n">
        <v>2012</v>
      </c>
      <c r="D405" s="0" t="n">
        <v>8</v>
      </c>
      <c r="E405" s="38" t="n">
        <v>1992600.86</v>
      </c>
    </row>
    <row r="406" customFormat="false" ht="15" hidden="false" customHeight="false" outlineLevel="0" collapsed="false">
      <c r="A406" s="0" t="n">
        <v>5</v>
      </c>
      <c r="B406" s="0" t="s">
        <v>60</v>
      </c>
      <c r="C406" s="0" t="n">
        <v>2012</v>
      </c>
      <c r="D406" s="0" t="n">
        <v>9</v>
      </c>
      <c r="E406" s="38" t="n">
        <v>2719621.5</v>
      </c>
    </row>
    <row r="407" customFormat="false" ht="15" hidden="false" customHeight="false" outlineLevel="0" collapsed="false">
      <c r="A407" s="0" t="n">
        <v>5</v>
      </c>
      <c r="B407" s="0" t="s">
        <v>60</v>
      </c>
      <c r="C407" s="0" t="n">
        <v>2012</v>
      </c>
      <c r="D407" s="0" t="n">
        <v>10</v>
      </c>
      <c r="E407" s="38" t="n">
        <v>4196263.35</v>
      </c>
    </row>
    <row r="408" customFormat="false" ht="15" hidden="false" customHeight="false" outlineLevel="0" collapsed="false">
      <c r="A408" s="0" t="n">
        <v>5</v>
      </c>
      <c r="B408" s="0" t="s">
        <v>60</v>
      </c>
      <c r="C408" s="0" t="n">
        <v>2012</v>
      </c>
      <c r="D408" s="0" t="n">
        <v>11</v>
      </c>
      <c r="E408" s="38" t="n">
        <v>4946054.97</v>
      </c>
    </row>
    <row r="409" customFormat="false" ht="15" hidden="false" customHeight="false" outlineLevel="0" collapsed="false">
      <c r="A409" s="0" t="n">
        <v>5</v>
      </c>
      <c r="B409" s="0" t="s">
        <v>60</v>
      </c>
      <c r="C409" s="0" t="n">
        <v>2012</v>
      </c>
      <c r="D409" s="0" t="n">
        <v>12</v>
      </c>
      <c r="E409" s="38" t="n">
        <v>2005679.24</v>
      </c>
    </row>
    <row r="410" customFormat="false" ht="15" hidden="false" customHeight="false" outlineLevel="0" collapsed="false">
      <c r="A410" s="0" t="n">
        <v>5</v>
      </c>
      <c r="B410" s="0" t="s">
        <v>60</v>
      </c>
      <c r="C410" s="0" t="n">
        <v>2013</v>
      </c>
      <c r="D410" s="0" t="n">
        <v>1</v>
      </c>
      <c r="E410" s="38" t="n">
        <v>2873725.84</v>
      </c>
    </row>
    <row r="411" customFormat="false" ht="15" hidden="false" customHeight="false" outlineLevel="0" collapsed="false">
      <c r="A411" s="0" t="n">
        <v>5</v>
      </c>
      <c r="B411" s="0" t="s">
        <v>60</v>
      </c>
      <c r="C411" s="0" t="n">
        <v>2013</v>
      </c>
      <c r="D411" s="0" t="n">
        <v>2</v>
      </c>
      <c r="E411" s="38" t="n">
        <v>2436511.53</v>
      </c>
    </row>
    <row r="412" customFormat="false" ht="15" hidden="false" customHeight="false" outlineLevel="0" collapsed="false">
      <c r="A412" s="0" t="n">
        <v>5</v>
      </c>
      <c r="B412" s="0" t="s">
        <v>60</v>
      </c>
      <c r="C412" s="0" t="n">
        <v>2013</v>
      </c>
      <c r="D412" s="0" t="n">
        <v>3</v>
      </c>
      <c r="E412" s="38" t="n">
        <v>1927813.32</v>
      </c>
    </row>
    <row r="413" customFormat="false" ht="15" hidden="false" customHeight="false" outlineLevel="0" collapsed="false">
      <c r="A413" s="0" t="n">
        <v>5</v>
      </c>
      <c r="B413" s="0" t="s">
        <v>60</v>
      </c>
      <c r="C413" s="0" t="n">
        <v>2013</v>
      </c>
      <c r="D413" s="0" t="n">
        <v>4</v>
      </c>
      <c r="E413" s="38" t="n">
        <v>1709816.14</v>
      </c>
    </row>
    <row r="414" customFormat="false" ht="15" hidden="false" customHeight="false" outlineLevel="0" collapsed="false">
      <c r="A414" s="0" t="n">
        <v>5</v>
      </c>
      <c r="B414" s="0" t="s">
        <v>60</v>
      </c>
      <c r="C414" s="0" t="n">
        <v>2013</v>
      </c>
      <c r="D414" s="0" t="n">
        <v>5</v>
      </c>
      <c r="E414" s="38" t="n">
        <v>2031439.54</v>
      </c>
    </row>
    <row r="415" customFormat="false" ht="15" hidden="false" customHeight="false" outlineLevel="0" collapsed="false">
      <c r="A415" s="0" t="n">
        <v>5</v>
      </c>
      <c r="B415" s="0" t="s">
        <v>60</v>
      </c>
      <c r="C415" s="0" t="n">
        <v>2013</v>
      </c>
      <c r="D415" s="0" t="n">
        <v>6</v>
      </c>
      <c r="E415" s="38" t="n">
        <v>1648762.82</v>
      </c>
    </row>
    <row r="416" customFormat="false" ht="15" hidden="false" customHeight="false" outlineLevel="0" collapsed="false">
      <c r="A416" s="0" t="n">
        <v>5</v>
      </c>
      <c r="B416" s="0" t="s">
        <v>60</v>
      </c>
      <c r="C416" s="0" t="n">
        <v>2013</v>
      </c>
      <c r="D416" s="0" t="n">
        <v>7</v>
      </c>
      <c r="E416" s="38" t="n">
        <v>1946930.54</v>
      </c>
    </row>
    <row r="417" customFormat="false" ht="15" hidden="false" customHeight="false" outlineLevel="0" collapsed="false">
      <c r="A417" s="0" t="n">
        <v>5</v>
      </c>
      <c r="B417" s="0" t="s">
        <v>60</v>
      </c>
      <c r="C417" s="0" t="n">
        <v>2013</v>
      </c>
      <c r="D417" s="0" t="n">
        <v>8</v>
      </c>
      <c r="E417" s="38" t="n">
        <v>2036683.04</v>
      </c>
    </row>
    <row r="418" customFormat="false" ht="15" hidden="false" customHeight="false" outlineLevel="0" collapsed="false">
      <c r="A418" s="0" t="n">
        <v>5</v>
      </c>
      <c r="B418" s="0" t="s">
        <v>62</v>
      </c>
      <c r="C418" s="0" t="n">
        <v>2011</v>
      </c>
      <c r="D418" s="0" t="n">
        <v>1</v>
      </c>
      <c r="E418" s="38" t="n">
        <v>1622805.19</v>
      </c>
    </row>
    <row r="419" customFormat="false" ht="15" hidden="false" customHeight="false" outlineLevel="0" collapsed="false">
      <c r="A419" s="0" t="n">
        <v>5</v>
      </c>
      <c r="B419" s="0" t="s">
        <v>62</v>
      </c>
      <c r="C419" s="0" t="n">
        <v>2011</v>
      </c>
      <c r="D419" s="0" t="n">
        <v>2</v>
      </c>
      <c r="E419" s="38" t="n">
        <v>2130710.28</v>
      </c>
    </row>
    <row r="420" customFormat="false" ht="15" hidden="false" customHeight="false" outlineLevel="0" collapsed="false">
      <c r="A420" s="0" t="n">
        <v>5</v>
      </c>
      <c r="B420" s="0" t="s">
        <v>62</v>
      </c>
      <c r="C420" s="0" t="n">
        <v>2011</v>
      </c>
      <c r="D420" s="0" t="n">
        <v>3</v>
      </c>
      <c r="E420" s="38" t="n">
        <v>1600521.05</v>
      </c>
    </row>
    <row r="421" customFormat="false" ht="15" hidden="false" customHeight="false" outlineLevel="0" collapsed="false">
      <c r="A421" s="0" t="n">
        <v>5</v>
      </c>
      <c r="B421" s="0" t="s">
        <v>62</v>
      </c>
      <c r="C421" s="0" t="n">
        <v>2011</v>
      </c>
      <c r="D421" s="0" t="n">
        <v>4</v>
      </c>
      <c r="E421" s="38" t="n">
        <v>1258997.06</v>
      </c>
    </row>
    <row r="422" customFormat="false" ht="15" hidden="false" customHeight="false" outlineLevel="0" collapsed="false">
      <c r="A422" s="0" t="n">
        <v>5</v>
      </c>
      <c r="B422" s="0" t="s">
        <v>62</v>
      </c>
      <c r="C422" s="0" t="n">
        <v>2011</v>
      </c>
      <c r="D422" s="0" t="n">
        <v>5</v>
      </c>
      <c r="E422" s="38" t="n">
        <v>1328690.5</v>
      </c>
    </row>
    <row r="423" customFormat="false" ht="15" hidden="false" customHeight="false" outlineLevel="0" collapsed="false">
      <c r="A423" s="0" t="n">
        <v>5</v>
      </c>
      <c r="B423" s="0" t="s">
        <v>62</v>
      </c>
      <c r="C423" s="0" t="n">
        <v>2011</v>
      </c>
      <c r="D423" s="0" t="n">
        <v>6</v>
      </c>
      <c r="E423" s="38" t="n">
        <v>1230739.6</v>
      </c>
    </row>
    <row r="424" customFormat="false" ht="15" hidden="false" customHeight="false" outlineLevel="0" collapsed="false">
      <c r="A424" s="0" t="n">
        <v>5</v>
      </c>
      <c r="B424" s="0" t="s">
        <v>62</v>
      </c>
      <c r="C424" s="0" t="n">
        <v>2011</v>
      </c>
      <c r="D424" s="0" t="n">
        <v>7</v>
      </c>
      <c r="E424" s="38" t="n">
        <v>1115214.31</v>
      </c>
    </row>
    <row r="425" customFormat="false" ht="15" hidden="false" customHeight="false" outlineLevel="0" collapsed="false">
      <c r="A425" s="0" t="n">
        <v>5</v>
      </c>
      <c r="B425" s="0" t="s">
        <v>62</v>
      </c>
      <c r="C425" s="0" t="n">
        <v>2011</v>
      </c>
      <c r="D425" s="0" t="n">
        <v>8</v>
      </c>
      <c r="E425" s="38" t="n">
        <v>1124783.81</v>
      </c>
    </row>
    <row r="426" customFormat="false" ht="15" hidden="false" customHeight="false" outlineLevel="0" collapsed="false">
      <c r="A426" s="0" t="n">
        <v>5</v>
      </c>
      <c r="B426" s="0" t="s">
        <v>62</v>
      </c>
      <c r="C426" s="0" t="n">
        <v>2011</v>
      </c>
      <c r="D426" s="0" t="n">
        <v>9</v>
      </c>
      <c r="E426" s="38" t="n">
        <v>1326900.49</v>
      </c>
    </row>
    <row r="427" customFormat="false" ht="15" hidden="false" customHeight="false" outlineLevel="0" collapsed="false">
      <c r="A427" s="0" t="n">
        <v>5</v>
      </c>
      <c r="B427" s="0" t="s">
        <v>62</v>
      </c>
      <c r="C427" s="0" t="n">
        <v>2011</v>
      </c>
      <c r="D427" s="0" t="n">
        <v>10</v>
      </c>
      <c r="E427" s="38" t="n">
        <v>2698252.05</v>
      </c>
    </row>
    <row r="428" customFormat="false" ht="15" hidden="false" customHeight="false" outlineLevel="0" collapsed="false">
      <c r="A428" s="0" t="n">
        <v>5</v>
      </c>
      <c r="B428" s="0" t="s">
        <v>62</v>
      </c>
      <c r="C428" s="0" t="n">
        <v>2011</v>
      </c>
      <c r="D428" s="0" t="n">
        <v>11</v>
      </c>
      <c r="E428" s="38" t="n">
        <v>4236373.77</v>
      </c>
    </row>
    <row r="429" customFormat="false" ht="15" hidden="false" customHeight="false" outlineLevel="0" collapsed="false">
      <c r="A429" s="0" t="n">
        <v>5</v>
      </c>
      <c r="B429" s="0" t="s">
        <v>62</v>
      </c>
      <c r="C429" s="0" t="n">
        <v>2011</v>
      </c>
      <c r="D429" s="0" t="n">
        <v>12</v>
      </c>
      <c r="E429" s="38" t="n">
        <v>1353531.48</v>
      </c>
    </row>
    <row r="430" customFormat="false" ht="15" hidden="false" customHeight="false" outlineLevel="0" collapsed="false">
      <c r="A430" s="0" t="n">
        <v>5</v>
      </c>
      <c r="B430" s="0" t="s">
        <v>62</v>
      </c>
      <c r="C430" s="0" t="n">
        <v>2012</v>
      </c>
      <c r="D430" s="0" t="n">
        <v>1</v>
      </c>
      <c r="E430" s="38" t="n">
        <v>1537860.1</v>
      </c>
    </row>
    <row r="431" customFormat="false" ht="15" hidden="false" customHeight="false" outlineLevel="0" collapsed="false">
      <c r="A431" s="0" t="n">
        <v>5</v>
      </c>
      <c r="B431" s="0" t="s">
        <v>62</v>
      </c>
      <c r="C431" s="0" t="n">
        <v>2012</v>
      </c>
      <c r="D431" s="0" t="n">
        <v>2</v>
      </c>
      <c r="E431" s="38" t="n">
        <v>1468546.22</v>
      </c>
    </row>
    <row r="432" customFormat="false" ht="15" hidden="false" customHeight="false" outlineLevel="0" collapsed="false">
      <c r="A432" s="0" t="n">
        <v>5</v>
      </c>
      <c r="B432" s="0" t="s">
        <v>62</v>
      </c>
      <c r="C432" s="0" t="n">
        <v>2012</v>
      </c>
      <c r="D432" s="0" t="n">
        <v>3</v>
      </c>
      <c r="E432" s="38" t="n">
        <v>1456039.79</v>
      </c>
    </row>
    <row r="433" customFormat="false" ht="15" hidden="false" customHeight="false" outlineLevel="0" collapsed="false">
      <c r="A433" s="0" t="n">
        <v>5</v>
      </c>
      <c r="B433" s="0" t="s">
        <v>62</v>
      </c>
      <c r="C433" s="0" t="n">
        <v>2012</v>
      </c>
      <c r="D433" s="0" t="n">
        <v>4</v>
      </c>
      <c r="E433" s="38" t="n">
        <v>1062771.22</v>
      </c>
    </row>
    <row r="434" customFormat="false" ht="15" hidden="false" customHeight="false" outlineLevel="0" collapsed="false">
      <c r="A434" s="0" t="n">
        <v>5</v>
      </c>
      <c r="B434" s="0" t="s">
        <v>62</v>
      </c>
      <c r="C434" s="0" t="n">
        <v>2012</v>
      </c>
      <c r="D434" s="0" t="n">
        <v>5</v>
      </c>
      <c r="E434" s="38" t="n">
        <v>1184330.73</v>
      </c>
    </row>
    <row r="435" customFormat="false" ht="15" hidden="false" customHeight="false" outlineLevel="0" collapsed="false">
      <c r="A435" s="0" t="n">
        <v>5</v>
      </c>
      <c r="B435" s="0" t="s">
        <v>62</v>
      </c>
      <c r="C435" s="0" t="n">
        <v>2012</v>
      </c>
      <c r="D435" s="0" t="n">
        <v>6</v>
      </c>
      <c r="E435" s="38" t="n">
        <v>1085272.4</v>
      </c>
    </row>
    <row r="436" customFormat="false" ht="15" hidden="false" customHeight="false" outlineLevel="0" collapsed="false">
      <c r="A436" s="0" t="n">
        <v>5</v>
      </c>
      <c r="B436" s="0" t="s">
        <v>62</v>
      </c>
      <c r="C436" s="0" t="n">
        <v>2012</v>
      </c>
      <c r="D436" s="0" t="n">
        <v>7</v>
      </c>
      <c r="E436" s="38" t="n">
        <v>1124314.94</v>
      </c>
    </row>
    <row r="437" customFormat="false" ht="15" hidden="false" customHeight="false" outlineLevel="0" collapsed="false">
      <c r="A437" s="0" t="n">
        <v>5</v>
      </c>
      <c r="B437" s="0" t="s">
        <v>62</v>
      </c>
      <c r="C437" s="0" t="n">
        <v>2012</v>
      </c>
      <c r="D437" s="0" t="n">
        <v>8</v>
      </c>
      <c r="E437" s="38" t="n">
        <v>1170299.4</v>
      </c>
    </row>
    <row r="438" customFormat="false" ht="15" hidden="false" customHeight="false" outlineLevel="0" collapsed="false">
      <c r="A438" s="0" t="n">
        <v>5</v>
      </c>
      <c r="B438" s="0" t="s">
        <v>62</v>
      </c>
      <c r="C438" s="0" t="n">
        <v>2012</v>
      </c>
      <c r="D438" s="0" t="n">
        <v>9</v>
      </c>
      <c r="E438" s="38" t="n">
        <v>1653277.55</v>
      </c>
    </row>
    <row r="439" customFormat="false" ht="15" hidden="false" customHeight="false" outlineLevel="0" collapsed="false">
      <c r="A439" s="0" t="n">
        <v>5</v>
      </c>
      <c r="B439" s="0" t="s">
        <v>62</v>
      </c>
      <c r="C439" s="0" t="n">
        <v>2012</v>
      </c>
      <c r="D439" s="0" t="n">
        <v>10</v>
      </c>
      <c r="E439" s="38" t="n">
        <v>2831209.03</v>
      </c>
    </row>
    <row r="440" customFormat="false" ht="15" hidden="false" customHeight="false" outlineLevel="0" collapsed="false">
      <c r="A440" s="0" t="n">
        <v>5</v>
      </c>
      <c r="B440" s="0" t="s">
        <v>62</v>
      </c>
      <c r="C440" s="0" t="n">
        <v>2012</v>
      </c>
      <c r="D440" s="0" t="n">
        <v>11</v>
      </c>
      <c r="E440" s="38" t="n">
        <v>3182046.62</v>
      </c>
    </row>
    <row r="441" customFormat="false" ht="15" hidden="false" customHeight="false" outlineLevel="0" collapsed="false">
      <c r="A441" s="0" t="n">
        <v>5</v>
      </c>
      <c r="B441" s="0" t="s">
        <v>62</v>
      </c>
      <c r="C441" s="0" t="n">
        <v>2012</v>
      </c>
      <c r="D441" s="0" t="n">
        <v>12</v>
      </c>
      <c r="E441" s="38" t="n">
        <v>1255732.85</v>
      </c>
    </row>
    <row r="442" customFormat="false" ht="15" hidden="false" customHeight="false" outlineLevel="0" collapsed="false">
      <c r="A442" s="0" t="n">
        <v>5</v>
      </c>
      <c r="B442" s="0" t="s">
        <v>62</v>
      </c>
      <c r="C442" s="0" t="n">
        <v>2013</v>
      </c>
      <c r="D442" s="0" t="n">
        <v>1</v>
      </c>
      <c r="E442" s="38" t="n">
        <v>1709488.6</v>
      </c>
    </row>
    <row r="443" customFormat="false" ht="15" hidden="false" customHeight="false" outlineLevel="0" collapsed="false">
      <c r="A443" s="0" t="n">
        <v>5</v>
      </c>
      <c r="B443" s="0" t="s">
        <v>62</v>
      </c>
      <c r="C443" s="0" t="n">
        <v>2013</v>
      </c>
      <c r="D443" s="0" t="n">
        <v>2</v>
      </c>
      <c r="E443" s="38" t="n">
        <v>1546505.87</v>
      </c>
    </row>
    <row r="444" customFormat="false" ht="15" hidden="false" customHeight="false" outlineLevel="0" collapsed="false">
      <c r="A444" s="0" t="n">
        <v>5</v>
      </c>
      <c r="B444" s="0" t="s">
        <v>62</v>
      </c>
      <c r="C444" s="0" t="n">
        <v>2013</v>
      </c>
      <c r="D444" s="0" t="n">
        <v>3</v>
      </c>
      <c r="E444" s="38" t="n">
        <v>1211791.51</v>
      </c>
    </row>
    <row r="445" customFormat="false" ht="15" hidden="false" customHeight="false" outlineLevel="0" collapsed="false">
      <c r="A445" s="0" t="n">
        <v>5</v>
      </c>
      <c r="B445" s="0" t="s">
        <v>62</v>
      </c>
      <c r="C445" s="0" t="n">
        <v>2013</v>
      </c>
      <c r="D445" s="0" t="n">
        <v>4</v>
      </c>
      <c r="E445" s="38" t="n">
        <v>1043766.36</v>
      </c>
    </row>
    <row r="446" customFormat="false" ht="15" hidden="false" customHeight="false" outlineLevel="0" collapsed="false">
      <c r="A446" s="0" t="n">
        <v>5</v>
      </c>
      <c r="B446" s="0" t="s">
        <v>62</v>
      </c>
      <c r="C446" s="0" t="n">
        <v>2013</v>
      </c>
      <c r="D446" s="0" t="n">
        <v>5</v>
      </c>
      <c r="E446" s="38" t="n">
        <v>1251478.15</v>
      </c>
    </row>
    <row r="447" customFormat="false" ht="15" hidden="false" customHeight="false" outlineLevel="0" collapsed="false">
      <c r="A447" s="0" t="n">
        <v>5</v>
      </c>
      <c r="B447" s="0" t="s">
        <v>62</v>
      </c>
      <c r="C447" s="0" t="n">
        <v>2013</v>
      </c>
      <c r="D447" s="0" t="n">
        <v>6</v>
      </c>
      <c r="E447" s="38" t="n">
        <v>1017601.97</v>
      </c>
    </row>
    <row r="448" customFormat="false" ht="15" hidden="false" customHeight="false" outlineLevel="0" collapsed="false">
      <c r="A448" s="0" t="n">
        <v>5</v>
      </c>
      <c r="B448" s="0" t="s">
        <v>62</v>
      </c>
      <c r="C448" s="0" t="n">
        <v>2013</v>
      </c>
      <c r="D448" s="0" t="n">
        <v>7</v>
      </c>
      <c r="E448" s="38" t="n">
        <v>1139174.97</v>
      </c>
    </row>
    <row r="449" customFormat="false" ht="15" hidden="false" customHeight="false" outlineLevel="0" collapsed="false">
      <c r="A449" s="0" t="n">
        <v>5</v>
      </c>
      <c r="B449" s="0" t="s">
        <v>62</v>
      </c>
      <c r="C449" s="0" t="n">
        <v>2013</v>
      </c>
      <c r="D449" s="0" t="n">
        <v>8</v>
      </c>
      <c r="E449" s="38" t="n">
        <v>1222419.89</v>
      </c>
    </row>
    <row r="450" customFormat="false" ht="15" hidden="false" customHeight="false" outlineLevel="0" collapsed="false">
      <c r="A450" s="0" t="n">
        <v>5</v>
      </c>
      <c r="B450" s="0" t="s">
        <v>64</v>
      </c>
      <c r="C450" s="0" t="n">
        <v>2011</v>
      </c>
      <c r="D450" s="0" t="n">
        <v>1</v>
      </c>
      <c r="E450" s="38" t="n">
        <v>13116.85</v>
      </c>
    </row>
    <row r="451" customFormat="false" ht="15" hidden="false" customHeight="false" outlineLevel="0" collapsed="false">
      <c r="A451" s="0" t="n">
        <v>5</v>
      </c>
      <c r="B451" s="0" t="s">
        <v>64</v>
      </c>
      <c r="C451" s="0" t="n">
        <v>2011</v>
      </c>
      <c r="D451" s="0" t="n">
        <v>2</v>
      </c>
      <c r="E451" s="38" t="n">
        <v>24859.6</v>
      </c>
    </row>
    <row r="452" customFormat="false" ht="15" hidden="false" customHeight="false" outlineLevel="0" collapsed="false">
      <c r="A452" s="0" t="n">
        <v>5</v>
      </c>
      <c r="B452" s="0" t="s">
        <v>64</v>
      </c>
      <c r="C452" s="0" t="n">
        <v>2011</v>
      </c>
      <c r="D452" s="0" t="n">
        <v>3</v>
      </c>
      <c r="E452" s="38" t="n">
        <v>26122.73</v>
      </c>
    </row>
    <row r="453" customFormat="false" ht="15" hidden="false" customHeight="false" outlineLevel="0" collapsed="false">
      <c r="A453" s="0" t="n">
        <v>5</v>
      </c>
      <c r="B453" s="0" t="s">
        <v>64</v>
      </c>
      <c r="C453" s="0" t="n">
        <v>2011</v>
      </c>
      <c r="D453" s="0" t="n">
        <v>4</v>
      </c>
      <c r="E453" s="38" t="n">
        <v>17731.35</v>
      </c>
    </row>
    <row r="454" customFormat="false" ht="15" hidden="false" customHeight="false" outlineLevel="0" collapsed="false">
      <c r="A454" s="0" t="n">
        <v>5</v>
      </c>
      <c r="B454" s="0" t="s">
        <v>64</v>
      </c>
      <c r="C454" s="0" t="n">
        <v>2011</v>
      </c>
      <c r="D454" s="0" t="n">
        <v>5</v>
      </c>
      <c r="E454" s="38" t="n">
        <v>18798.18</v>
      </c>
    </row>
    <row r="455" customFormat="false" ht="15" hidden="false" customHeight="false" outlineLevel="0" collapsed="false">
      <c r="A455" s="0" t="n">
        <v>5</v>
      </c>
      <c r="B455" s="0" t="s">
        <v>64</v>
      </c>
      <c r="C455" s="0" t="n">
        <v>2011</v>
      </c>
      <c r="D455" s="0" t="n">
        <v>6</v>
      </c>
      <c r="E455" s="38" t="n">
        <v>13312.74</v>
      </c>
    </row>
    <row r="456" customFormat="false" ht="15" hidden="false" customHeight="false" outlineLevel="0" collapsed="false">
      <c r="A456" s="0" t="n">
        <v>5</v>
      </c>
      <c r="B456" s="0" t="s">
        <v>64</v>
      </c>
      <c r="C456" s="0" t="n">
        <v>2011</v>
      </c>
      <c r="D456" s="0" t="n">
        <v>7</v>
      </c>
      <c r="E456" s="38" t="n">
        <v>13315.36</v>
      </c>
    </row>
    <row r="457" customFormat="false" ht="15" hidden="false" customHeight="false" outlineLevel="0" collapsed="false">
      <c r="A457" s="0" t="n">
        <v>5</v>
      </c>
      <c r="B457" s="0" t="s">
        <v>64</v>
      </c>
      <c r="C457" s="0" t="n">
        <v>2011</v>
      </c>
      <c r="D457" s="0" t="n">
        <v>8</v>
      </c>
      <c r="E457" s="38" t="n">
        <v>12647.24</v>
      </c>
    </row>
    <row r="458" customFormat="false" ht="15" hidden="false" customHeight="false" outlineLevel="0" collapsed="false">
      <c r="A458" s="0" t="n">
        <v>5</v>
      </c>
      <c r="B458" s="0" t="s">
        <v>64</v>
      </c>
      <c r="C458" s="0" t="n">
        <v>2011</v>
      </c>
      <c r="D458" s="0" t="n">
        <v>9</v>
      </c>
      <c r="E458" s="38" t="n">
        <v>19377.13</v>
      </c>
    </row>
    <row r="459" customFormat="false" ht="15" hidden="false" customHeight="false" outlineLevel="0" collapsed="false">
      <c r="A459" s="0" t="n">
        <v>5</v>
      </c>
      <c r="B459" s="0" t="s">
        <v>64</v>
      </c>
      <c r="C459" s="0" t="n">
        <v>2011</v>
      </c>
      <c r="D459" s="0" t="n">
        <v>10</v>
      </c>
      <c r="E459" s="38" t="n">
        <v>24269.26</v>
      </c>
    </row>
    <row r="460" customFormat="false" ht="15" hidden="false" customHeight="false" outlineLevel="0" collapsed="false">
      <c r="A460" s="0" t="n">
        <v>5</v>
      </c>
      <c r="B460" s="0" t="s">
        <v>64</v>
      </c>
      <c r="C460" s="0" t="n">
        <v>2011</v>
      </c>
      <c r="D460" s="0" t="n">
        <v>11</v>
      </c>
      <c r="E460" s="38" t="n">
        <v>32140.86</v>
      </c>
    </row>
    <row r="461" customFormat="false" ht="15" hidden="false" customHeight="false" outlineLevel="0" collapsed="false">
      <c r="A461" s="0" t="n">
        <v>5</v>
      </c>
      <c r="B461" s="0" t="s">
        <v>64</v>
      </c>
      <c r="C461" s="0" t="n">
        <v>2011</v>
      </c>
      <c r="D461" s="0" t="n">
        <v>12</v>
      </c>
      <c r="E461" s="38" t="n">
        <v>15512.5</v>
      </c>
    </row>
    <row r="462" customFormat="false" ht="15" hidden="false" customHeight="false" outlineLevel="0" collapsed="false">
      <c r="A462" s="0" t="n">
        <v>5</v>
      </c>
      <c r="B462" s="0" t="s">
        <v>64</v>
      </c>
      <c r="C462" s="0" t="n">
        <v>2012</v>
      </c>
      <c r="D462" s="0" t="n">
        <v>1</v>
      </c>
      <c r="E462" s="38" t="n">
        <v>15236.03</v>
      </c>
    </row>
    <row r="463" customFormat="false" ht="15" hidden="false" customHeight="false" outlineLevel="0" collapsed="false">
      <c r="A463" s="0" t="n">
        <v>5</v>
      </c>
      <c r="B463" s="0" t="s">
        <v>64</v>
      </c>
      <c r="C463" s="0" t="n">
        <v>2012</v>
      </c>
      <c r="D463" s="0" t="n">
        <v>2</v>
      </c>
      <c r="E463" s="38" t="n">
        <v>16333.91</v>
      </c>
    </row>
    <row r="464" customFormat="false" ht="15" hidden="false" customHeight="false" outlineLevel="0" collapsed="false">
      <c r="A464" s="0" t="n">
        <v>5</v>
      </c>
      <c r="B464" s="0" t="s">
        <v>64</v>
      </c>
      <c r="C464" s="0" t="n">
        <v>2012</v>
      </c>
      <c r="D464" s="0" t="n">
        <v>3</v>
      </c>
      <c r="E464" s="38" t="n">
        <v>20305.08</v>
      </c>
    </row>
    <row r="465" customFormat="false" ht="15" hidden="false" customHeight="false" outlineLevel="0" collapsed="false">
      <c r="A465" s="0" t="n">
        <v>5</v>
      </c>
      <c r="B465" s="0" t="s">
        <v>64</v>
      </c>
      <c r="C465" s="0" t="n">
        <v>2012</v>
      </c>
      <c r="D465" s="0" t="n">
        <v>4</v>
      </c>
      <c r="E465" s="38" t="n">
        <v>15348.72</v>
      </c>
    </row>
    <row r="466" customFormat="false" ht="15" hidden="false" customHeight="false" outlineLevel="0" collapsed="false">
      <c r="A466" s="0" t="n">
        <v>5</v>
      </c>
      <c r="B466" s="0" t="s">
        <v>64</v>
      </c>
      <c r="C466" s="0" t="n">
        <v>2012</v>
      </c>
      <c r="D466" s="0" t="n">
        <v>5</v>
      </c>
      <c r="E466" s="38" t="n">
        <v>16303.86</v>
      </c>
    </row>
    <row r="467" customFormat="false" ht="15" hidden="false" customHeight="false" outlineLevel="0" collapsed="false">
      <c r="A467" s="0" t="n">
        <v>5</v>
      </c>
      <c r="B467" s="0" t="s">
        <v>64</v>
      </c>
      <c r="C467" s="0" t="n">
        <v>2012</v>
      </c>
      <c r="D467" s="0" t="n">
        <v>6</v>
      </c>
      <c r="E467" s="38" t="n">
        <v>16573.46</v>
      </c>
    </row>
    <row r="468" customFormat="false" ht="15" hidden="false" customHeight="false" outlineLevel="0" collapsed="false">
      <c r="A468" s="0" t="n">
        <v>5</v>
      </c>
      <c r="B468" s="0" t="s">
        <v>64</v>
      </c>
      <c r="C468" s="0" t="n">
        <v>2012</v>
      </c>
      <c r="D468" s="0" t="n">
        <v>7</v>
      </c>
      <c r="E468" s="38" t="n">
        <v>13447.44</v>
      </c>
    </row>
    <row r="469" customFormat="false" ht="15" hidden="false" customHeight="false" outlineLevel="0" collapsed="false">
      <c r="A469" s="0" t="n">
        <v>5</v>
      </c>
      <c r="B469" s="0" t="s">
        <v>64</v>
      </c>
      <c r="C469" s="0" t="n">
        <v>2012</v>
      </c>
      <c r="D469" s="0" t="n">
        <v>8</v>
      </c>
      <c r="E469" s="38" t="n">
        <v>12277.98</v>
      </c>
    </row>
    <row r="470" customFormat="false" ht="15" hidden="false" customHeight="false" outlineLevel="0" collapsed="false">
      <c r="A470" s="0" t="n">
        <v>5</v>
      </c>
      <c r="B470" s="0" t="s">
        <v>64</v>
      </c>
      <c r="C470" s="0" t="n">
        <v>2012</v>
      </c>
      <c r="D470" s="0" t="n">
        <v>9</v>
      </c>
      <c r="E470" s="38" t="n">
        <v>17956.02</v>
      </c>
    </row>
    <row r="471" customFormat="false" ht="15" hidden="false" customHeight="false" outlineLevel="0" collapsed="false">
      <c r="A471" s="0" t="n">
        <v>5</v>
      </c>
      <c r="B471" s="0" t="s">
        <v>64</v>
      </c>
      <c r="C471" s="0" t="n">
        <v>2012</v>
      </c>
      <c r="D471" s="0" t="n">
        <v>10</v>
      </c>
      <c r="E471" s="38" t="n">
        <v>22290.16</v>
      </c>
    </row>
    <row r="472" customFormat="false" ht="15" hidden="false" customHeight="false" outlineLevel="0" collapsed="false">
      <c r="A472" s="0" t="n">
        <v>5</v>
      </c>
      <c r="B472" s="0" t="s">
        <v>64</v>
      </c>
      <c r="C472" s="0" t="n">
        <v>2012</v>
      </c>
      <c r="D472" s="0" t="n">
        <v>11</v>
      </c>
      <c r="E472" s="38" t="n">
        <v>32809.95</v>
      </c>
    </row>
    <row r="473" customFormat="false" ht="15" hidden="false" customHeight="false" outlineLevel="0" collapsed="false">
      <c r="A473" s="0" t="n">
        <v>5</v>
      </c>
      <c r="B473" s="0" t="s">
        <v>64</v>
      </c>
      <c r="C473" s="0" t="n">
        <v>2012</v>
      </c>
      <c r="D473" s="0" t="n">
        <v>12</v>
      </c>
      <c r="E473" s="38" t="n">
        <v>17803.82</v>
      </c>
    </row>
    <row r="474" customFormat="false" ht="15" hidden="false" customHeight="false" outlineLevel="0" collapsed="false">
      <c r="A474" s="0" t="n">
        <v>5</v>
      </c>
      <c r="B474" s="0" t="s">
        <v>64</v>
      </c>
      <c r="C474" s="0" t="n">
        <v>2013</v>
      </c>
      <c r="D474" s="0" t="n">
        <v>1</v>
      </c>
      <c r="E474" s="38" t="n">
        <v>21206</v>
      </c>
    </row>
    <row r="475" customFormat="false" ht="15" hidden="false" customHeight="false" outlineLevel="0" collapsed="false">
      <c r="A475" s="0" t="n">
        <v>5</v>
      </c>
      <c r="B475" s="0" t="s">
        <v>64</v>
      </c>
      <c r="C475" s="0" t="n">
        <v>2013</v>
      </c>
      <c r="D475" s="0" t="n">
        <v>2</v>
      </c>
      <c r="E475" s="38" t="n">
        <v>23038.24</v>
      </c>
    </row>
    <row r="476" customFormat="false" ht="15" hidden="false" customHeight="false" outlineLevel="0" collapsed="false">
      <c r="A476" s="0" t="n">
        <v>5</v>
      </c>
      <c r="B476" s="0" t="s">
        <v>64</v>
      </c>
      <c r="C476" s="0" t="n">
        <v>2013</v>
      </c>
      <c r="D476" s="0" t="n">
        <v>3</v>
      </c>
      <c r="E476" s="38" t="n">
        <v>21333.7</v>
      </c>
    </row>
    <row r="477" customFormat="false" ht="15" hidden="false" customHeight="false" outlineLevel="0" collapsed="false">
      <c r="A477" s="0" t="n">
        <v>5</v>
      </c>
      <c r="B477" s="0" t="s">
        <v>64</v>
      </c>
      <c r="C477" s="0" t="n">
        <v>2013</v>
      </c>
      <c r="D477" s="0" t="n">
        <v>4</v>
      </c>
      <c r="E477" s="38" t="n">
        <v>16942.15</v>
      </c>
    </row>
    <row r="478" customFormat="false" ht="15" hidden="false" customHeight="false" outlineLevel="0" collapsed="false">
      <c r="A478" s="0" t="n">
        <v>5</v>
      </c>
      <c r="B478" s="0" t="s">
        <v>64</v>
      </c>
      <c r="C478" s="0" t="n">
        <v>2013</v>
      </c>
      <c r="D478" s="0" t="n">
        <v>5</v>
      </c>
      <c r="E478" s="38" t="n">
        <v>16892.98</v>
      </c>
    </row>
    <row r="479" customFormat="false" ht="15" hidden="false" customHeight="false" outlineLevel="0" collapsed="false">
      <c r="A479" s="0" t="n">
        <v>5</v>
      </c>
      <c r="B479" s="0" t="s">
        <v>64</v>
      </c>
      <c r="C479" s="0" t="n">
        <v>2013</v>
      </c>
      <c r="D479" s="0" t="n">
        <v>6</v>
      </c>
      <c r="E479" s="38" t="n">
        <v>14804.69</v>
      </c>
    </row>
    <row r="480" customFormat="false" ht="15" hidden="false" customHeight="false" outlineLevel="0" collapsed="false">
      <c r="A480" s="0" t="n">
        <v>5</v>
      </c>
      <c r="B480" s="0" t="s">
        <v>64</v>
      </c>
      <c r="C480" s="0" t="n">
        <v>2013</v>
      </c>
      <c r="D480" s="0" t="n">
        <v>7</v>
      </c>
      <c r="E480" s="38" t="n">
        <v>18175.47</v>
      </c>
    </row>
    <row r="481" customFormat="false" ht="15" hidden="false" customHeight="false" outlineLevel="0" collapsed="false">
      <c r="A481" s="0" t="n">
        <v>5</v>
      </c>
      <c r="B481" s="0" t="s">
        <v>64</v>
      </c>
      <c r="C481" s="0" t="n">
        <v>2013</v>
      </c>
      <c r="D481" s="0" t="n">
        <v>8</v>
      </c>
      <c r="E481" s="38" t="n">
        <v>18032.5</v>
      </c>
    </row>
    <row r="482" customFormat="false" ht="15" hidden="false" customHeight="false" outlineLevel="0" collapsed="false">
      <c r="A482" s="0" t="n">
        <v>6</v>
      </c>
      <c r="B482" s="0" t="s">
        <v>60</v>
      </c>
      <c r="C482" s="0" t="n">
        <v>2011</v>
      </c>
      <c r="D482" s="0" t="n">
        <v>1</v>
      </c>
      <c r="E482" s="38" t="n">
        <v>526557.62</v>
      </c>
    </row>
    <row r="483" customFormat="false" ht="15" hidden="false" customHeight="false" outlineLevel="0" collapsed="false">
      <c r="A483" s="0" t="n">
        <v>6</v>
      </c>
      <c r="B483" s="0" t="s">
        <v>60</v>
      </c>
      <c r="C483" s="0" t="n">
        <v>2011</v>
      </c>
      <c r="D483" s="0" t="n">
        <v>2</v>
      </c>
      <c r="E483" s="38" t="n">
        <v>516639.85</v>
      </c>
    </row>
    <row r="484" customFormat="false" ht="15" hidden="false" customHeight="false" outlineLevel="0" collapsed="false">
      <c r="A484" s="0" t="n">
        <v>6</v>
      </c>
      <c r="B484" s="0" t="s">
        <v>60</v>
      </c>
      <c r="C484" s="0" t="n">
        <v>2011</v>
      </c>
      <c r="D484" s="0" t="n">
        <v>3</v>
      </c>
      <c r="E484" s="38" t="n">
        <v>504848.88</v>
      </c>
    </row>
    <row r="485" customFormat="false" ht="15" hidden="false" customHeight="false" outlineLevel="0" collapsed="false">
      <c r="A485" s="0" t="n">
        <v>6</v>
      </c>
      <c r="B485" s="0" t="s">
        <v>60</v>
      </c>
      <c r="C485" s="0" t="n">
        <v>2011</v>
      </c>
      <c r="D485" s="0" t="n">
        <v>4</v>
      </c>
      <c r="E485" s="38" t="n">
        <v>688812.69</v>
      </c>
    </row>
    <row r="486" customFormat="false" ht="15" hidden="false" customHeight="false" outlineLevel="0" collapsed="false">
      <c r="A486" s="0" t="n">
        <v>6</v>
      </c>
      <c r="B486" s="0" t="s">
        <v>60</v>
      </c>
      <c r="C486" s="0" t="n">
        <v>2011</v>
      </c>
      <c r="D486" s="0" t="n">
        <v>5</v>
      </c>
      <c r="E486" s="38" t="n">
        <v>626237.47</v>
      </c>
    </row>
    <row r="487" customFormat="false" ht="15" hidden="false" customHeight="false" outlineLevel="0" collapsed="false">
      <c r="A487" s="0" t="n">
        <v>6</v>
      </c>
      <c r="B487" s="0" t="s">
        <v>60</v>
      </c>
      <c r="C487" s="0" t="n">
        <v>2011</v>
      </c>
      <c r="D487" s="0" t="n">
        <v>6</v>
      </c>
      <c r="E487" s="38" t="n">
        <v>591110.8</v>
      </c>
    </row>
    <row r="488" customFormat="false" ht="15" hidden="false" customHeight="false" outlineLevel="0" collapsed="false">
      <c r="A488" s="0" t="n">
        <v>6</v>
      </c>
      <c r="B488" s="0" t="s">
        <v>60</v>
      </c>
      <c r="C488" s="0" t="n">
        <v>2011</v>
      </c>
      <c r="D488" s="0" t="n">
        <v>7</v>
      </c>
      <c r="E488" s="38" t="n">
        <v>530598.3</v>
      </c>
    </row>
    <row r="489" customFormat="false" ht="15" hidden="false" customHeight="false" outlineLevel="0" collapsed="false">
      <c r="A489" s="0" t="n">
        <v>6</v>
      </c>
      <c r="B489" s="0" t="s">
        <v>60</v>
      </c>
      <c r="C489" s="0" t="n">
        <v>2011</v>
      </c>
      <c r="D489" s="0" t="n">
        <v>8</v>
      </c>
      <c r="E489" s="38" t="n">
        <v>434359.28</v>
      </c>
    </row>
    <row r="490" customFormat="false" ht="15" hidden="false" customHeight="false" outlineLevel="0" collapsed="false">
      <c r="A490" s="0" t="n">
        <v>6</v>
      </c>
      <c r="B490" s="0" t="s">
        <v>60</v>
      </c>
      <c r="C490" s="0" t="n">
        <v>2011</v>
      </c>
      <c r="D490" s="0" t="n">
        <v>9</v>
      </c>
      <c r="E490" s="38" t="n">
        <v>451982.26</v>
      </c>
    </row>
    <row r="491" customFormat="false" ht="15" hidden="false" customHeight="false" outlineLevel="0" collapsed="false">
      <c r="A491" s="0" t="n">
        <v>6</v>
      </c>
      <c r="B491" s="0" t="s">
        <v>60</v>
      </c>
      <c r="C491" s="0" t="n">
        <v>2011</v>
      </c>
      <c r="D491" s="0" t="n">
        <v>10</v>
      </c>
      <c r="E491" s="38" t="n">
        <v>891608.88</v>
      </c>
    </row>
    <row r="492" customFormat="false" ht="15" hidden="false" customHeight="false" outlineLevel="0" collapsed="false">
      <c r="A492" s="0" t="n">
        <v>6</v>
      </c>
      <c r="B492" s="0" t="s">
        <v>60</v>
      </c>
      <c r="C492" s="0" t="n">
        <v>2011</v>
      </c>
      <c r="D492" s="0" t="n">
        <v>11</v>
      </c>
      <c r="E492" s="38" t="n">
        <v>1267986.67</v>
      </c>
    </row>
    <row r="493" customFormat="false" ht="15" hidden="false" customHeight="false" outlineLevel="0" collapsed="false">
      <c r="A493" s="0" t="n">
        <v>6</v>
      </c>
      <c r="B493" s="0" t="s">
        <v>60</v>
      </c>
      <c r="C493" s="0" t="n">
        <v>2011</v>
      </c>
      <c r="D493" s="0" t="n">
        <v>12</v>
      </c>
      <c r="E493" s="38" t="n">
        <v>294562.53</v>
      </c>
    </row>
    <row r="494" customFormat="false" ht="15" hidden="false" customHeight="false" outlineLevel="0" collapsed="false">
      <c r="A494" s="0" t="n">
        <v>6</v>
      </c>
      <c r="B494" s="0" t="s">
        <v>60</v>
      </c>
      <c r="C494" s="0" t="n">
        <v>2012</v>
      </c>
      <c r="D494" s="0" t="n">
        <v>1</v>
      </c>
      <c r="E494" s="38" t="n">
        <v>375767.63</v>
      </c>
    </row>
    <row r="495" customFormat="false" ht="15" hidden="false" customHeight="false" outlineLevel="0" collapsed="false">
      <c r="A495" s="0" t="n">
        <v>6</v>
      </c>
      <c r="B495" s="0" t="s">
        <v>60</v>
      </c>
      <c r="C495" s="0" t="n">
        <v>2012</v>
      </c>
      <c r="D495" s="0" t="n">
        <v>2</v>
      </c>
      <c r="E495" s="38" t="n">
        <v>406807.28</v>
      </c>
    </row>
    <row r="496" customFormat="false" ht="15" hidden="false" customHeight="false" outlineLevel="0" collapsed="false">
      <c r="A496" s="0" t="n">
        <v>6</v>
      </c>
      <c r="B496" s="0" t="s">
        <v>60</v>
      </c>
      <c r="C496" s="0" t="n">
        <v>2012</v>
      </c>
      <c r="D496" s="0" t="n">
        <v>3</v>
      </c>
      <c r="E496" s="38" t="n">
        <v>415869.49</v>
      </c>
    </row>
    <row r="497" customFormat="false" ht="15" hidden="false" customHeight="false" outlineLevel="0" collapsed="false">
      <c r="A497" s="0" t="n">
        <v>6</v>
      </c>
      <c r="B497" s="0" t="s">
        <v>60</v>
      </c>
      <c r="C497" s="0" t="n">
        <v>2012</v>
      </c>
      <c r="D497" s="0" t="n">
        <v>4</v>
      </c>
      <c r="E497" s="38" t="n">
        <v>527350.27</v>
      </c>
    </row>
    <row r="498" customFormat="false" ht="15" hidden="false" customHeight="false" outlineLevel="0" collapsed="false">
      <c r="A498" s="0" t="n">
        <v>6</v>
      </c>
      <c r="B498" s="0" t="s">
        <v>60</v>
      </c>
      <c r="C498" s="0" t="n">
        <v>2012</v>
      </c>
      <c r="D498" s="0" t="n">
        <v>5</v>
      </c>
      <c r="E498" s="38" t="n">
        <v>480156.97</v>
      </c>
    </row>
    <row r="499" customFormat="false" ht="15" hidden="false" customHeight="false" outlineLevel="0" collapsed="false">
      <c r="A499" s="0" t="n">
        <v>6</v>
      </c>
      <c r="B499" s="0" t="s">
        <v>60</v>
      </c>
      <c r="C499" s="0" t="n">
        <v>2012</v>
      </c>
      <c r="D499" s="0" t="n">
        <v>6</v>
      </c>
      <c r="E499" s="38" t="n">
        <v>456065.9</v>
      </c>
    </row>
    <row r="500" customFormat="false" ht="15" hidden="false" customHeight="false" outlineLevel="0" collapsed="false">
      <c r="A500" s="0" t="n">
        <v>6</v>
      </c>
      <c r="B500" s="0" t="s">
        <v>60</v>
      </c>
      <c r="C500" s="0" t="n">
        <v>2012</v>
      </c>
      <c r="D500" s="0" t="n">
        <v>7</v>
      </c>
      <c r="E500" s="38" t="n">
        <v>415822.83</v>
      </c>
    </row>
    <row r="501" customFormat="false" ht="15" hidden="false" customHeight="false" outlineLevel="0" collapsed="false">
      <c r="A501" s="0" t="n">
        <v>6</v>
      </c>
      <c r="B501" s="0" t="s">
        <v>60</v>
      </c>
      <c r="C501" s="0" t="n">
        <v>2012</v>
      </c>
      <c r="D501" s="0" t="n">
        <v>8</v>
      </c>
      <c r="E501" s="38" t="n">
        <v>352319.51</v>
      </c>
    </row>
    <row r="502" customFormat="false" ht="15" hidden="false" customHeight="false" outlineLevel="0" collapsed="false">
      <c r="A502" s="0" t="n">
        <v>6</v>
      </c>
      <c r="B502" s="0" t="s">
        <v>60</v>
      </c>
      <c r="C502" s="0" t="n">
        <v>2012</v>
      </c>
      <c r="D502" s="0" t="n">
        <v>9</v>
      </c>
      <c r="E502" s="38" t="n">
        <v>402852.69</v>
      </c>
    </row>
    <row r="503" customFormat="false" ht="15" hidden="false" customHeight="false" outlineLevel="0" collapsed="false">
      <c r="A503" s="0" t="n">
        <v>6</v>
      </c>
      <c r="B503" s="0" t="s">
        <v>60</v>
      </c>
      <c r="C503" s="0" t="n">
        <v>2012</v>
      </c>
      <c r="D503" s="0" t="n">
        <v>10</v>
      </c>
      <c r="E503" s="38" t="n">
        <v>719222.61</v>
      </c>
    </row>
    <row r="504" customFormat="false" ht="15" hidden="false" customHeight="false" outlineLevel="0" collapsed="false">
      <c r="A504" s="0" t="n">
        <v>6</v>
      </c>
      <c r="B504" s="0" t="s">
        <v>60</v>
      </c>
      <c r="C504" s="0" t="n">
        <v>2012</v>
      </c>
      <c r="D504" s="0" t="n">
        <v>11</v>
      </c>
      <c r="E504" s="38" t="n">
        <v>902350.62</v>
      </c>
    </row>
    <row r="505" customFormat="false" ht="15" hidden="false" customHeight="false" outlineLevel="0" collapsed="false">
      <c r="A505" s="0" t="n">
        <v>6</v>
      </c>
      <c r="B505" s="0" t="s">
        <v>60</v>
      </c>
      <c r="C505" s="0" t="n">
        <v>2012</v>
      </c>
      <c r="D505" s="0" t="n">
        <v>12</v>
      </c>
      <c r="E505" s="38" t="n">
        <v>245606.56</v>
      </c>
    </row>
    <row r="506" customFormat="false" ht="15" hidden="false" customHeight="false" outlineLevel="0" collapsed="false">
      <c r="A506" s="0" t="n">
        <v>6</v>
      </c>
      <c r="B506" s="0" t="s">
        <v>60</v>
      </c>
      <c r="C506" s="0" t="n">
        <v>2013</v>
      </c>
      <c r="D506" s="0" t="n">
        <v>1</v>
      </c>
      <c r="E506" s="38" t="n">
        <v>343027.57</v>
      </c>
    </row>
    <row r="507" customFormat="false" ht="15" hidden="false" customHeight="false" outlineLevel="0" collapsed="false">
      <c r="A507" s="0" t="n">
        <v>6</v>
      </c>
      <c r="B507" s="0" t="s">
        <v>60</v>
      </c>
      <c r="C507" s="0" t="n">
        <v>2013</v>
      </c>
      <c r="D507" s="0" t="n">
        <v>2</v>
      </c>
      <c r="E507" s="38" t="n">
        <v>318392.08</v>
      </c>
    </row>
    <row r="508" customFormat="false" ht="15" hidden="false" customHeight="false" outlineLevel="0" collapsed="false">
      <c r="A508" s="0" t="n">
        <v>6</v>
      </c>
      <c r="B508" s="0" t="s">
        <v>60</v>
      </c>
      <c r="C508" s="0" t="n">
        <v>2013</v>
      </c>
      <c r="D508" s="0" t="n">
        <v>3</v>
      </c>
      <c r="E508" s="38" t="n">
        <v>338284.15</v>
      </c>
    </row>
    <row r="509" customFormat="false" ht="15" hidden="false" customHeight="false" outlineLevel="0" collapsed="false">
      <c r="A509" s="0" t="n">
        <v>6</v>
      </c>
      <c r="B509" s="0" t="s">
        <v>60</v>
      </c>
      <c r="C509" s="0" t="n">
        <v>2013</v>
      </c>
      <c r="D509" s="0" t="n">
        <v>4</v>
      </c>
      <c r="E509" s="38" t="n">
        <v>421814.78</v>
      </c>
    </row>
    <row r="510" customFormat="false" ht="15" hidden="false" customHeight="false" outlineLevel="0" collapsed="false">
      <c r="A510" s="0" t="n">
        <v>6</v>
      </c>
      <c r="B510" s="0" t="s">
        <v>60</v>
      </c>
      <c r="C510" s="0" t="n">
        <v>2013</v>
      </c>
      <c r="D510" s="0" t="n">
        <v>5</v>
      </c>
      <c r="E510" s="38" t="n">
        <v>396187.06</v>
      </c>
    </row>
    <row r="511" customFormat="false" ht="15" hidden="false" customHeight="false" outlineLevel="0" collapsed="false">
      <c r="A511" s="0" t="n">
        <v>6</v>
      </c>
      <c r="B511" s="0" t="s">
        <v>60</v>
      </c>
      <c r="C511" s="0" t="n">
        <v>2013</v>
      </c>
      <c r="D511" s="0" t="n">
        <v>6</v>
      </c>
      <c r="E511" s="38" t="n">
        <v>385259.43</v>
      </c>
    </row>
    <row r="512" customFormat="false" ht="15" hidden="false" customHeight="false" outlineLevel="0" collapsed="false">
      <c r="A512" s="0" t="n">
        <v>6</v>
      </c>
      <c r="B512" s="0" t="s">
        <v>60</v>
      </c>
      <c r="C512" s="0" t="n">
        <v>2013</v>
      </c>
      <c r="D512" s="0" t="n">
        <v>7</v>
      </c>
      <c r="E512" s="38" t="n">
        <v>333313.77</v>
      </c>
    </row>
    <row r="513" customFormat="false" ht="15" hidden="false" customHeight="false" outlineLevel="0" collapsed="false">
      <c r="A513" s="0" t="n">
        <v>6</v>
      </c>
      <c r="B513" s="0" t="s">
        <v>60</v>
      </c>
      <c r="C513" s="0" t="n">
        <v>2013</v>
      </c>
      <c r="D513" s="0" t="n">
        <v>8</v>
      </c>
      <c r="E513" s="38" t="n">
        <v>340465.15</v>
      </c>
    </row>
    <row r="514" customFormat="false" ht="15" hidden="false" customHeight="false" outlineLevel="0" collapsed="false">
      <c r="A514" s="0" t="n">
        <v>6</v>
      </c>
      <c r="B514" s="0" t="s">
        <v>62</v>
      </c>
      <c r="C514" s="0" t="n">
        <v>2011</v>
      </c>
      <c r="D514" s="0" t="n">
        <v>1</v>
      </c>
      <c r="E514" s="38" t="n">
        <v>401753.43</v>
      </c>
    </row>
    <row r="515" customFormat="false" ht="15" hidden="false" customHeight="false" outlineLevel="0" collapsed="false">
      <c r="A515" s="0" t="n">
        <v>6</v>
      </c>
      <c r="B515" s="0" t="s">
        <v>62</v>
      </c>
      <c r="C515" s="0" t="n">
        <v>2011</v>
      </c>
      <c r="D515" s="0" t="n">
        <v>2</v>
      </c>
      <c r="E515" s="38" t="n">
        <v>405623.77</v>
      </c>
    </row>
    <row r="516" customFormat="false" ht="15" hidden="false" customHeight="false" outlineLevel="0" collapsed="false">
      <c r="A516" s="0" t="n">
        <v>6</v>
      </c>
      <c r="B516" s="0" t="s">
        <v>62</v>
      </c>
      <c r="C516" s="0" t="n">
        <v>2011</v>
      </c>
      <c r="D516" s="0" t="n">
        <v>3</v>
      </c>
      <c r="E516" s="38" t="n">
        <v>392172.67</v>
      </c>
    </row>
    <row r="517" customFormat="false" ht="15" hidden="false" customHeight="false" outlineLevel="0" collapsed="false">
      <c r="A517" s="0" t="n">
        <v>6</v>
      </c>
      <c r="B517" s="0" t="s">
        <v>62</v>
      </c>
      <c r="C517" s="0" t="n">
        <v>2011</v>
      </c>
      <c r="D517" s="0" t="n">
        <v>4</v>
      </c>
      <c r="E517" s="38" t="n">
        <v>481273.94</v>
      </c>
    </row>
    <row r="518" customFormat="false" ht="15" hidden="false" customHeight="false" outlineLevel="0" collapsed="false">
      <c r="A518" s="0" t="n">
        <v>6</v>
      </c>
      <c r="B518" s="0" t="s">
        <v>62</v>
      </c>
      <c r="C518" s="0" t="n">
        <v>2011</v>
      </c>
      <c r="D518" s="0" t="n">
        <v>5</v>
      </c>
      <c r="E518" s="38" t="n">
        <v>467989.53</v>
      </c>
    </row>
    <row r="519" customFormat="false" ht="15" hidden="false" customHeight="false" outlineLevel="0" collapsed="false">
      <c r="A519" s="0" t="n">
        <v>6</v>
      </c>
      <c r="B519" s="0" t="s">
        <v>62</v>
      </c>
      <c r="C519" s="0" t="n">
        <v>2011</v>
      </c>
      <c r="D519" s="0" t="n">
        <v>6</v>
      </c>
      <c r="E519" s="38" t="n">
        <v>482614.14</v>
      </c>
    </row>
    <row r="520" customFormat="false" ht="15" hidden="false" customHeight="false" outlineLevel="0" collapsed="false">
      <c r="A520" s="0" t="n">
        <v>6</v>
      </c>
      <c r="B520" s="0" t="s">
        <v>62</v>
      </c>
      <c r="C520" s="0" t="n">
        <v>2011</v>
      </c>
      <c r="D520" s="0" t="n">
        <v>7</v>
      </c>
      <c r="E520" s="38" t="n">
        <v>403772.14</v>
      </c>
    </row>
    <row r="521" customFormat="false" ht="15" hidden="false" customHeight="false" outlineLevel="0" collapsed="false">
      <c r="A521" s="0" t="n">
        <v>6</v>
      </c>
      <c r="B521" s="0" t="s">
        <v>62</v>
      </c>
      <c r="C521" s="0" t="n">
        <v>2011</v>
      </c>
      <c r="D521" s="0" t="n">
        <v>8</v>
      </c>
      <c r="E521" s="38" t="n">
        <v>342102.99</v>
      </c>
    </row>
    <row r="522" customFormat="false" ht="15" hidden="false" customHeight="false" outlineLevel="0" collapsed="false">
      <c r="A522" s="0" t="n">
        <v>6</v>
      </c>
      <c r="B522" s="0" t="s">
        <v>62</v>
      </c>
      <c r="C522" s="0" t="n">
        <v>2011</v>
      </c>
      <c r="D522" s="0" t="n">
        <v>9</v>
      </c>
      <c r="E522" s="38" t="n">
        <v>330836.7</v>
      </c>
    </row>
    <row r="523" customFormat="false" ht="15" hidden="false" customHeight="false" outlineLevel="0" collapsed="false">
      <c r="A523" s="0" t="n">
        <v>6</v>
      </c>
      <c r="B523" s="0" t="s">
        <v>62</v>
      </c>
      <c r="C523" s="0" t="n">
        <v>2011</v>
      </c>
      <c r="D523" s="0" t="n">
        <v>10</v>
      </c>
      <c r="E523" s="38" t="n">
        <v>680582.52</v>
      </c>
    </row>
    <row r="524" customFormat="false" ht="15" hidden="false" customHeight="false" outlineLevel="0" collapsed="false">
      <c r="A524" s="0" t="n">
        <v>6</v>
      </c>
      <c r="B524" s="0" t="s">
        <v>62</v>
      </c>
      <c r="C524" s="0" t="n">
        <v>2011</v>
      </c>
      <c r="D524" s="0" t="n">
        <v>11</v>
      </c>
      <c r="E524" s="38" t="n">
        <v>889547.44</v>
      </c>
    </row>
    <row r="525" customFormat="false" ht="15" hidden="false" customHeight="false" outlineLevel="0" collapsed="false">
      <c r="A525" s="0" t="n">
        <v>6</v>
      </c>
      <c r="B525" s="0" t="s">
        <v>62</v>
      </c>
      <c r="C525" s="0" t="n">
        <v>2011</v>
      </c>
      <c r="D525" s="0" t="n">
        <v>12</v>
      </c>
      <c r="E525" s="38" t="n">
        <v>245931.69</v>
      </c>
    </row>
    <row r="526" customFormat="false" ht="15" hidden="false" customHeight="false" outlineLevel="0" collapsed="false">
      <c r="A526" s="0" t="n">
        <v>6</v>
      </c>
      <c r="B526" s="0" t="s">
        <v>62</v>
      </c>
      <c r="C526" s="0" t="n">
        <v>2012</v>
      </c>
      <c r="D526" s="0" t="n">
        <v>1</v>
      </c>
      <c r="E526" s="38" t="n">
        <v>303511.96</v>
      </c>
    </row>
    <row r="527" customFormat="false" ht="15" hidden="false" customHeight="false" outlineLevel="0" collapsed="false">
      <c r="A527" s="0" t="n">
        <v>6</v>
      </c>
      <c r="B527" s="0" t="s">
        <v>62</v>
      </c>
      <c r="C527" s="0" t="n">
        <v>2012</v>
      </c>
      <c r="D527" s="0" t="n">
        <v>2</v>
      </c>
      <c r="E527" s="38" t="n">
        <v>317877.55</v>
      </c>
    </row>
    <row r="528" customFormat="false" ht="15" hidden="false" customHeight="false" outlineLevel="0" collapsed="false">
      <c r="A528" s="0" t="n">
        <v>6</v>
      </c>
      <c r="B528" s="0" t="s">
        <v>62</v>
      </c>
      <c r="C528" s="0" t="n">
        <v>2012</v>
      </c>
      <c r="D528" s="0" t="n">
        <v>3</v>
      </c>
      <c r="E528" s="38" t="n">
        <v>339635.92</v>
      </c>
    </row>
    <row r="529" customFormat="false" ht="15" hidden="false" customHeight="false" outlineLevel="0" collapsed="false">
      <c r="A529" s="0" t="n">
        <v>6</v>
      </c>
      <c r="B529" s="0" t="s">
        <v>62</v>
      </c>
      <c r="C529" s="0" t="n">
        <v>2012</v>
      </c>
      <c r="D529" s="0" t="n">
        <v>4</v>
      </c>
      <c r="E529" s="38" t="n">
        <v>385072.93</v>
      </c>
    </row>
    <row r="530" customFormat="false" ht="15" hidden="false" customHeight="false" outlineLevel="0" collapsed="false">
      <c r="A530" s="0" t="n">
        <v>6</v>
      </c>
      <c r="B530" s="0" t="s">
        <v>62</v>
      </c>
      <c r="C530" s="0" t="n">
        <v>2012</v>
      </c>
      <c r="D530" s="0" t="n">
        <v>5</v>
      </c>
      <c r="E530" s="38" t="n">
        <v>390134.87</v>
      </c>
    </row>
    <row r="531" customFormat="false" ht="15" hidden="false" customHeight="false" outlineLevel="0" collapsed="false">
      <c r="A531" s="0" t="n">
        <v>6</v>
      </c>
      <c r="B531" s="0" t="s">
        <v>62</v>
      </c>
      <c r="C531" s="0" t="n">
        <v>2012</v>
      </c>
      <c r="D531" s="0" t="n">
        <v>6</v>
      </c>
      <c r="E531" s="38" t="n">
        <v>360488.29</v>
      </c>
    </row>
    <row r="532" customFormat="false" ht="15" hidden="false" customHeight="false" outlineLevel="0" collapsed="false">
      <c r="A532" s="0" t="n">
        <v>6</v>
      </c>
      <c r="B532" s="0" t="s">
        <v>62</v>
      </c>
      <c r="C532" s="0" t="n">
        <v>2012</v>
      </c>
      <c r="D532" s="0" t="n">
        <v>7</v>
      </c>
      <c r="E532" s="38" t="n">
        <v>286523.7</v>
      </c>
    </row>
    <row r="533" customFormat="false" ht="15" hidden="false" customHeight="false" outlineLevel="0" collapsed="false">
      <c r="A533" s="0" t="n">
        <v>6</v>
      </c>
      <c r="B533" s="0" t="s">
        <v>62</v>
      </c>
      <c r="C533" s="0" t="n">
        <v>2012</v>
      </c>
      <c r="D533" s="0" t="n">
        <v>8</v>
      </c>
      <c r="E533" s="38" t="n">
        <v>263524.45</v>
      </c>
    </row>
    <row r="534" customFormat="false" ht="15" hidden="false" customHeight="false" outlineLevel="0" collapsed="false">
      <c r="A534" s="0" t="n">
        <v>6</v>
      </c>
      <c r="B534" s="0" t="s">
        <v>62</v>
      </c>
      <c r="C534" s="0" t="n">
        <v>2012</v>
      </c>
      <c r="D534" s="0" t="n">
        <v>9</v>
      </c>
      <c r="E534" s="38" t="n">
        <v>283352.5</v>
      </c>
    </row>
    <row r="535" customFormat="false" ht="15" hidden="false" customHeight="false" outlineLevel="0" collapsed="false">
      <c r="A535" s="0" t="n">
        <v>6</v>
      </c>
      <c r="B535" s="0" t="s">
        <v>62</v>
      </c>
      <c r="C535" s="0" t="n">
        <v>2012</v>
      </c>
      <c r="D535" s="0" t="n">
        <v>10</v>
      </c>
      <c r="E535" s="38" t="n">
        <v>543473.91</v>
      </c>
    </row>
    <row r="536" customFormat="false" ht="15" hidden="false" customHeight="false" outlineLevel="0" collapsed="false">
      <c r="A536" s="0" t="n">
        <v>6</v>
      </c>
      <c r="B536" s="0" t="s">
        <v>62</v>
      </c>
      <c r="C536" s="0" t="n">
        <v>2012</v>
      </c>
      <c r="D536" s="0" t="n">
        <v>11</v>
      </c>
      <c r="E536" s="38" t="n">
        <v>624812.29</v>
      </c>
    </row>
    <row r="537" customFormat="false" ht="15" hidden="false" customHeight="false" outlineLevel="0" collapsed="false">
      <c r="A537" s="0" t="n">
        <v>6</v>
      </c>
      <c r="B537" s="0" t="s">
        <v>62</v>
      </c>
      <c r="C537" s="0" t="n">
        <v>2012</v>
      </c>
      <c r="D537" s="0" t="n">
        <v>12</v>
      </c>
      <c r="E537" s="38" t="n">
        <v>201975.85</v>
      </c>
    </row>
    <row r="538" customFormat="false" ht="15" hidden="false" customHeight="false" outlineLevel="0" collapsed="false">
      <c r="A538" s="0" t="n">
        <v>6</v>
      </c>
      <c r="B538" s="0" t="s">
        <v>62</v>
      </c>
      <c r="C538" s="0" t="n">
        <v>2013</v>
      </c>
      <c r="D538" s="0" t="n">
        <v>1</v>
      </c>
      <c r="E538" s="38" t="n">
        <v>262063.8</v>
      </c>
    </row>
    <row r="539" customFormat="false" ht="15" hidden="false" customHeight="false" outlineLevel="0" collapsed="false">
      <c r="A539" s="0" t="n">
        <v>6</v>
      </c>
      <c r="B539" s="0" t="s">
        <v>62</v>
      </c>
      <c r="C539" s="0" t="n">
        <v>2013</v>
      </c>
      <c r="D539" s="0" t="n">
        <v>2</v>
      </c>
      <c r="E539" s="38" t="n">
        <v>256609.12</v>
      </c>
    </row>
    <row r="540" customFormat="false" ht="15" hidden="false" customHeight="false" outlineLevel="0" collapsed="false">
      <c r="A540" s="0" t="n">
        <v>6</v>
      </c>
      <c r="B540" s="0" t="s">
        <v>62</v>
      </c>
      <c r="C540" s="0" t="n">
        <v>2013</v>
      </c>
      <c r="D540" s="0" t="n">
        <v>3</v>
      </c>
      <c r="E540" s="38" t="n">
        <v>243023.95</v>
      </c>
    </row>
    <row r="541" customFormat="false" ht="15" hidden="false" customHeight="false" outlineLevel="0" collapsed="false">
      <c r="A541" s="0" t="n">
        <v>6</v>
      </c>
      <c r="B541" s="0" t="s">
        <v>62</v>
      </c>
      <c r="C541" s="0" t="n">
        <v>2013</v>
      </c>
      <c r="D541" s="0" t="n">
        <v>4</v>
      </c>
      <c r="E541" s="38" t="n">
        <v>304704.43</v>
      </c>
    </row>
    <row r="542" customFormat="false" ht="15" hidden="false" customHeight="false" outlineLevel="0" collapsed="false">
      <c r="A542" s="0" t="n">
        <v>6</v>
      </c>
      <c r="B542" s="0" t="s">
        <v>62</v>
      </c>
      <c r="C542" s="0" t="n">
        <v>2013</v>
      </c>
      <c r="D542" s="0" t="n">
        <v>5</v>
      </c>
      <c r="E542" s="38" t="n">
        <v>293835.5</v>
      </c>
    </row>
    <row r="543" customFormat="false" ht="15" hidden="false" customHeight="false" outlineLevel="0" collapsed="false">
      <c r="A543" s="0" t="n">
        <v>6</v>
      </c>
      <c r="B543" s="0" t="s">
        <v>62</v>
      </c>
      <c r="C543" s="0" t="n">
        <v>2013</v>
      </c>
      <c r="D543" s="0" t="n">
        <v>6</v>
      </c>
      <c r="E543" s="38" t="n">
        <v>295473.72</v>
      </c>
    </row>
    <row r="544" customFormat="false" ht="15" hidden="false" customHeight="false" outlineLevel="0" collapsed="false">
      <c r="A544" s="0" t="n">
        <v>6</v>
      </c>
      <c r="B544" s="0" t="s">
        <v>62</v>
      </c>
      <c r="C544" s="0" t="n">
        <v>2013</v>
      </c>
      <c r="D544" s="0" t="n">
        <v>7</v>
      </c>
      <c r="E544" s="38" t="n">
        <v>241043.53</v>
      </c>
    </row>
    <row r="545" customFormat="false" ht="15" hidden="false" customHeight="false" outlineLevel="0" collapsed="false">
      <c r="A545" s="0" t="n">
        <v>6</v>
      </c>
      <c r="B545" s="0" t="s">
        <v>62</v>
      </c>
      <c r="C545" s="0" t="n">
        <v>2013</v>
      </c>
      <c r="D545" s="0" t="n">
        <v>8</v>
      </c>
      <c r="E545" s="38" t="n">
        <v>242068.97</v>
      </c>
    </row>
    <row r="546" customFormat="false" ht="15" hidden="false" customHeight="false" outlineLevel="0" collapsed="false">
      <c r="A546" s="0" t="n">
        <v>6</v>
      </c>
      <c r="B546" s="0" t="s">
        <v>64</v>
      </c>
      <c r="C546" s="0" t="n">
        <v>2011</v>
      </c>
      <c r="D546" s="0" t="n">
        <v>1</v>
      </c>
      <c r="E546" s="38" t="n">
        <v>665.5</v>
      </c>
    </row>
    <row r="547" customFormat="false" ht="15" hidden="false" customHeight="false" outlineLevel="0" collapsed="false">
      <c r="A547" s="0" t="n">
        <v>6</v>
      </c>
      <c r="B547" s="0" t="s">
        <v>64</v>
      </c>
      <c r="C547" s="0" t="n">
        <v>2011</v>
      </c>
      <c r="D547" s="0" t="n">
        <v>2</v>
      </c>
      <c r="E547" s="38" t="n">
        <v>750.78</v>
      </c>
    </row>
    <row r="548" customFormat="false" ht="15" hidden="false" customHeight="false" outlineLevel="0" collapsed="false">
      <c r="A548" s="0" t="n">
        <v>6</v>
      </c>
      <c r="B548" s="0" t="s">
        <v>64</v>
      </c>
      <c r="C548" s="0" t="n">
        <v>2011</v>
      </c>
      <c r="D548" s="0" t="n">
        <v>3</v>
      </c>
      <c r="E548" s="38" t="n">
        <v>1125.29</v>
      </c>
    </row>
    <row r="549" customFormat="false" ht="15" hidden="false" customHeight="false" outlineLevel="0" collapsed="false">
      <c r="A549" s="0" t="n">
        <v>6</v>
      </c>
      <c r="B549" s="0" t="s">
        <v>64</v>
      </c>
      <c r="C549" s="0" t="n">
        <v>2011</v>
      </c>
      <c r="D549" s="0" t="n">
        <v>4</v>
      </c>
      <c r="E549" s="38" t="n">
        <v>1808.98</v>
      </c>
    </row>
    <row r="550" customFormat="false" ht="15" hidden="false" customHeight="false" outlineLevel="0" collapsed="false">
      <c r="A550" s="0" t="n">
        <v>6</v>
      </c>
      <c r="B550" s="0" t="s">
        <v>64</v>
      </c>
      <c r="C550" s="0" t="n">
        <v>2011</v>
      </c>
      <c r="D550" s="0" t="n">
        <v>5</v>
      </c>
      <c r="E550" s="38" t="n">
        <v>1405.89</v>
      </c>
    </row>
    <row r="551" customFormat="false" ht="15" hidden="false" customHeight="false" outlineLevel="0" collapsed="false">
      <c r="A551" s="0" t="n">
        <v>6</v>
      </c>
      <c r="B551" s="0" t="s">
        <v>64</v>
      </c>
      <c r="C551" s="0" t="n">
        <v>2011</v>
      </c>
      <c r="D551" s="0" t="n">
        <v>6</v>
      </c>
      <c r="E551" s="38" t="n">
        <v>1350.27</v>
      </c>
    </row>
    <row r="552" customFormat="false" ht="15" hidden="false" customHeight="false" outlineLevel="0" collapsed="false">
      <c r="A552" s="0" t="n">
        <v>6</v>
      </c>
      <c r="B552" s="0" t="s">
        <v>64</v>
      </c>
      <c r="C552" s="0" t="n">
        <v>2011</v>
      </c>
      <c r="D552" s="0" t="n">
        <v>7</v>
      </c>
      <c r="E552" s="38" t="n">
        <v>800.19</v>
      </c>
    </row>
    <row r="553" customFormat="false" ht="15" hidden="false" customHeight="false" outlineLevel="0" collapsed="false">
      <c r="A553" s="0" t="n">
        <v>6</v>
      </c>
      <c r="B553" s="0" t="s">
        <v>64</v>
      </c>
      <c r="C553" s="0" t="n">
        <v>2011</v>
      </c>
      <c r="D553" s="0" t="n">
        <v>8</v>
      </c>
      <c r="E553" s="38" t="n">
        <v>745.08</v>
      </c>
    </row>
    <row r="554" customFormat="false" ht="15" hidden="false" customHeight="false" outlineLevel="0" collapsed="false">
      <c r="A554" s="0" t="n">
        <v>6</v>
      </c>
      <c r="B554" s="0" t="s">
        <v>64</v>
      </c>
      <c r="C554" s="0" t="n">
        <v>2011</v>
      </c>
      <c r="D554" s="0" t="n">
        <v>9</v>
      </c>
      <c r="E554" s="38" t="n">
        <v>1090.14</v>
      </c>
    </row>
    <row r="555" customFormat="false" ht="15" hidden="false" customHeight="false" outlineLevel="0" collapsed="false">
      <c r="A555" s="0" t="n">
        <v>6</v>
      </c>
      <c r="B555" s="0" t="s">
        <v>64</v>
      </c>
      <c r="C555" s="0" t="n">
        <v>2011</v>
      </c>
      <c r="D555" s="0" t="n">
        <v>10</v>
      </c>
      <c r="E555" s="38" t="n">
        <v>903.89</v>
      </c>
    </row>
    <row r="556" customFormat="false" ht="15" hidden="false" customHeight="false" outlineLevel="0" collapsed="false">
      <c r="A556" s="0" t="n">
        <v>6</v>
      </c>
      <c r="B556" s="0" t="s">
        <v>64</v>
      </c>
      <c r="C556" s="0" t="n">
        <v>2011</v>
      </c>
      <c r="D556" s="0" t="n">
        <v>11</v>
      </c>
      <c r="E556" s="38" t="n">
        <v>802.65</v>
      </c>
    </row>
    <row r="557" customFormat="false" ht="15" hidden="false" customHeight="false" outlineLevel="0" collapsed="false">
      <c r="A557" s="0" t="n">
        <v>6</v>
      </c>
      <c r="B557" s="0" t="s">
        <v>64</v>
      </c>
      <c r="C557" s="0" t="n">
        <v>2011</v>
      </c>
      <c r="D557" s="0" t="n">
        <v>12</v>
      </c>
      <c r="E557" s="38" t="n">
        <v>380.84</v>
      </c>
    </row>
    <row r="558" customFormat="false" ht="15" hidden="false" customHeight="false" outlineLevel="0" collapsed="false">
      <c r="A558" s="0" t="n">
        <v>6</v>
      </c>
      <c r="B558" s="0" t="s">
        <v>64</v>
      </c>
      <c r="C558" s="0" t="n">
        <v>2012</v>
      </c>
      <c r="D558" s="0" t="n">
        <v>1</v>
      </c>
      <c r="E558" s="38" t="n">
        <v>406.58</v>
      </c>
    </row>
    <row r="559" customFormat="false" ht="15" hidden="false" customHeight="false" outlineLevel="0" collapsed="false">
      <c r="A559" s="0" t="n">
        <v>6</v>
      </c>
      <c r="B559" s="0" t="s">
        <v>64</v>
      </c>
      <c r="C559" s="0" t="n">
        <v>2012</v>
      </c>
      <c r="D559" s="0" t="n">
        <v>2</v>
      </c>
      <c r="E559" s="38" t="n">
        <v>485.85</v>
      </c>
    </row>
    <row r="560" customFormat="false" ht="15" hidden="false" customHeight="false" outlineLevel="0" collapsed="false">
      <c r="A560" s="0" t="n">
        <v>6</v>
      </c>
      <c r="B560" s="0" t="s">
        <v>64</v>
      </c>
      <c r="C560" s="0" t="n">
        <v>2012</v>
      </c>
      <c r="D560" s="0" t="n">
        <v>3</v>
      </c>
      <c r="E560" s="38" t="n">
        <v>718.39</v>
      </c>
    </row>
    <row r="561" customFormat="false" ht="15" hidden="false" customHeight="false" outlineLevel="0" collapsed="false">
      <c r="A561" s="0" t="n">
        <v>6</v>
      </c>
      <c r="B561" s="0" t="s">
        <v>64</v>
      </c>
      <c r="C561" s="0" t="n">
        <v>2012</v>
      </c>
      <c r="D561" s="0" t="n">
        <v>4</v>
      </c>
      <c r="E561" s="38" t="n">
        <v>930.62</v>
      </c>
    </row>
    <row r="562" customFormat="false" ht="15" hidden="false" customHeight="false" outlineLevel="0" collapsed="false">
      <c r="A562" s="0" t="n">
        <v>6</v>
      </c>
      <c r="B562" s="0" t="s">
        <v>64</v>
      </c>
      <c r="C562" s="0" t="n">
        <v>2012</v>
      </c>
      <c r="D562" s="0" t="n">
        <v>5</v>
      </c>
      <c r="E562" s="38" t="n">
        <v>1105.25</v>
      </c>
    </row>
    <row r="563" customFormat="false" ht="15" hidden="false" customHeight="false" outlineLevel="0" collapsed="false">
      <c r="A563" s="0" t="n">
        <v>6</v>
      </c>
      <c r="B563" s="0" t="s">
        <v>64</v>
      </c>
      <c r="C563" s="0" t="n">
        <v>2012</v>
      </c>
      <c r="D563" s="0" t="n">
        <v>6</v>
      </c>
      <c r="E563" s="38" t="n">
        <v>793.54</v>
      </c>
    </row>
    <row r="564" customFormat="false" ht="15" hidden="false" customHeight="false" outlineLevel="0" collapsed="false">
      <c r="A564" s="0" t="n">
        <v>6</v>
      </c>
      <c r="B564" s="0" t="s">
        <v>64</v>
      </c>
      <c r="C564" s="0" t="n">
        <v>2012</v>
      </c>
      <c r="D564" s="0" t="n">
        <v>7</v>
      </c>
      <c r="E564" s="38" t="n">
        <v>571.65</v>
      </c>
    </row>
    <row r="565" customFormat="false" ht="15" hidden="false" customHeight="false" outlineLevel="0" collapsed="false">
      <c r="A565" s="0" t="n">
        <v>6</v>
      </c>
      <c r="B565" s="0" t="s">
        <v>64</v>
      </c>
      <c r="C565" s="0" t="n">
        <v>2012</v>
      </c>
      <c r="D565" s="0" t="n">
        <v>8</v>
      </c>
      <c r="E565" s="38" t="n">
        <v>455.7</v>
      </c>
    </row>
    <row r="566" customFormat="false" ht="15" hidden="false" customHeight="false" outlineLevel="0" collapsed="false">
      <c r="A566" s="0" t="n">
        <v>6</v>
      </c>
      <c r="B566" s="0" t="s">
        <v>64</v>
      </c>
      <c r="C566" s="0" t="n">
        <v>2012</v>
      </c>
      <c r="D566" s="0" t="n">
        <v>9</v>
      </c>
      <c r="E566" s="38" t="n">
        <v>657.54</v>
      </c>
    </row>
    <row r="567" customFormat="false" ht="15" hidden="false" customHeight="false" outlineLevel="0" collapsed="false">
      <c r="A567" s="0" t="n">
        <v>6</v>
      </c>
      <c r="B567" s="0" t="s">
        <v>64</v>
      </c>
      <c r="C567" s="0" t="n">
        <v>2012</v>
      </c>
      <c r="D567" s="0" t="n">
        <v>10</v>
      </c>
      <c r="E567" s="38" t="n">
        <v>585.69</v>
      </c>
    </row>
    <row r="568" customFormat="false" ht="15" hidden="false" customHeight="false" outlineLevel="0" collapsed="false">
      <c r="A568" s="0" t="n">
        <v>6</v>
      </c>
      <c r="B568" s="0" t="s">
        <v>64</v>
      </c>
      <c r="C568" s="0" t="n">
        <v>2012</v>
      </c>
      <c r="D568" s="0" t="n">
        <v>11</v>
      </c>
      <c r="E568" s="38" t="n">
        <v>727.64</v>
      </c>
    </row>
    <row r="569" customFormat="false" ht="15" hidden="false" customHeight="false" outlineLevel="0" collapsed="false">
      <c r="A569" s="0" t="n">
        <v>6</v>
      </c>
      <c r="B569" s="0" t="s">
        <v>64</v>
      </c>
      <c r="C569" s="0" t="n">
        <v>2012</v>
      </c>
      <c r="D569" s="0" t="n">
        <v>12</v>
      </c>
      <c r="E569" s="38" t="n">
        <v>349.95</v>
      </c>
    </row>
    <row r="570" customFormat="false" ht="15" hidden="false" customHeight="false" outlineLevel="0" collapsed="false">
      <c r="A570" s="0" t="n">
        <v>6</v>
      </c>
      <c r="B570" s="0" t="s">
        <v>64</v>
      </c>
      <c r="C570" s="0" t="n">
        <v>2013</v>
      </c>
      <c r="D570" s="0" t="n">
        <v>1</v>
      </c>
      <c r="E570" s="38" t="n">
        <v>363.57</v>
      </c>
    </row>
    <row r="571" customFormat="false" ht="15" hidden="false" customHeight="false" outlineLevel="0" collapsed="false">
      <c r="A571" s="0" t="n">
        <v>6</v>
      </c>
      <c r="B571" s="0" t="s">
        <v>64</v>
      </c>
      <c r="C571" s="0" t="n">
        <v>2013</v>
      </c>
      <c r="D571" s="0" t="n">
        <v>2</v>
      </c>
      <c r="E571" s="38" t="n">
        <v>508.6</v>
      </c>
    </row>
    <row r="572" customFormat="false" ht="15" hidden="false" customHeight="false" outlineLevel="0" collapsed="false">
      <c r="A572" s="0" t="n">
        <v>6</v>
      </c>
      <c r="B572" s="0" t="s">
        <v>64</v>
      </c>
      <c r="C572" s="0" t="n">
        <v>2013</v>
      </c>
      <c r="D572" s="0" t="n">
        <v>3</v>
      </c>
      <c r="E572" s="38" t="n">
        <v>555.79</v>
      </c>
    </row>
    <row r="573" customFormat="false" ht="15" hidden="false" customHeight="false" outlineLevel="0" collapsed="false">
      <c r="A573" s="0" t="n">
        <v>6</v>
      </c>
      <c r="B573" s="0" t="s">
        <v>64</v>
      </c>
      <c r="C573" s="0" t="n">
        <v>2013</v>
      </c>
      <c r="D573" s="0" t="n">
        <v>4</v>
      </c>
      <c r="E573" s="38" t="n">
        <v>596.79</v>
      </c>
    </row>
    <row r="574" customFormat="false" ht="15" hidden="false" customHeight="false" outlineLevel="0" collapsed="false">
      <c r="A574" s="0" t="n">
        <v>6</v>
      </c>
      <c r="B574" s="0" t="s">
        <v>64</v>
      </c>
      <c r="C574" s="0" t="n">
        <v>2013</v>
      </c>
      <c r="D574" s="0" t="n">
        <v>5</v>
      </c>
      <c r="E574" s="38" t="n">
        <v>687.93</v>
      </c>
    </row>
    <row r="575" customFormat="false" ht="15" hidden="false" customHeight="false" outlineLevel="0" collapsed="false">
      <c r="A575" s="0" t="n">
        <v>6</v>
      </c>
      <c r="B575" s="0" t="s">
        <v>64</v>
      </c>
      <c r="C575" s="0" t="n">
        <v>2013</v>
      </c>
      <c r="D575" s="0" t="n">
        <v>6</v>
      </c>
      <c r="E575" s="38" t="n">
        <v>476.93</v>
      </c>
    </row>
    <row r="576" customFormat="false" ht="15" hidden="false" customHeight="false" outlineLevel="0" collapsed="false">
      <c r="A576" s="0" t="n">
        <v>6</v>
      </c>
      <c r="B576" s="0" t="s">
        <v>64</v>
      </c>
      <c r="C576" s="0" t="n">
        <v>2013</v>
      </c>
      <c r="D576" s="0" t="n">
        <v>7</v>
      </c>
      <c r="E576" s="38" t="n">
        <v>332.41</v>
      </c>
    </row>
    <row r="577" customFormat="false" ht="15" hidden="false" customHeight="false" outlineLevel="0" collapsed="false">
      <c r="A577" s="0" t="n">
        <v>6</v>
      </c>
      <c r="B577" s="0" t="s">
        <v>64</v>
      </c>
      <c r="C577" s="0" t="n">
        <v>2013</v>
      </c>
      <c r="D577" s="0" t="n">
        <v>8</v>
      </c>
      <c r="E577" s="38" t="n">
        <v>284.47</v>
      </c>
    </row>
    <row r="578" customFormat="false" ht="15" hidden="false" customHeight="false" outlineLevel="0" collapsed="false">
      <c r="A578" s="0" t="n">
        <v>7</v>
      </c>
      <c r="B578" s="0" t="s">
        <v>60</v>
      </c>
      <c r="C578" s="0" t="n">
        <v>2011</v>
      </c>
      <c r="D578" s="0" t="n">
        <v>1</v>
      </c>
      <c r="E578" s="38" t="n">
        <v>1879725.43</v>
      </c>
    </row>
    <row r="579" customFormat="false" ht="15" hidden="false" customHeight="false" outlineLevel="0" collapsed="false">
      <c r="A579" s="0" t="n">
        <v>7</v>
      </c>
      <c r="B579" s="0" t="s">
        <v>60</v>
      </c>
      <c r="C579" s="0" t="n">
        <v>2011</v>
      </c>
      <c r="D579" s="0" t="n">
        <v>2</v>
      </c>
      <c r="E579" s="38" t="n">
        <v>2486690.48</v>
      </c>
    </row>
    <row r="580" customFormat="false" ht="15" hidden="false" customHeight="false" outlineLevel="0" collapsed="false">
      <c r="A580" s="0" t="n">
        <v>7</v>
      </c>
      <c r="B580" s="0" t="s">
        <v>60</v>
      </c>
      <c r="C580" s="0" t="n">
        <v>2011</v>
      </c>
      <c r="D580" s="0" t="n">
        <v>3</v>
      </c>
      <c r="E580" s="38" t="n">
        <v>2456711.69</v>
      </c>
    </row>
    <row r="581" customFormat="false" ht="15" hidden="false" customHeight="false" outlineLevel="0" collapsed="false">
      <c r="A581" s="0" t="n">
        <v>7</v>
      </c>
      <c r="B581" s="0" t="s">
        <v>60</v>
      </c>
      <c r="C581" s="0" t="n">
        <v>2011</v>
      </c>
      <c r="D581" s="0" t="n">
        <v>4</v>
      </c>
      <c r="E581" s="38" t="n">
        <v>2750298.87</v>
      </c>
    </row>
    <row r="582" customFormat="false" ht="15" hidden="false" customHeight="false" outlineLevel="0" collapsed="false">
      <c r="A582" s="0" t="n">
        <v>7</v>
      </c>
      <c r="B582" s="0" t="s">
        <v>60</v>
      </c>
      <c r="C582" s="0" t="n">
        <v>2011</v>
      </c>
      <c r="D582" s="0" t="n">
        <v>5</v>
      </c>
      <c r="E582" s="38" t="n">
        <v>3141586.62</v>
      </c>
    </row>
    <row r="583" customFormat="false" ht="15" hidden="false" customHeight="false" outlineLevel="0" collapsed="false">
      <c r="A583" s="0" t="n">
        <v>7</v>
      </c>
      <c r="B583" s="0" t="s">
        <v>60</v>
      </c>
      <c r="C583" s="0" t="n">
        <v>2011</v>
      </c>
      <c r="D583" s="0" t="n">
        <v>6</v>
      </c>
      <c r="E583" s="38" t="n">
        <v>2619978.49</v>
      </c>
    </row>
    <row r="584" customFormat="false" ht="15" hidden="false" customHeight="false" outlineLevel="0" collapsed="false">
      <c r="A584" s="0" t="n">
        <v>7</v>
      </c>
      <c r="B584" s="0" t="s">
        <v>60</v>
      </c>
      <c r="C584" s="0" t="n">
        <v>2011</v>
      </c>
      <c r="D584" s="0" t="n">
        <v>7</v>
      </c>
      <c r="E584" s="38" t="n">
        <v>2260974.44</v>
      </c>
    </row>
    <row r="585" customFormat="false" ht="15" hidden="false" customHeight="false" outlineLevel="0" collapsed="false">
      <c r="A585" s="0" t="n">
        <v>7</v>
      </c>
      <c r="B585" s="0" t="s">
        <v>60</v>
      </c>
      <c r="C585" s="0" t="n">
        <v>2011</v>
      </c>
      <c r="D585" s="0" t="n">
        <v>8</v>
      </c>
      <c r="E585" s="38" t="n">
        <v>2000886.59</v>
      </c>
    </row>
    <row r="586" customFormat="false" ht="15" hidden="false" customHeight="false" outlineLevel="0" collapsed="false">
      <c r="A586" s="0" t="n">
        <v>7</v>
      </c>
      <c r="B586" s="0" t="s">
        <v>60</v>
      </c>
      <c r="C586" s="0" t="n">
        <v>2011</v>
      </c>
      <c r="D586" s="0" t="n">
        <v>9</v>
      </c>
      <c r="E586" s="38" t="n">
        <v>2043668.07</v>
      </c>
    </row>
    <row r="587" customFormat="false" ht="15" hidden="false" customHeight="false" outlineLevel="0" collapsed="false">
      <c r="A587" s="0" t="n">
        <v>7</v>
      </c>
      <c r="B587" s="0" t="s">
        <v>60</v>
      </c>
      <c r="C587" s="0" t="n">
        <v>2011</v>
      </c>
      <c r="D587" s="0" t="n">
        <v>10</v>
      </c>
      <c r="E587" s="38" t="n">
        <v>4533305.55</v>
      </c>
    </row>
    <row r="588" customFormat="false" ht="15" hidden="false" customHeight="false" outlineLevel="0" collapsed="false">
      <c r="A588" s="0" t="n">
        <v>7</v>
      </c>
      <c r="B588" s="0" t="s">
        <v>60</v>
      </c>
      <c r="C588" s="0" t="n">
        <v>2011</v>
      </c>
      <c r="D588" s="0" t="n">
        <v>11</v>
      </c>
      <c r="E588" s="38" t="n">
        <v>9479844.07</v>
      </c>
    </row>
    <row r="589" customFormat="false" ht="15" hidden="false" customHeight="false" outlineLevel="0" collapsed="false">
      <c r="A589" s="0" t="n">
        <v>7</v>
      </c>
      <c r="B589" s="0" t="s">
        <v>60</v>
      </c>
      <c r="C589" s="0" t="n">
        <v>2011</v>
      </c>
      <c r="D589" s="0" t="n">
        <v>12</v>
      </c>
      <c r="E589" s="38" t="n">
        <v>1475300.66</v>
      </c>
    </row>
    <row r="590" customFormat="false" ht="15" hidden="false" customHeight="false" outlineLevel="0" collapsed="false">
      <c r="A590" s="0" t="n">
        <v>7</v>
      </c>
      <c r="B590" s="0" t="s">
        <v>60</v>
      </c>
      <c r="C590" s="0" t="n">
        <v>2012</v>
      </c>
      <c r="D590" s="0" t="n">
        <v>1</v>
      </c>
      <c r="E590" s="38" t="n">
        <v>1866145.12</v>
      </c>
    </row>
    <row r="591" customFormat="false" ht="15" hidden="false" customHeight="false" outlineLevel="0" collapsed="false">
      <c r="A591" s="0" t="n">
        <v>7</v>
      </c>
      <c r="B591" s="0" t="s">
        <v>60</v>
      </c>
      <c r="C591" s="0" t="n">
        <v>2012</v>
      </c>
      <c r="D591" s="0" t="n">
        <v>2</v>
      </c>
      <c r="E591" s="38" t="n">
        <v>2220136.04</v>
      </c>
    </row>
    <row r="592" customFormat="false" ht="15" hidden="false" customHeight="false" outlineLevel="0" collapsed="false">
      <c r="A592" s="0" t="n">
        <v>7</v>
      </c>
      <c r="B592" s="0" t="s">
        <v>60</v>
      </c>
      <c r="C592" s="0" t="n">
        <v>2012</v>
      </c>
      <c r="D592" s="0" t="n">
        <v>3</v>
      </c>
      <c r="E592" s="38" t="n">
        <v>2754419.26</v>
      </c>
    </row>
    <row r="593" customFormat="false" ht="15" hidden="false" customHeight="false" outlineLevel="0" collapsed="false">
      <c r="A593" s="0" t="n">
        <v>7</v>
      </c>
      <c r="B593" s="0" t="s">
        <v>60</v>
      </c>
      <c r="C593" s="0" t="n">
        <v>2012</v>
      </c>
      <c r="D593" s="0" t="n">
        <v>4</v>
      </c>
      <c r="E593" s="38" t="n">
        <v>2744107.28</v>
      </c>
    </row>
    <row r="594" customFormat="false" ht="15" hidden="false" customHeight="false" outlineLevel="0" collapsed="false">
      <c r="A594" s="0" t="n">
        <v>7</v>
      </c>
      <c r="B594" s="0" t="s">
        <v>60</v>
      </c>
      <c r="C594" s="0" t="n">
        <v>2012</v>
      </c>
      <c r="D594" s="0" t="n">
        <v>5</v>
      </c>
      <c r="E594" s="38" t="n">
        <v>3205657.39</v>
      </c>
    </row>
    <row r="595" customFormat="false" ht="15" hidden="false" customHeight="false" outlineLevel="0" collapsed="false">
      <c r="A595" s="0" t="n">
        <v>7</v>
      </c>
      <c r="B595" s="0" t="s">
        <v>60</v>
      </c>
      <c r="C595" s="0" t="n">
        <v>2012</v>
      </c>
      <c r="D595" s="0" t="n">
        <v>6</v>
      </c>
      <c r="E595" s="38" t="n">
        <v>2668139.56</v>
      </c>
    </row>
    <row r="596" customFormat="false" ht="15" hidden="false" customHeight="false" outlineLevel="0" collapsed="false">
      <c r="A596" s="0" t="n">
        <v>7</v>
      </c>
      <c r="B596" s="0" t="s">
        <v>60</v>
      </c>
      <c r="C596" s="0" t="n">
        <v>2012</v>
      </c>
      <c r="D596" s="0" t="n">
        <v>7</v>
      </c>
      <c r="E596" s="38" t="n">
        <v>2085443.87</v>
      </c>
    </row>
    <row r="597" customFormat="false" ht="15" hidden="false" customHeight="false" outlineLevel="0" collapsed="false">
      <c r="A597" s="0" t="n">
        <v>7</v>
      </c>
      <c r="B597" s="0" t="s">
        <v>60</v>
      </c>
      <c r="C597" s="0" t="n">
        <v>2012</v>
      </c>
      <c r="D597" s="0" t="n">
        <v>8</v>
      </c>
      <c r="E597" s="38" t="n">
        <v>1944972.3</v>
      </c>
    </row>
    <row r="598" customFormat="false" ht="15" hidden="false" customHeight="false" outlineLevel="0" collapsed="false">
      <c r="A598" s="0" t="n">
        <v>7</v>
      </c>
      <c r="B598" s="0" t="s">
        <v>60</v>
      </c>
      <c r="C598" s="0" t="n">
        <v>2012</v>
      </c>
      <c r="D598" s="0" t="n">
        <v>9</v>
      </c>
      <c r="E598" s="38" t="n">
        <v>2569506.23</v>
      </c>
    </row>
    <row r="599" customFormat="false" ht="15" hidden="false" customHeight="false" outlineLevel="0" collapsed="false">
      <c r="A599" s="0" t="n">
        <v>7</v>
      </c>
      <c r="B599" s="0" t="s">
        <v>60</v>
      </c>
      <c r="C599" s="0" t="n">
        <v>2012</v>
      </c>
      <c r="D599" s="0" t="n">
        <v>10</v>
      </c>
      <c r="E599" s="38" t="n">
        <v>4933762.11</v>
      </c>
    </row>
    <row r="600" customFormat="false" ht="15" hidden="false" customHeight="false" outlineLevel="0" collapsed="false">
      <c r="A600" s="0" t="n">
        <v>7</v>
      </c>
      <c r="B600" s="0" t="s">
        <v>60</v>
      </c>
      <c r="C600" s="0" t="n">
        <v>2012</v>
      </c>
      <c r="D600" s="0" t="n">
        <v>11</v>
      </c>
      <c r="E600" s="38" t="n">
        <v>8694950.91</v>
      </c>
    </row>
    <row r="601" customFormat="false" ht="15" hidden="false" customHeight="false" outlineLevel="0" collapsed="false">
      <c r="A601" s="0" t="n">
        <v>7</v>
      </c>
      <c r="B601" s="0" t="s">
        <v>60</v>
      </c>
      <c r="C601" s="0" t="n">
        <v>2012</v>
      </c>
      <c r="D601" s="0" t="n">
        <v>12</v>
      </c>
      <c r="E601" s="38" t="n">
        <v>1471693.49</v>
      </c>
    </row>
    <row r="602" customFormat="false" ht="15" hidden="false" customHeight="false" outlineLevel="0" collapsed="false">
      <c r="A602" s="0" t="n">
        <v>7</v>
      </c>
      <c r="B602" s="0" t="s">
        <v>60</v>
      </c>
      <c r="C602" s="0" t="n">
        <v>2013</v>
      </c>
      <c r="D602" s="0" t="n">
        <v>1</v>
      </c>
      <c r="E602" s="38" t="n">
        <v>1923339.78</v>
      </c>
    </row>
    <row r="603" customFormat="false" ht="15" hidden="false" customHeight="false" outlineLevel="0" collapsed="false">
      <c r="A603" s="0" t="n">
        <v>7</v>
      </c>
      <c r="B603" s="0" t="s">
        <v>60</v>
      </c>
      <c r="C603" s="0" t="n">
        <v>2013</v>
      </c>
      <c r="D603" s="0" t="n">
        <v>2</v>
      </c>
      <c r="E603" s="38" t="n">
        <v>2450349.52</v>
      </c>
    </row>
    <row r="604" customFormat="false" ht="15" hidden="false" customHeight="false" outlineLevel="0" collapsed="false">
      <c r="A604" s="0" t="n">
        <v>7</v>
      </c>
      <c r="B604" s="0" t="s">
        <v>60</v>
      </c>
      <c r="C604" s="0" t="n">
        <v>2013</v>
      </c>
      <c r="D604" s="0" t="n">
        <v>3</v>
      </c>
      <c r="E604" s="38" t="n">
        <v>2722719.18</v>
      </c>
    </row>
    <row r="605" customFormat="false" ht="15" hidden="false" customHeight="false" outlineLevel="0" collapsed="false">
      <c r="A605" s="0" t="n">
        <v>7</v>
      </c>
      <c r="B605" s="0" t="s">
        <v>60</v>
      </c>
      <c r="C605" s="0" t="n">
        <v>2013</v>
      </c>
      <c r="D605" s="0" t="n">
        <v>4</v>
      </c>
      <c r="E605" s="38" t="n">
        <v>2919117.23</v>
      </c>
    </row>
    <row r="606" customFormat="false" ht="15" hidden="false" customHeight="false" outlineLevel="0" collapsed="false">
      <c r="A606" s="0" t="n">
        <v>7</v>
      </c>
      <c r="B606" s="0" t="s">
        <v>60</v>
      </c>
      <c r="C606" s="0" t="n">
        <v>2013</v>
      </c>
      <c r="D606" s="0" t="n">
        <v>5</v>
      </c>
      <c r="E606" s="38" t="n">
        <v>3176421</v>
      </c>
    </row>
    <row r="607" customFormat="false" ht="15" hidden="false" customHeight="false" outlineLevel="0" collapsed="false">
      <c r="A607" s="0" t="n">
        <v>7</v>
      </c>
      <c r="B607" s="0" t="s">
        <v>60</v>
      </c>
      <c r="C607" s="0" t="n">
        <v>2013</v>
      </c>
      <c r="D607" s="0" t="n">
        <v>6</v>
      </c>
      <c r="E607" s="38" t="n">
        <v>2593489.51</v>
      </c>
    </row>
    <row r="608" customFormat="false" ht="15" hidden="false" customHeight="false" outlineLevel="0" collapsed="false">
      <c r="A608" s="0" t="n">
        <v>7</v>
      </c>
      <c r="B608" s="0" t="s">
        <v>60</v>
      </c>
      <c r="C608" s="0" t="n">
        <v>2013</v>
      </c>
      <c r="D608" s="0" t="n">
        <v>7</v>
      </c>
      <c r="E608" s="38" t="n">
        <v>2191381.1</v>
      </c>
    </row>
    <row r="609" customFormat="false" ht="15" hidden="false" customHeight="false" outlineLevel="0" collapsed="false">
      <c r="A609" s="0" t="n">
        <v>7</v>
      </c>
      <c r="B609" s="0" t="s">
        <v>60</v>
      </c>
      <c r="C609" s="0" t="n">
        <v>2013</v>
      </c>
      <c r="D609" s="0" t="n">
        <v>8</v>
      </c>
      <c r="E609" s="38" t="n">
        <v>2333974.58</v>
      </c>
    </row>
    <row r="610" customFormat="false" ht="15" hidden="false" customHeight="false" outlineLevel="0" collapsed="false">
      <c r="A610" s="0" t="n">
        <v>7</v>
      </c>
      <c r="B610" s="0" t="s">
        <v>62</v>
      </c>
      <c r="C610" s="0" t="n">
        <v>2011</v>
      </c>
      <c r="D610" s="0" t="n">
        <v>1</v>
      </c>
      <c r="E610" s="38" t="n">
        <v>1222102.3</v>
      </c>
    </row>
    <row r="611" customFormat="false" ht="15" hidden="false" customHeight="false" outlineLevel="0" collapsed="false">
      <c r="A611" s="0" t="n">
        <v>7</v>
      </c>
      <c r="B611" s="0" t="s">
        <v>62</v>
      </c>
      <c r="C611" s="0" t="n">
        <v>2011</v>
      </c>
      <c r="D611" s="0" t="n">
        <v>2</v>
      </c>
      <c r="E611" s="38" t="n">
        <v>1687720.44</v>
      </c>
    </row>
    <row r="612" customFormat="false" ht="15" hidden="false" customHeight="false" outlineLevel="0" collapsed="false">
      <c r="A612" s="0" t="n">
        <v>7</v>
      </c>
      <c r="B612" s="0" t="s">
        <v>62</v>
      </c>
      <c r="C612" s="0" t="n">
        <v>2011</v>
      </c>
      <c r="D612" s="0" t="n">
        <v>3</v>
      </c>
      <c r="E612" s="38" t="n">
        <v>1631670.95</v>
      </c>
    </row>
    <row r="613" customFormat="false" ht="15" hidden="false" customHeight="false" outlineLevel="0" collapsed="false">
      <c r="A613" s="0" t="n">
        <v>7</v>
      </c>
      <c r="B613" s="0" t="s">
        <v>62</v>
      </c>
      <c r="C613" s="0" t="n">
        <v>2011</v>
      </c>
      <c r="D613" s="0" t="n">
        <v>4</v>
      </c>
      <c r="E613" s="38" t="n">
        <v>1733893.28</v>
      </c>
    </row>
    <row r="614" customFormat="false" ht="15" hidden="false" customHeight="false" outlineLevel="0" collapsed="false">
      <c r="A614" s="0" t="n">
        <v>7</v>
      </c>
      <c r="B614" s="0" t="s">
        <v>62</v>
      </c>
      <c r="C614" s="0" t="n">
        <v>2011</v>
      </c>
      <c r="D614" s="0" t="n">
        <v>5</v>
      </c>
      <c r="E614" s="38" t="n">
        <v>2006525.49</v>
      </c>
    </row>
    <row r="615" customFormat="false" ht="15" hidden="false" customHeight="false" outlineLevel="0" collapsed="false">
      <c r="A615" s="0" t="n">
        <v>7</v>
      </c>
      <c r="B615" s="0" t="s">
        <v>62</v>
      </c>
      <c r="C615" s="0" t="n">
        <v>2011</v>
      </c>
      <c r="D615" s="0" t="n">
        <v>6</v>
      </c>
      <c r="E615" s="38" t="n">
        <v>1717774.29</v>
      </c>
    </row>
    <row r="616" customFormat="false" ht="15" hidden="false" customHeight="false" outlineLevel="0" collapsed="false">
      <c r="A616" s="0" t="n">
        <v>7</v>
      </c>
      <c r="B616" s="0" t="s">
        <v>62</v>
      </c>
      <c r="C616" s="0" t="n">
        <v>2011</v>
      </c>
      <c r="D616" s="0" t="n">
        <v>7</v>
      </c>
      <c r="E616" s="38" t="n">
        <v>1415702.5</v>
      </c>
    </row>
    <row r="617" customFormat="false" ht="15" hidden="false" customHeight="false" outlineLevel="0" collapsed="false">
      <c r="A617" s="0" t="n">
        <v>7</v>
      </c>
      <c r="B617" s="0" t="s">
        <v>62</v>
      </c>
      <c r="C617" s="0" t="n">
        <v>2011</v>
      </c>
      <c r="D617" s="0" t="n">
        <v>8</v>
      </c>
      <c r="E617" s="38" t="n">
        <v>1200503.5</v>
      </c>
    </row>
    <row r="618" customFormat="false" ht="15" hidden="false" customHeight="false" outlineLevel="0" collapsed="false">
      <c r="A618" s="0" t="n">
        <v>7</v>
      </c>
      <c r="B618" s="0" t="s">
        <v>62</v>
      </c>
      <c r="C618" s="0" t="n">
        <v>2011</v>
      </c>
      <c r="D618" s="0" t="n">
        <v>9</v>
      </c>
      <c r="E618" s="38" t="n">
        <v>1196882.33</v>
      </c>
    </row>
    <row r="619" customFormat="false" ht="15" hidden="false" customHeight="false" outlineLevel="0" collapsed="false">
      <c r="A619" s="0" t="n">
        <v>7</v>
      </c>
      <c r="B619" s="0" t="s">
        <v>62</v>
      </c>
      <c r="C619" s="0" t="n">
        <v>2011</v>
      </c>
      <c r="D619" s="0" t="n">
        <v>10</v>
      </c>
      <c r="E619" s="38" t="n">
        <v>2745051.01</v>
      </c>
    </row>
    <row r="620" customFormat="false" ht="15" hidden="false" customHeight="false" outlineLevel="0" collapsed="false">
      <c r="A620" s="0" t="n">
        <v>7</v>
      </c>
      <c r="B620" s="0" t="s">
        <v>62</v>
      </c>
      <c r="C620" s="0" t="n">
        <v>2011</v>
      </c>
      <c r="D620" s="0" t="n">
        <v>11</v>
      </c>
      <c r="E620" s="38" t="n">
        <v>5804007.21</v>
      </c>
    </row>
    <row r="621" customFormat="false" ht="15" hidden="false" customHeight="false" outlineLevel="0" collapsed="false">
      <c r="A621" s="0" t="n">
        <v>7</v>
      </c>
      <c r="B621" s="0" t="s">
        <v>62</v>
      </c>
      <c r="C621" s="0" t="n">
        <v>2011</v>
      </c>
      <c r="D621" s="0" t="n">
        <v>12</v>
      </c>
      <c r="E621" s="38" t="n">
        <v>902419.2</v>
      </c>
    </row>
    <row r="622" customFormat="false" ht="15" hidden="false" customHeight="false" outlineLevel="0" collapsed="false">
      <c r="A622" s="0" t="n">
        <v>7</v>
      </c>
      <c r="B622" s="0" t="s">
        <v>62</v>
      </c>
      <c r="C622" s="0" t="n">
        <v>2012</v>
      </c>
      <c r="D622" s="0" t="n">
        <v>1</v>
      </c>
      <c r="E622" s="38" t="n">
        <v>1113817.42</v>
      </c>
    </row>
    <row r="623" customFormat="false" ht="15" hidden="false" customHeight="false" outlineLevel="0" collapsed="false">
      <c r="A623" s="0" t="n">
        <v>7</v>
      </c>
      <c r="B623" s="0" t="s">
        <v>62</v>
      </c>
      <c r="C623" s="0" t="n">
        <v>2012</v>
      </c>
      <c r="D623" s="0" t="n">
        <v>2</v>
      </c>
      <c r="E623" s="38" t="n">
        <v>1313037.07</v>
      </c>
    </row>
    <row r="624" customFormat="false" ht="15" hidden="false" customHeight="false" outlineLevel="0" collapsed="false">
      <c r="A624" s="0" t="n">
        <v>7</v>
      </c>
      <c r="B624" s="0" t="s">
        <v>62</v>
      </c>
      <c r="C624" s="0" t="n">
        <v>2012</v>
      </c>
      <c r="D624" s="0" t="n">
        <v>3</v>
      </c>
      <c r="E624" s="38" t="n">
        <v>1600521.38</v>
      </c>
    </row>
    <row r="625" customFormat="false" ht="15" hidden="false" customHeight="false" outlineLevel="0" collapsed="false">
      <c r="A625" s="0" t="n">
        <v>7</v>
      </c>
      <c r="B625" s="0" t="s">
        <v>62</v>
      </c>
      <c r="C625" s="0" t="n">
        <v>2012</v>
      </c>
      <c r="D625" s="0" t="n">
        <v>4</v>
      </c>
      <c r="E625" s="38" t="n">
        <v>1562141.15</v>
      </c>
    </row>
    <row r="626" customFormat="false" ht="15" hidden="false" customHeight="false" outlineLevel="0" collapsed="false">
      <c r="A626" s="0" t="n">
        <v>7</v>
      </c>
      <c r="B626" s="0" t="s">
        <v>62</v>
      </c>
      <c r="C626" s="0" t="n">
        <v>2012</v>
      </c>
      <c r="D626" s="0" t="n">
        <v>5</v>
      </c>
      <c r="E626" s="38" t="n">
        <v>1874499.93</v>
      </c>
    </row>
    <row r="627" customFormat="false" ht="15" hidden="false" customHeight="false" outlineLevel="0" collapsed="false">
      <c r="A627" s="0" t="n">
        <v>7</v>
      </c>
      <c r="B627" s="0" t="s">
        <v>62</v>
      </c>
      <c r="C627" s="0" t="n">
        <v>2012</v>
      </c>
      <c r="D627" s="0" t="n">
        <v>6</v>
      </c>
      <c r="E627" s="38" t="n">
        <v>1631133.84</v>
      </c>
    </row>
    <row r="628" customFormat="false" ht="15" hidden="false" customHeight="false" outlineLevel="0" collapsed="false">
      <c r="A628" s="0" t="n">
        <v>7</v>
      </c>
      <c r="B628" s="0" t="s">
        <v>62</v>
      </c>
      <c r="C628" s="0" t="n">
        <v>2012</v>
      </c>
      <c r="D628" s="0" t="n">
        <v>7</v>
      </c>
      <c r="E628" s="38" t="n">
        <v>1254030.6</v>
      </c>
    </row>
    <row r="629" customFormat="false" ht="15" hidden="false" customHeight="false" outlineLevel="0" collapsed="false">
      <c r="A629" s="0" t="n">
        <v>7</v>
      </c>
      <c r="B629" s="0" t="s">
        <v>62</v>
      </c>
      <c r="C629" s="0" t="n">
        <v>2012</v>
      </c>
      <c r="D629" s="0" t="n">
        <v>8</v>
      </c>
      <c r="E629" s="38" t="n">
        <v>1124745.55</v>
      </c>
    </row>
    <row r="630" customFormat="false" ht="15" hidden="false" customHeight="false" outlineLevel="0" collapsed="false">
      <c r="A630" s="0" t="n">
        <v>7</v>
      </c>
      <c r="B630" s="0" t="s">
        <v>62</v>
      </c>
      <c r="C630" s="0" t="n">
        <v>2012</v>
      </c>
      <c r="D630" s="0" t="n">
        <v>9</v>
      </c>
      <c r="E630" s="38" t="n">
        <v>1418715.82</v>
      </c>
    </row>
    <row r="631" customFormat="false" ht="15" hidden="false" customHeight="false" outlineLevel="0" collapsed="false">
      <c r="A631" s="0" t="n">
        <v>7</v>
      </c>
      <c r="B631" s="0" t="s">
        <v>62</v>
      </c>
      <c r="C631" s="0" t="n">
        <v>2012</v>
      </c>
      <c r="D631" s="0" t="n">
        <v>10</v>
      </c>
      <c r="E631" s="38" t="n">
        <v>2945907.86</v>
      </c>
    </row>
    <row r="632" customFormat="false" ht="15" hidden="false" customHeight="false" outlineLevel="0" collapsed="false">
      <c r="A632" s="0" t="n">
        <v>7</v>
      </c>
      <c r="B632" s="0" t="s">
        <v>62</v>
      </c>
      <c r="C632" s="0" t="n">
        <v>2012</v>
      </c>
      <c r="D632" s="0" t="n">
        <v>11</v>
      </c>
      <c r="E632" s="38" t="n">
        <v>5219617.82</v>
      </c>
    </row>
    <row r="633" customFormat="false" ht="15" hidden="false" customHeight="false" outlineLevel="0" collapsed="false">
      <c r="A633" s="0" t="n">
        <v>7</v>
      </c>
      <c r="B633" s="0" t="s">
        <v>62</v>
      </c>
      <c r="C633" s="0" t="n">
        <v>2012</v>
      </c>
      <c r="D633" s="0" t="n">
        <v>12</v>
      </c>
      <c r="E633" s="38" t="n">
        <v>866847.1</v>
      </c>
    </row>
    <row r="634" customFormat="false" ht="15" hidden="false" customHeight="false" outlineLevel="0" collapsed="false">
      <c r="A634" s="0" t="n">
        <v>7</v>
      </c>
      <c r="B634" s="0" t="s">
        <v>62</v>
      </c>
      <c r="C634" s="0" t="n">
        <v>2013</v>
      </c>
      <c r="D634" s="0" t="n">
        <v>1</v>
      </c>
      <c r="E634" s="38" t="n">
        <v>1136401.75</v>
      </c>
    </row>
    <row r="635" customFormat="false" ht="15" hidden="false" customHeight="false" outlineLevel="0" collapsed="false">
      <c r="A635" s="0" t="n">
        <v>7</v>
      </c>
      <c r="B635" s="0" t="s">
        <v>62</v>
      </c>
      <c r="C635" s="0" t="n">
        <v>2013</v>
      </c>
      <c r="D635" s="0" t="n">
        <v>2</v>
      </c>
      <c r="E635" s="38" t="n">
        <v>1402570.88</v>
      </c>
    </row>
    <row r="636" customFormat="false" ht="15" hidden="false" customHeight="false" outlineLevel="0" collapsed="false">
      <c r="A636" s="0" t="n">
        <v>7</v>
      </c>
      <c r="B636" s="0" t="s">
        <v>62</v>
      </c>
      <c r="C636" s="0" t="n">
        <v>2013</v>
      </c>
      <c r="D636" s="0" t="n">
        <v>3</v>
      </c>
      <c r="E636" s="38" t="n">
        <v>1563279.27</v>
      </c>
    </row>
    <row r="637" customFormat="false" ht="15" hidden="false" customHeight="false" outlineLevel="0" collapsed="false">
      <c r="A637" s="0" t="n">
        <v>7</v>
      </c>
      <c r="B637" s="0" t="s">
        <v>62</v>
      </c>
      <c r="C637" s="0" t="n">
        <v>2013</v>
      </c>
      <c r="D637" s="0" t="n">
        <v>4</v>
      </c>
      <c r="E637" s="38" t="n">
        <v>1608321.38</v>
      </c>
    </row>
    <row r="638" customFormat="false" ht="15" hidden="false" customHeight="false" outlineLevel="0" collapsed="false">
      <c r="A638" s="0" t="n">
        <v>7</v>
      </c>
      <c r="B638" s="0" t="s">
        <v>62</v>
      </c>
      <c r="C638" s="0" t="n">
        <v>2013</v>
      </c>
      <c r="D638" s="0" t="n">
        <v>5</v>
      </c>
      <c r="E638" s="38" t="n">
        <v>1837646.66</v>
      </c>
    </row>
    <row r="639" customFormat="false" ht="15" hidden="false" customHeight="false" outlineLevel="0" collapsed="false">
      <c r="A639" s="0" t="n">
        <v>7</v>
      </c>
      <c r="B639" s="0" t="s">
        <v>62</v>
      </c>
      <c r="C639" s="0" t="n">
        <v>2013</v>
      </c>
      <c r="D639" s="0" t="n">
        <v>6</v>
      </c>
      <c r="E639" s="38" t="n">
        <v>1547060.92</v>
      </c>
    </row>
    <row r="640" customFormat="false" ht="15" hidden="false" customHeight="false" outlineLevel="0" collapsed="false">
      <c r="A640" s="0" t="n">
        <v>7</v>
      </c>
      <c r="B640" s="0" t="s">
        <v>62</v>
      </c>
      <c r="C640" s="0" t="n">
        <v>2013</v>
      </c>
      <c r="D640" s="0" t="n">
        <v>7</v>
      </c>
      <c r="E640" s="38" t="n">
        <v>1274694.89</v>
      </c>
    </row>
    <row r="641" customFormat="false" ht="15" hidden="false" customHeight="false" outlineLevel="0" collapsed="false">
      <c r="A641" s="0" t="n">
        <v>7</v>
      </c>
      <c r="B641" s="0" t="s">
        <v>62</v>
      </c>
      <c r="C641" s="0" t="n">
        <v>2013</v>
      </c>
      <c r="D641" s="0" t="n">
        <v>8</v>
      </c>
      <c r="E641" s="38" t="n">
        <v>1296532.04</v>
      </c>
    </row>
    <row r="642" customFormat="false" ht="15" hidden="false" customHeight="false" outlineLevel="0" collapsed="false">
      <c r="A642" s="0" t="n">
        <v>7</v>
      </c>
      <c r="B642" s="0" t="s">
        <v>64</v>
      </c>
      <c r="C642" s="0" t="n">
        <v>2011</v>
      </c>
      <c r="D642" s="0" t="n">
        <v>1</v>
      </c>
      <c r="E642" s="38" t="n">
        <v>11767.74</v>
      </c>
    </row>
    <row r="643" customFormat="false" ht="15" hidden="false" customHeight="false" outlineLevel="0" collapsed="false">
      <c r="A643" s="0" t="n">
        <v>7</v>
      </c>
      <c r="B643" s="0" t="s">
        <v>64</v>
      </c>
      <c r="C643" s="0" t="n">
        <v>2011</v>
      </c>
      <c r="D643" s="0" t="n">
        <v>2</v>
      </c>
      <c r="E643" s="38" t="n">
        <v>13789.23</v>
      </c>
    </row>
    <row r="644" customFormat="false" ht="15" hidden="false" customHeight="false" outlineLevel="0" collapsed="false">
      <c r="A644" s="0" t="n">
        <v>7</v>
      </c>
      <c r="B644" s="0" t="s">
        <v>64</v>
      </c>
      <c r="C644" s="0" t="n">
        <v>2011</v>
      </c>
      <c r="D644" s="0" t="n">
        <v>3</v>
      </c>
      <c r="E644" s="38" t="n">
        <v>21459.5</v>
      </c>
    </row>
    <row r="645" customFormat="false" ht="15" hidden="false" customHeight="false" outlineLevel="0" collapsed="false">
      <c r="A645" s="0" t="n">
        <v>7</v>
      </c>
      <c r="B645" s="0" t="s">
        <v>64</v>
      </c>
      <c r="C645" s="0" t="n">
        <v>2011</v>
      </c>
      <c r="D645" s="0" t="n">
        <v>4</v>
      </c>
      <c r="E645" s="38" t="n">
        <v>20553.04</v>
      </c>
    </row>
    <row r="646" customFormat="false" ht="15" hidden="false" customHeight="false" outlineLevel="0" collapsed="false">
      <c r="A646" s="0" t="n">
        <v>7</v>
      </c>
      <c r="B646" s="0" t="s">
        <v>64</v>
      </c>
      <c r="C646" s="0" t="n">
        <v>2011</v>
      </c>
      <c r="D646" s="0" t="n">
        <v>5</v>
      </c>
      <c r="E646" s="38" t="n">
        <v>22899.04</v>
      </c>
    </row>
    <row r="647" customFormat="false" ht="15" hidden="false" customHeight="false" outlineLevel="0" collapsed="false">
      <c r="A647" s="0" t="n">
        <v>7</v>
      </c>
      <c r="B647" s="0" t="s">
        <v>64</v>
      </c>
      <c r="C647" s="0" t="n">
        <v>2011</v>
      </c>
      <c r="D647" s="0" t="n">
        <v>6</v>
      </c>
      <c r="E647" s="38" t="n">
        <v>21155.66</v>
      </c>
    </row>
    <row r="648" customFormat="false" ht="15" hidden="false" customHeight="false" outlineLevel="0" collapsed="false">
      <c r="A648" s="0" t="n">
        <v>7</v>
      </c>
      <c r="B648" s="0" t="s">
        <v>64</v>
      </c>
      <c r="C648" s="0" t="n">
        <v>2011</v>
      </c>
      <c r="D648" s="0" t="n">
        <v>7</v>
      </c>
      <c r="E648" s="38" t="n">
        <v>17575.96</v>
      </c>
    </row>
    <row r="649" customFormat="false" ht="15" hidden="false" customHeight="false" outlineLevel="0" collapsed="false">
      <c r="A649" s="0" t="n">
        <v>7</v>
      </c>
      <c r="B649" s="0" t="s">
        <v>64</v>
      </c>
      <c r="C649" s="0" t="n">
        <v>2011</v>
      </c>
      <c r="D649" s="0" t="n">
        <v>8</v>
      </c>
      <c r="E649" s="38" t="n">
        <v>14610.67</v>
      </c>
    </row>
    <row r="650" customFormat="false" ht="15" hidden="false" customHeight="false" outlineLevel="0" collapsed="false">
      <c r="A650" s="0" t="n">
        <v>7</v>
      </c>
      <c r="B650" s="0" t="s">
        <v>64</v>
      </c>
      <c r="C650" s="0" t="n">
        <v>2011</v>
      </c>
      <c r="D650" s="0" t="n">
        <v>9</v>
      </c>
      <c r="E650" s="38" t="n">
        <v>11669.21</v>
      </c>
    </row>
    <row r="651" customFormat="false" ht="15" hidden="false" customHeight="false" outlineLevel="0" collapsed="false">
      <c r="A651" s="0" t="n">
        <v>7</v>
      </c>
      <c r="B651" s="0" t="s">
        <v>64</v>
      </c>
      <c r="C651" s="0" t="n">
        <v>2011</v>
      </c>
      <c r="D651" s="0" t="n">
        <v>10</v>
      </c>
      <c r="E651" s="38" t="n">
        <v>11248.94</v>
      </c>
    </row>
    <row r="652" customFormat="false" ht="15" hidden="false" customHeight="false" outlineLevel="0" collapsed="false">
      <c r="A652" s="0" t="n">
        <v>7</v>
      </c>
      <c r="B652" s="0" t="s">
        <v>64</v>
      </c>
      <c r="C652" s="0" t="n">
        <v>2011</v>
      </c>
      <c r="D652" s="0" t="n">
        <v>11</v>
      </c>
      <c r="E652" s="38" t="n">
        <v>23244.43</v>
      </c>
    </row>
    <row r="653" customFormat="false" ht="15" hidden="false" customHeight="false" outlineLevel="0" collapsed="false">
      <c r="A653" s="0" t="n">
        <v>7</v>
      </c>
      <c r="B653" s="0" t="s">
        <v>64</v>
      </c>
      <c r="C653" s="0" t="n">
        <v>2011</v>
      </c>
      <c r="D653" s="0" t="n">
        <v>12</v>
      </c>
      <c r="E653" s="38" t="n">
        <v>7300.16</v>
      </c>
    </row>
    <row r="654" customFormat="false" ht="15" hidden="false" customHeight="false" outlineLevel="0" collapsed="false">
      <c r="A654" s="0" t="n">
        <v>7</v>
      </c>
      <c r="B654" s="0" t="s">
        <v>64</v>
      </c>
      <c r="C654" s="0" t="n">
        <v>2012</v>
      </c>
      <c r="D654" s="0" t="n">
        <v>1</v>
      </c>
      <c r="E654" s="38" t="n">
        <v>7983.93</v>
      </c>
    </row>
    <row r="655" customFormat="false" ht="15" hidden="false" customHeight="false" outlineLevel="0" collapsed="false">
      <c r="A655" s="0" t="n">
        <v>7</v>
      </c>
      <c r="B655" s="0" t="s">
        <v>64</v>
      </c>
      <c r="C655" s="0" t="n">
        <v>2012</v>
      </c>
      <c r="D655" s="0" t="n">
        <v>2</v>
      </c>
      <c r="E655" s="38" t="n">
        <v>9742.69</v>
      </c>
    </row>
    <row r="656" customFormat="false" ht="15" hidden="false" customHeight="false" outlineLevel="0" collapsed="false">
      <c r="A656" s="0" t="n">
        <v>7</v>
      </c>
      <c r="B656" s="0" t="s">
        <v>64</v>
      </c>
      <c r="C656" s="0" t="n">
        <v>2012</v>
      </c>
      <c r="D656" s="0" t="n">
        <v>3</v>
      </c>
      <c r="E656" s="38" t="n">
        <v>14064.92</v>
      </c>
    </row>
    <row r="657" customFormat="false" ht="15" hidden="false" customHeight="false" outlineLevel="0" collapsed="false">
      <c r="A657" s="0" t="n">
        <v>7</v>
      </c>
      <c r="B657" s="0" t="s">
        <v>64</v>
      </c>
      <c r="C657" s="0" t="n">
        <v>2012</v>
      </c>
      <c r="D657" s="0" t="n">
        <v>4</v>
      </c>
      <c r="E657" s="38" t="n">
        <v>16688.45</v>
      </c>
    </row>
    <row r="658" customFormat="false" ht="15" hidden="false" customHeight="false" outlineLevel="0" collapsed="false">
      <c r="A658" s="0" t="n">
        <v>7</v>
      </c>
      <c r="B658" s="0" t="s">
        <v>64</v>
      </c>
      <c r="C658" s="0" t="n">
        <v>2012</v>
      </c>
      <c r="D658" s="0" t="n">
        <v>5</v>
      </c>
      <c r="E658" s="38" t="n">
        <v>23359.61</v>
      </c>
    </row>
    <row r="659" customFormat="false" ht="15" hidden="false" customHeight="false" outlineLevel="0" collapsed="false">
      <c r="A659" s="0" t="n">
        <v>7</v>
      </c>
      <c r="B659" s="0" t="s">
        <v>64</v>
      </c>
      <c r="C659" s="0" t="n">
        <v>2012</v>
      </c>
      <c r="D659" s="0" t="n">
        <v>6</v>
      </c>
      <c r="E659" s="38" t="n">
        <v>20641.62</v>
      </c>
    </row>
    <row r="660" customFormat="false" ht="15" hidden="false" customHeight="false" outlineLevel="0" collapsed="false">
      <c r="A660" s="0" t="n">
        <v>7</v>
      </c>
      <c r="B660" s="0" t="s">
        <v>64</v>
      </c>
      <c r="C660" s="0" t="n">
        <v>2012</v>
      </c>
      <c r="D660" s="0" t="n">
        <v>7</v>
      </c>
      <c r="E660" s="38" t="n">
        <v>11502.68</v>
      </c>
    </row>
    <row r="661" customFormat="false" ht="15" hidden="false" customHeight="false" outlineLevel="0" collapsed="false">
      <c r="A661" s="0" t="n">
        <v>7</v>
      </c>
      <c r="B661" s="0" t="s">
        <v>64</v>
      </c>
      <c r="C661" s="0" t="n">
        <v>2012</v>
      </c>
      <c r="D661" s="0" t="n">
        <v>8</v>
      </c>
      <c r="E661" s="38" t="n">
        <v>10875.64</v>
      </c>
    </row>
    <row r="662" customFormat="false" ht="15" hidden="false" customHeight="false" outlineLevel="0" collapsed="false">
      <c r="A662" s="0" t="n">
        <v>7</v>
      </c>
      <c r="B662" s="0" t="s">
        <v>64</v>
      </c>
      <c r="C662" s="0" t="n">
        <v>2012</v>
      </c>
      <c r="D662" s="0" t="n">
        <v>9</v>
      </c>
      <c r="E662" s="38" t="n">
        <v>8766.95</v>
      </c>
    </row>
    <row r="663" customFormat="false" ht="15" hidden="false" customHeight="false" outlineLevel="0" collapsed="false">
      <c r="A663" s="0" t="n">
        <v>7</v>
      </c>
      <c r="B663" s="0" t="s">
        <v>64</v>
      </c>
      <c r="C663" s="0" t="n">
        <v>2012</v>
      </c>
      <c r="D663" s="0" t="n">
        <v>10</v>
      </c>
      <c r="E663" s="38" t="n">
        <v>10164.47</v>
      </c>
    </row>
    <row r="664" customFormat="false" ht="15" hidden="false" customHeight="false" outlineLevel="0" collapsed="false">
      <c r="A664" s="0" t="n">
        <v>7</v>
      </c>
      <c r="B664" s="0" t="s">
        <v>64</v>
      </c>
      <c r="C664" s="0" t="n">
        <v>2012</v>
      </c>
      <c r="D664" s="0" t="n">
        <v>11</v>
      </c>
      <c r="E664" s="38" t="n">
        <v>20726.92</v>
      </c>
    </row>
    <row r="665" customFormat="false" ht="15" hidden="false" customHeight="false" outlineLevel="0" collapsed="false">
      <c r="A665" s="0" t="n">
        <v>7</v>
      </c>
      <c r="B665" s="0" t="s">
        <v>64</v>
      </c>
      <c r="C665" s="0" t="n">
        <v>2012</v>
      </c>
      <c r="D665" s="0" t="n">
        <v>12</v>
      </c>
      <c r="E665" s="38" t="n">
        <v>11288.45</v>
      </c>
    </row>
    <row r="666" customFormat="false" ht="15" hidden="false" customHeight="false" outlineLevel="0" collapsed="false">
      <c r="A666" s="0" t="n">
        <v>7</v>
      </c>
      <c r="B666" s="0" t="s">
        <v>64</v>
      </c>
      <c r="C666" s="0" t="n">
        <v>2013</v>
      </c>
      <c r="D666" s="0" t="n">
        <v>1</v>
      </c>
      <c r="E666" s="38" t="n">
        <v>9876.3</v>
      </c>
    </row>
    <row r="667" customFormat="false" ht="15" hidden="false" customHeight="false" outlineLevel="0" collapsed="false">
      <c r="A667" s="0" t="n">
        <v>7</v>
      </c>
      <c r="B667" s="0" t="s">
        <v>64</v>
      </c>
      <c r="C667" s="0" t="n">
        <v>2013</v>
      </c>
      <c r="D667" s="0" t="n">
        <v>2</v>
      </c>
      <c r="E667" s="38" t="n">
        <v>10200.14</v>
      </c>
    </row>
    <row r="668" customFormat="false" ht="15" hidden="false" customHeight="false" outlineLevel="0" collapsed="false">
      <c r="A668" s="0" t="n">
        <v>7</v>
      </c>
      <c r="B668" s="0" t="s">
        <v>64</v>
      </c>
      <c r="C668" s="0" t="n">
        <v>2013</v>
      </c>
      <c r="D668" s="0" t="n">
        <v>3</v>
      </c>
      <c r="E668" s="38" t="n">
        <v>16017.1</v>
      </c>
    </row>
    <row r="669" customFormat="false" ht="15" hidden="false" customHeight="false" outlineLevel="0" collapsed="false">
      <c r="A669" s="0" t="n">
        <v>7</v>
      </c>
      <c r="B669" s="0" t="s">
        <v>64</v>
      </c>
      <c r="C669" s="0" t="n">
        <v>2013</v>
      </c>
      <c r="D669" s="0" t="n">
        <v>4</v>
      </c>
      <c r="E669" s="38" t="n">
        <v>16931.75</v>
      </c>
    </row>
    <row r="670" customFormat="false" ht="15" hidden="false" customHeight="false" outlineLevel="0" collapsed="false">
      <c r="A670" s="0" t="n">
        <v>7</v>
      </c>
      <c r="B670" s="0" t="s">
        <v>64</v>
      </c>
      <c r="C670" s="0" t="n">
        <v>2013</v>
      </c>
      <c r="D670" s="0" t="n">
        <v>5</v>
      </c>
      <c r="E670" s="38" t="n">
        <v>19876.46</v>
      </c>
    </row>
    <row r="671" customFormat="false" ht="15" hidden="false" customHeight="false" outlineLevel="0" collapsed="false">
      <c r="A671" s="0" t="n">
        <v>7</v>
      </c>
      <c r="B671" s="0" t="s">
        <v>64</v>
      </c>
      <c r="C671" s="0" t="n">
        <v>2013</v>
      </c>
      <c r="D671" s="0" t="n">
        <v>6</v>
      </c>
      <c r="E671" s="38" t="n">
        <v>21174.43</v>
      </c>
    </row>
    <row r="672" customFormat="false" ht="15" hidden="false" customHeight="false" outlineLevel="0" collapsed="false">
      <c r="A672" s="0" t="n">
        <v>7</v>
      </c>
      <c r="B672" s="0" t="s">
        <v>64</v>
      </c>
      <c r="C672" s="0" t="n">
        <v>2013</v>
      </c>
      <c r="D672" s="0" t="n">
        <v>7</v>
      </c>
      <c r="E672" s="38" t="n">
        <v>10005.03</v>
      </c>
    </row>
    <row r="673" customFormat="false" ht="15" hidden="false" customHeight="false" outlineLevel="0" collapsed="false">
      <c r="A673" s="0" t="n">
        <v>7</v>
      </c>
      <c r="B673" s="0" t="s">
        <v>64</v>
      </c>
      <c r="C673" s="0" t="n">
        <v>2013</v>
      </c>
      <c r="D673" s="0" t="n">
        <v>8</v>
      </c>
      <c r="E673" s="38" t="n">
        <v>9207.63</v>
      </c>
    </row>
    <row r="674" customFormat="false" ht="15" hidden="false" customHeight="false" outlineLevel="0" collapsed="false">
      <c r="A674" s="0" t="n">
        <v>8</v>
      </c>
      <c r="B674" s="0" t="s">
        <v>60</v>
      </c>
      <c r="C674" s="0" t="n">
        <v>2011</v>
      </c>
      <c r="D674" s="0" t="n">
        <v>1</v>
      </c>
      <c r="E674" s="38" t="n">
        <v>3375817.96</v>
      </c>
    </row>
    <row r="675" customFormat="false" ht="15" hidden="false" customHeight="false" outlineLevel="0" collapsed="false">
      <c r="A675" s="0" t="n">
        <v>8</v>
      </c>
      <c r="B675" s="0" t="s">
        <v>60</v>
      </c>
      <c r="C675" s="0" t="n">
        <v>2011</v>
      </c>
      <c r="D675" s="0" t="n">
        <v>2</v>
      </c>
      <c r="E675" s="38" t="n">
        <v>3635559.18</v>
      </c>
    </row>
    <row r="676" customFormat="false" ht="15" hidden="false" customHeight="false" outlineLevel="0" collapsed="false">
      <c r="A676" s="0" t="n">
        <v>8</v>
      </c>
      <c r="B676" s="0" t="s">
        <v>60</v>
      </c>
      <c r="C676" s="0" t="n">
        <v>2011</v>
      </c>
      <c r="D676" s="0" t="n">
        <v>3</v>
      </c>
      <c r="E676" s="38" t="n">
        <v>3422230.82</v>
      </c>
    </row>
    <row r="677" customFormat="false" ht="15" hidden="false" customHeight="false" outlineLevel="0" collapsed="false">
      <c r="A677" s="0" t="n">
        <v>8</v>
      </c>
      <c r="B677" s="0" t="s">
        <v>60</v>
      </c>
      <c r="C677" s="0" t="n">
        <v>2011</v>
      </c>
      <c r="D677" s="0" t="n">
        <v>4</v>
      </c>
      <c r="E677" s="38" t="n">
        <v>3557913.09</v>
      </c>
    </row>
    <row r="678" customFormat="false" ht="15" hidden="false" customHeight="false" outlineLevel="0" collapsed="false">
      <c r="A678" s="0" t="n">
        <v>8</v>
      </c>
      <c r="B678" s="0" t="s">
        <v>60</v>
      </c>
      <c r="C678" s="0" t="n">
        <v>2011</v>
      </c>
      <c r="D678" s="0" t="n">
        <v>5</v>
      </c>
      <c r="E678" s="38" t="n">
        <v>3413805.66</v>
      </c>
    </row>
    <row r="679" customFormat="false" ht="15" hidden="false" customHeight="false" outlineLevel="0" collapsed="false">
      <c r="A679" s="0" t="n">
        <v>8</v>
      </c>
      <c r="B679" s="0" t="s">
        <v>60</v>
      </c>
      <c r="C679" s="0" t="n">
        <v>2011</v>
      </c>
      <c r="D679" s="0" t="n">
        <v>6</v>
      </c>
      <c r="E679" s="38" t="n">
        <v>3495146.39</v>
      </c>
    </row>
    <row r="680" customFormat="false" ht="15" hidden="false" customHeight="false" outlineLevel="0" collapsed="false">
      <c r="A680" s="0" t="n">
        <v>8</v>
      </c>
      <c r="B680" s="0" t="s">
        <v>60</v>
      </c>
      <c r="C680" s="0" t="n">
        <v>2011</v>
      </c>
      <c r="D680" s="0" t="n">
        <v>7</v>
      </c>
      <c r="E680" s="38" t="n">
        <v>3453688.8</v>
      </c>
    </row>
    <row r="681" customFormat="false" ht="15" hidden="false" customHeight="false" outlineLevel="0" collapsed="false">
      <c r="A681" s="0" t="n">
        <v>8</v>
      </c>
      <c r="B681" s="0" t="s">
        <v>60</v>
      </c>
      <c r="C681" s="0" t="n">
        <v>2011</v>
      </c>
      <c r="D681" s="0" t="n">
        <v>8</v>
      </c>
      <c r="E681" s="38" t="n">
        <v>3380706.49</v>
      </c>
    </row>
    <row r="682" customFormat="false" ht="15" hidden="false" customHeight="false" outlineLevel="0" collapsed="false">
      <c r="A682" s="0" t="n">
        <v>8</v>
      </c>
      <c r="B682" s="0" t="s">
        <v>60</v>
      </c>
      <c r="C682" s="0" t="n">
        <v>2011</v>
      </c>
      <c r="D682" s="0" t="n">
        <v>9</v>
      </c>
      <c r="E682" s="38" t="n">
        <v>3580815.65</v>
      </c>
    </row>
    <row r="683" customFormat="false" ht="15" hidden="false" customHeight="false" outlineLevel="0" collapsed="false">
      <c r="A683" s="0" t="n">
        <v>8</v>
      </c>
      <c r="B683" s="0" t="s">
        <v>60</v>
      </c>
      <c r="C683" s="0" t="n">
        <v>2011</v>
      </c>
      <c r="D683" s="0" t="n">
        <v>10</v>
      </c>
      <c r="E683" s="38" t="n">
        <v>3527213.62</v>
      </c>
    </row>
    <row r="684" customFormat="false" ht="15" hidden="false" customHeight="false" outlineLevel="0" collapsed="false">
      <c r="A684" s="0" t="n">
        <v>8</v>
      </c>
      <c r="B684" s="0" t="s">
        <v>60</v>
      </c>
      <c r="C684" s="0" t="n">
        <v>2011</v>
      </c>
      <c r="D684" s="0" t="n">
        <v>11</v>
      </c>
      <c r="E684" s="38" t="n">
        <v>3919361.31</v>
      </c>
    </row>
    <row r="685" customFormat="false" ht="15" hidden="false" customHeight="false" outlineLevel="0" collapsed="false">
      <c r="A685" s="0" t="n">
        <v>8</v>
      </c>
      <c r="B685" s="0" t="s">
        <v>60</v>
      </c>
      <c r="C685" s="0" t="n">
        <v>2011</v>
      </c>
      <c r="D685" s="0" t="n">
        <v>12</v>
      </c>
      <c r="E685" s="38" t="n">
        <v>3496012.95</v>
      </c>
    </row>
    <row r="686" customFormat="false" ht="15" hidden="false" customHeight="false" outlineLevel="0" collapsed="false">
      <c r="A686" s="0" t="n">
        <v>8</v>
      </c>
      <c r="B686" s="0" t="s">
        <v>60</v>
      </c>
      <c r="C686" s="0" t="n">
        <v>2012</v>
      </c>
      <c r="D686" s="0" t="n">
        <v>1</v>
      </c>
      <c r="E686" s="38" t="n">
        <v>3284787.61</v>
      </c>
    </row>
    <row r="687" customFormat="false" ht="15" hidden="false" customHeight="false" outlineLevel="0" collapsed="false">
      <c r="A687" s="0" t="n">
        <v>8</v>
      </c>
      <c r="B687" s="0" t="s">
        <v>60</v>
      </c>
      <c r="C687" s="0" t="n">
        <v>2012</v>
      </c>
      <c r="D687" s="0" t="n">
        <v>2</v>
      </c>
      <c r="E687" s="38" t="n">
        <v>3512652.81</v>
      </c>
    </row>
    <row r="688" customFormat="false" ht="15" hidden="false" customHeight="false" outlineLevel="0" collapsed="false">
      <c r="A688" s="0" t="n">
        <v>8</v>
      </c>
      <c r="B688" s="0" t="s">
        <v>60</v>
      </c>
      <c r="C688" s="0" t="n">
        <v>2012</v>
      </c>
      <c r="D688" s="0" t="n">
        <v>3</v>
      </c>
      <c r="E688" s="38" t="n">
        <v>3370586.66</v>
      </c>
    </row>
    <row r="689" customFormat="false" ht="15" hidden="false" customHeight="false" outlineLevel="0" collapsed="false">
      <c r="A689" s="0" t="n">
        <v>8</v>
      </c>
      <c r="B689" s="0" t="s">
        <v>60</v>
      </c>
      <c r="C689" s="0" t="n">
        <v>2012</v>
      </c>
      <c r="D689" s="0" t="n">
        <v>4</v>
      </c>
      <c r="E689" s="38" t="n">
        <v>3597034.24</v>
      </c>
    </row>
    <row r="690" customFormat="false" ht="15" hidden="false" customHeight="false" outlineLevel="0" collapsed="false">
      <c r="A690" s="0" t="n">
        <v>8</v>
      </c>
      <c r="B690" s="0" t="s">
        <v>60</v>
      </c>
      <c r="C690" s="0" t="n">
        <v>2012</v>
      </c>
      <c r="D690" s="0" t="n">
        <v>5</v>
      </c>
      <c r="E690" s="38" t="n">
        <v>3499204.6</v>
      </c>
    </row>
    <row r="691" customFormat="false" ht="15" hidden="false" customHeight="false" outlineLevel="0" collapsed="false">
      <c r="A691" s="0" t="n">
        <v>8</v>
      </c>
      <c r="B691" s="0" t="s">
        <v>60</v>
      </c>
      <c r="C691" s="0" t="n">
        <v>2012</v>
      </c>
      <c r="D691" s="0" t="n">
        <v>6</v>
      </c>
      <c r="E691" s="38" t="n">
        <v>3511463.32</v>
      </c>
    </row>
    <row r="692" customFormat="false" ht="15" hidden="false" customHeight="false" outlineLevel="0" collapsed="false">
      <c r="A692" s="0" t="n">
        <v>8</v>
      </c>
      <c r="B692" s="0" t="s">
        <v>60</v>
      </c>
      <c r="C692" s="0" t="n">
        <v>2012</v>
      </c>
      <c r="D692" s="0" t="n">
        <v>7</v>
      </c>
      <c r="E692" s="38" t="n">
        <v>3527679.99</v>
      </c>
    </row>
    <row r="693" customFormat="false" ht="15" hidden="false" customHeight="false" outlineLevel="0" collapsed="false">
      <c r="A693" s="0" t="n">
        <v>8</v>
      </c>
      <c r="B693" s="0" t="s">
        <v>60</v>
      </c>
      <c r="C693" s="0" t="n">
        <v>2012</v>
      </c>
      <c r="D693" s="0" t="n">
        <v>8</v>
      </c>
      <c r="E693" s="38" t="n">
        <v>3418989.63</v>
      </c>
    </row>
    <row r="694" customFormat="false" ht="15" hidden="false" customHeight="false" outlineLevel="0" collapsed="false">
      <c r="A694" s="0" t="n">
        <v>8</v>
      </c>
      <c r="B694" s="0" t="s">
        <v>60</v>
      </c>
      <c r="C694" s="0" t="n">
        <v>2012</v>
      </c>
      <c r="D694" s="0" t="n">
        <v>9</v>
      </c>
      <c r="E694" s="38" t="n">
        <v>3637283.5</v>
      </c>
    </row>
    <row r="695" customFormat="false" ht="15" hidden="false" customHeight="false" outlineLevel="0" collapsed="false">
      <c r="A695" s="0" t="n">
        <v>8</v>
      </c>
      <c r="B695" s="0" t="s">
        <v>60</v>
      </c>
      <c r="C695" s="0" t="n">
        <v>2012</v>
      </c>
      <c r="D695" s="0" t="n">
        <v>10</v>
      </c>
      <c r="E695" s="38" t="n">
        <v>3526795.15</v>
      </c>
    </row>
    <row r="696" customFormat="false" ht="15" hidden="false" customHeight="false" outlineLevel="0" collapsed="false">
      <c r="A696" s="0" t="n">
        <v>8</v>
      </c>
      <c r="B696" s="0" t="s">
        <v>60</v>
      </c>
      <c r="C696" s="0" t="n">
        <v>2012</v>
      </c>
      <c r="D696" s="0" t="n">
        <v>11</v>
      </c>
      <c r="E696" s="38" t="n">
        <v>3913308.66</v>
      </c>
    </row>
    <row r="697" customFormat="false" ht="15" hidden="false" customHeight="false" outlineLevel="0" collapsed="false">
      <c r="A697" s="0" t="n">
        <v>8</v>
      </c>
      <c r="B697" s="0" t="s">
        <v>60</v>
      </c>
      <c r="C697" s="0" t="n">
        <v>2012</v>
      </c>
      <c r="D697" s="0" t="n">
        <v>12</v>
      </c>
      <c r="E697" s="38" t="n">
        <v>3498954.13</v>
      </c>
    </row>
    <row r="698" customFormat="false" ht="15" hidden="false" customHeight="false" outlineLevel="0" collapsed="false">
      <c r="A698" s="0" t="n">
        <v>8</v>
      </c>
      <c r="B698" s="0" t="s">
        <v>60</v>
      </c>
      <c r="C698" s="0" t="n">
        <v>2013</v>
      </c>
      <c r="D698" s="0" t="n">
        <v>1</v>
      </c>
      <c r="E698" s="38" t="n">
        <v>3491189.97</v>
      </c>
    </row>
    <row r="699" customFormat="false" ht="15" hidden="false" customHeight="false" outlineLevel="0" collapsed="false">
      <c r="A699" s="0" t="n">
        <v>8</v>
      </c>
      <c r="B699" s="0" t="s">
        <v>60</v>
      </c>
      <c r="C699" s="0" t="n">
        <v>2013</v>
      </c>
      <c r="D699" s="0" t="n">
        <v>2</v>
      </c>
      <c r="E699" s="38" t="n">
        <v>3651202.89</v>
      </c>
    </row>
    <row r="700" customFormat="false" ht="15" hidden="false" customHeight="false" outlineLevel="0" collapsed="false">
      <c r="A700" s="0" t="n">
        <v>8</v>
      </c>
      <c r="B700" s="0" t="s">
        <v>60</v>
      </c>
      <c r="C700" s="0" t="n">
        <v>2013</v>
      </c>
      <c r="D700" s="0" t="n">
        <v>3</v>
      </c>
      <c r="E700" s="38" t="n">
        <v>3557132.89</v>
      </c>
    </row>
    <row r="701" customFormat="false" ht="15" hidden="false" customHeight="false" outlineLevel="0" collapsed="false">
      <c r="A701" s="0" t="n">
        <v>8</v>
      </c>
      <c r="B701" s="0" t="s">
        <v>60</v>
      </c>
      <c r="C701" s="0" t="n">
        <v>2013</v>
      </c>
      <c r="D701" s="0" t="n">
        <v>4</v>
      </c>
      <c r="E701" s="38" t="n">
        <v>3664182.87</v>
      </c>
    </row>
    <row r="702" customFormat="false" ht="15" hidden="false" customHeight="false" outlineLevel="0" collapsed="false">
      <c r="A702" s="0" t="n">
        <v>8</v>
      </c>
      <c r="B702" s="0" t="s">
        <v>60</v>
      </c>
      <c r="C702" s="0" t="n">
        <v>2013</v>
      </c>
      <c r="D702" s="0" t="n">
        <v>5</v>
      </c>
      <c r="E702" s="38" t="n">
        <v>3546395.41</v>
      </c>
    </row>
    <row r="703" customFormat="false" ht="15" hidden="false" customHeight="false" outlineLevel="0" collapsed="false">
      <c r="A703" s="0" t="n">
        <v>8</v>
      </c>
      <c r="B703" s="0" t="s">
        <v>60</v>
      </c>
      <c r="C703" s="0" t="n">
        <v>2013</v>
      </c>
      <c r="D703" s="0" t="n">
        <v>6</v>
      </c>
      <c r="E703" s="38" t="n">
        <v>3648856.68</v>
      </c>
    </row>
    <row r="704" customFormat="false" ht="15" hidden="false" customHeight="false" outlineLevel="0" collapsed="false">
      <c r="A704" s="0" t="n">
        <v>8</v>
      </c>
      <c r="B704" s="0" t="s">
        <v>60</v>
      </c>
      <c r="C704" s="0" t="n">
        <v>2013</v>
      </c>
      <c r="D704" s="0" t="n">
        <v>7</v>
      </c>
      <c r="E704" s="38" t="n">
        <v>3632477.14</v>
      </c>
    </row>
    <row r="705" customFormat="false" ht="15" hidden="false" customHeight="false" outlineLevel="0" collapsed="false">
      <c r="A705" s="0" t="n">
        <v>8</v>
      </c>
      <c r="B705" s="0" t="s">
        <v>60</v>
      </c>
      <c r="C705" s="0" t="n">
        <v>2013</v>
      </c>
      <c r="D705" s="0" t="n">
        <v>8</v>
      </c>
      <c r="E705" s="38" t="n">
        <v>3527775.07</v>
      </c>
    </row>
    <row r="706" customFormat="false" ht="15" hidden="false" customHeight="false" outlineLevel="0" collapsed="false">
      <c r="A706" s="0" t="n">
        <v>8</v>
      </c>
      <c r="B706" s="0" t="s">
        <v>62</v>
      </c>
      <c r="C706" s="0" t="n">
        <v>2011</v>
      </c>
      <c r="D706" s="0" t="n">
        <v>1</v>
      </c>
      <c r="E706" s="38" t="n">
        <v>1980754.45</v>
      </c>
    </row>
    <row r="707" customFormat="false" ht="15" hidden="false" customHeight="false" outlineLevel="0" collapsed="false">
      <c r="A707" s="0" t="n">
        <v>8</v>
      </c>
      <c r="B707" s="0" t="s">
        <v>62</v>
      </c>
      <c r="C707" s="0" t="n">
        <v>2011</v>
      </c>
      <c r="D707" s="0" t="n">
        <v>2</v>
      </c>
      <c r="E707" s="38" t="n">
        <v>2144638.6</v>
      </c>
    </row>
    <row r="708" customFormat="false" ht="15" hidden="false" customHeight="false" outlineLevel="0" collapsed="false">
      <c r="A708" s="0" t="n">
        <v>8</v>
      </c>
      <c r="B708" s="0" t="s">
        <v>62</v>
      </c>
      <c r="C708" s="0" t="n">
        <v>2011</v>
      </c>
      <c r="D708" s="0" t="n">
        <v>3</v>
      </c>
      <c r="E708" s="38" t="n">
        <v>2040866.39</v>
      </c>
    </row>
    <row r="709" customFormat="false" ht="15" hidden="false" customHeight="false" outlineLevel="0" collapsed="false">
      <c r="A709" s="0" t="n">
        <v>8</v>
      </c>
      <c r="B709" s="0" t="s">
        <v>62</v>
      </c>
      <c r="C709" s="0" t="n">
        <v>2011</v>
      </c>
      <c r="D709" s="0" t="n">
        <v>4</v>
      </c>
      <c r="E709" s="38" t="n">
        <v>2093267.38</v>
      </c>
    </row>
    <row r="710" customFormat="false" ht="15" hidden="false" customHeight="false" outlineLevel="0" collapsed="false">
      <c r="A710" s="0" t="n">
        <v>8</v>
      </c>
      <c r="B710" s="0" t="s">
        <v>62</v>
      </c>
      <c r="C710" s="0" t="n">
        <v>2011</v>
      </c>
      <c r="D710" s="0" t="n">
        <v>5</v>
      </c>
      <c r="E710" s="38" t="n">
        <v>2033142.81</v>
      </c>
    </row>
    <row r="711" customFormat="false" ht="15" hidden="false" customHeight="false" outlineLevel="0" collapsed="false">
      <c r="A711" s="0" t="n">
        <v>8</v>
      </c>
      <c r="B711" s="0" t="s">
        <v>62</v>
      </c>
      <c r="C711" s="0" t="n">
        <v>2011</v>
      </c>
      <c r="D711" s="0" t="n">
        <v>6</v>
      </c>
      <c r="E711" s="38" t="n">
        <v>2033463.77</v>
      </c>
    </row>
    <row r="712" customFormat="false" ht="15" hidden="false" customHeight="false" outlineLevel="0" collapsed="false">
      <c r="A712" s="0" t="n">
        <v>8</v>
      </c>
      <c r="B712" s="0" t="s">
        <v>62</v>
      </c>
      <c r="C712" s="0" t="n">
        <v>2011</v>
      </c>
      <c r="D712" s="0" t="n">
        <v>7</v>
      </c>
      <c r="E712" s="38" t="n">
        <v>2035484.76</v>
      </c>
    </row>
    <row r="713" customFormat="false" ht="15" hidden="false" customHeight="false" outlineLevel="0" collapsed="false">
      <c r="A713" s="0" t="n">
        <v>8</v>
      </c>
      <c r="B713" s="0" t="s">
        <v>62</v>
      </c>
      <c r="C713" s="0" t="n">
        <v>2011</v>
      </c>
      <c r="D713" s="0" t="n">
        <v>8</v>
      </c>
      <c r="E713" s="38" t="n">
        <v>1962152.1</v>
      </c>
    </row>
    <row r="714" customFormat="false" ht="15" hidden="false" customHeight="false" outlineLevel="0" collapsed="false">
      <c r="A714" s="0" t="n">
        <v>8</v>
      </c>
      <c r="B714" s="0" t="s">
        <v>62</v>
      </c>
      <c r="C714" s="0" t="n">
        <v>2011</v>
      </c>
      <c r="D714" s="0" t="n">
        <v>9</v>
      </c>
      <c r="E714" s="38" t="n">
        <v>2073211.38</v>
      </c>
    </row>
    <row r="715" customFormat="false" ht="15" hidden="false" customHeight="false" outlineLevel="0" collapsed="false">
      <c r="A715" s="0" t="n">
        <v>8</v>
      </c>
      <c r="B715" s="0" t="s">
        <v>62</v>
      </c>
      <c r="C715" s="0" t="n">
        <v>2011</v>
      </c>
      <c r="D715" s="0" t="n">
        <v>10</v>
      </c>
      <c r="E715" s="38" t="n">
        <v>2046735.71</v>
      </c>
    </row>
    <row r="716" customFormat="false" ht="15" hidden="false" customHeight="false" outlineLevel="0" collapsed="false">
      <c r="A716" s="0" t="n">
        <v>8</v>
      </c>
      <c r="B716" s="0" t="s">
        <v>62</v>
      </c>
      <c r="C716" s="0" t="n">
        <v>2011</v>
      </c>
      <c r="D716" s="0" t="n">
        <v>11</v>
      </c>
      <c r="E716" s="38" t="n">
        <v>2265248.84</v>
      </c>
    </row>
    <row r="717" customFormat="false" ht="15" hidden="false" customHeight="false" outlineLevel="0" collapsed="false">
      <c r="A717" s="0" t="n">
        <v>8</v>
      </c>
      <c r="B717" s="0" t="s">
        <v>62</v>
      </c>
      <c r="C717" s="0" t="n">
        <v>2011</v>
      </c>
      <c r="D717" s="0" t="n">
        <v>12</v>
      </c>
      <c r="E717" s="38" t="n">
        <v>1995636.55</v>
      </c>
    </row>
    <row r="718" customFormat="false" ht="15" hidden="false" customHeight="false" outlineLevel="0" collapsed="false">
      <c r="A718" s="0" t="n">
        <v>8</v>
      </c>
      <c r="B718" s="0" t="s">
        <v>62</v>
      </c>
      <c r="C718" s="0" t="n">
        <v>2012</v>
      </c>
      <c r="D718" s="0" t="n">
        <v>1</v>
      </c>
      <c r="E718" s="38" t="n">
        <v>1887484.61</v>
      </c>
    </row>
    <row r="719" customFormat="false" ht="15" hidden="false" customHeight="false" outlineLevel="0" collapsed="false">
      <c r="A719" s="0" t="n">
        <v>8</v>
      </c>
      <c r="B719" s="0" t="s">
        <v>62</v>
      </c>
      <c r="C719" s="0" t="n">
        <v>2012</v>
      </c>
      <c r="D719" s="0" t="n">
        <v>2</v>
      </c>
      <c r="E719" s="38" t="n">
        <v>2020451.23</v>
      </c>
    </row>
    <row r="720" customFormat="false" ht="15" hidden="false" customHeight="false" outlineLevel="0" collapsed="false">
      <c r="A720" s="0" t="n">
        <v>8</v>
      </c>
      <c r="B720" s="0" t="s">
        <v>62</v>
      </c>
      <c r="C720" s="0" t="n">
        <v>2012</v>
      </c>
      <c r="D720" s="0" t="n">
        <v>3</v>
      </c>
      <c r="E720" s="38" t="n">
        <v>1937515.3</v>
      </c>
    </row>
    <row r="721" customFormat="false" ht="15" hidden="false" customHeight="false" outlineLevel="0" collapsed="false">
      <c r="A721" s="0" t="n">
        <v>8</v>
      </c>
      <c r="B721" s="0" t="s">
        <v>62</v>
      </c>
      <c r="C721" s="0" t="n">
        <v>2012</v>
      </c>
      <c r="D721" s="0" t="n">
        <v>4</v>
      </c>
      <c r="E721" s="38" t="n">
        <v>2025024.03</v>
      </c>
    </row>
    <row r="722" customFormat="false" ht="15" hidden="false" customHeight="false" outlineLevel="0" collapsed="false">
      <c r="A722" s="0" t="n">
        <v>8</v>
      </c>
      <c r="B722" s="0" t="s">
        <v>62</v>
      </c>
      <c r="C722" s="0" t="n">
        <v>2012</v>
      </c>
      <c r="D722" s="0" t="n">
        <v>5</v>
      </c>
      <c r="E722" s="38" t="n">
        <v>1999215.22</v>
      </c>
    </row>
    <row r="723" customFormat="false" ht="15" hidden="false" customHeight="false" outlineLevel="0" collapsed="false">
      <c r="A723" s="0" t="n">
        <v>8</v>
      </c>
      <c r="B723" s="0" t="s">
        <v>62</v>
      </c>
      <c r="C723" s="0" t="n">
        <v>2012</v>
      </c>
      <c r="D723" s="0" t="n">
        <v>6</v>
      </c>
      <c r="E723" s="38" t="n">
        <v>1998349.75</v>
      </c>
    </row>
    <row r="724" customFormat="false" ht="15" hidden="false" customHeight="false" outlineLevel="0" collapsed="false">
      <c r="A724" s="0" t="n">
        <v>8</v>
      </c>
      <c r="B724" s="0" t="s">
        <v>62</v>
      </c>
      <c r="C724" s="0" t="n">
        <v>2012</v>
      </c>
      <c r="D724" s="0" t="n">
        <v>7</v>
      </c>
      <c r="E724" s="38" t="n">
        <v>2010008.32</v>
      </c>
    </row>
    <row r="725" customFormat="false" ht="15" hidden="false" customHeight="false" outlineLevel="0" collapsed="false">
      <c r="A725" s="0" t="n">
        <v>8</v>
      </c>
      <c r="B725" s="0" t="s">
        <v>62</v>
      </c>
      <c r="C725" s="0" t="n">
        <v>2012</v>
      </c>
      <c r="D725" s="0" t="n">
        <v>8</v>
      </c>
      <c r="E725" s="38" t="n">
        <v>1941509.62</v>
      </c>
    </row>
    <row r="726" customFormat="false" ht="15" hidden="false" customHeight="false" outlineLevel="0" collapsed="false">
      <c r="A726" s="0" t="n">
        <v>8</v>
      </c>
      <c r="B726" s="0" t="s">
        <v>62</v>
      </c>
      <c r="C726" s="0" t="n">
        <v>2012</v>
      </c>
      <c r="D726" s="0" t="n">
        <v>9</v>
      </c>
      <c r="E726" s="38" t="n">
        <v>2068966.84</v>
      </c>
    </row>
    <row r="727" customFormat="false" ht="15" hidden="false" customHeight="false" outlineLevel="0" collapsed="false">
      <c r="A727" s="0" t="n">
        <v>8</v>
      </c>
      <c r="B727" s="0" t="s">
        <v>62</v>
      </c>
      <c r="C727" s="0" t="n">
        <v>2012</v>
      </c>
      <c r="D727" s="0" t="n">
        <v>10</v>
      </c>
      <c r="E727" s="38" t="n">
        <v>2023328.4</v>
      </c>
    </row>
    <row r="728" customFormat="false" ht="15" hidden="false" customHeight="false" outlineLevel="0" collapsed="false">
      <c r="A728" s="0" t="n">
        <v>8</v>
      </c>
      <c r="B728" s="0" t="s">
        <v>62</v>
      </c>
      <c r="C728" s="0" t="n">
        <v>2012</v>
      </c>
      <c r="D728" s="0" t="n">
        <v>11</v>
      </c>
      <c r="E728" s="38" t="n">
        <v>2256644.59</v>
      </c>
    </row>
    <row r="729" customFormat="false" ht="15" hidden="false" customHeight="false" outlineLevel="0" collapsed="false">
      <c r="A729" s="0" t="n">
        <v>8</v>
      </c>
      <c r="B729" s="0" t="s">
        <v>62</v>
      </c>
      <c r="C729" s="0" t="n">
        <v>2012</v>
      </c>
      <c r="D729" s="0" t="n">
        <v>12</v>
      </c>
      <c r="E729" s="38" t="n">
        <v>1965681.73</v>
      </c>
    </row>
    <row r="730" customFormat="false" ht="15" hidden="false" customHeight="false" outlineLevel="0" collapsed="false">
      <c r="A730" s="0" t="n">
        <v>8</v>
      </c>
      <c r="B730" s="0" t="s">
        <v>62</v>
      </c>
      <c r="C730" s="0" t="n">
        <v>2013</v>
      </c>
      <c r="D730" s="0" t="n">
        <v>1</v>
      </c>
      <c r="E730" s="38" t="n">
        <v>1966117.83</v>
      </c>
    </row>
    <row r="731" customFormat="false" ht="15" hidden="false" customHeight="false" outlineLevel="0" collapsed="false">
      <c r="A731" s="0" t="n">
        <v>8</v>
      </c>
      <c r="B731" s="0" t="s">
        <v>62</v>
      </c>
      <c r="C731" s="0" t="n">
        <v>2013</v>
      </c>
      <c r="D731" s="0" t="n">
        <v>2</v>
      </c>
      <c r="E731" s="38" t="n">
        <v>2072090.42</v>
      </c>
    </row>
    <row r="732" customFormat="false" ht="15" hidden="false" customHeight="false" outlineLevel="0" collapsed="false">
      <c r="A732" s="0" t="n">
        <v>8</v>
      </c>
      <c r="B732" s="0" t="s">
        <v>62</v>
      </c>
      <c r="C732" s="0" t="n">
        <v>2013</v>
      </c>
      <c r="D732" s="0" t="n">
        <v>3</v>
      </c>
      <c r="E732" s="38" t="n">
        <v>1993718.12</v>
      </c>
    </row>
    <row r="733" customFormat="false" ht="15" hidden="false" customHeight="false" outlineLevel="0" collapsed="false">
      <c r="A733" s="0" t="n">
        <v>8</v>
      </c>
      <c r="B733" s="0" t="s">
        <v>62</v>
      </c>
      <c r="C733" s="0" t="n">
        <v>2013</v>
      </c>
      <c r="D733" s="0" t="n">
        <v>4</v>
      </c>
      <c r="E733" s="38" t="n">
        <v>2048574.31</v>
      </c>
    </row>
    <row r="734" customFormat="false" ht="15" hidden="false" customHeight="false" outlineLevel="0" collapsed="false">
      <c r="A734" s="0" t="n">
        <v>8</v>
      </c>
      <c r="B734" s="0" t="s">
        <v>62</v>
      </c>
      <c r="C734" s="0" t="n">
        <v>2013</v>
      </c>
      <c r="D734" s="0" t="n">
        <v>5</v>
      </c>
      <c r="E734" s="38" t="n">
        <v>2011375.13</v>
      </c>
    </row>
    <row r="735" customFormat="false" ht="15" hidden="false" customHeight="false" outlineLevel="0" collapsed="false">
      <c r="A735" s="0" t="n">
        <v>8</v>
      </c>
      <c r="B735" s="0" t="s">
        <v>62</v>
      </c>
      <c r="C735" s="0" t="n">
        <v>2013</v>
      </c>
      <c r="D735" s="0" t="n">
        <v>6</v>
      </c>
      <c r="E735" s="38" t="n">
        <v>2061932.57</v>
      </c>
    </row>
    <row r="736" customFormat="false" ht="15" hidden="false" customHeight="false" outlineLevel="0" collapsed="false">
      <c r="A736" s="0" t="n">
        <v>8</v>
      </c>
      <c r="B736" s="0" t="s">
        <v>62</v>
      </c>
      <c r="C736" s="0" t="n">
        <v>2013</v>
      </c>
      <c r="D736" s="0" t="n">
        <v>7</v>
      </c>
      <c r="E736" s="38" t="n">
        <v>2063035.64</v>
      </c>
    </row>
    <row r="737" customFormat="false" ht="15" hidden="false" customHeight="false" outlineLevel="0" collapsed="false">
      <c r="A737" s="0" t="n">
        <v>8</v>
      </c>
      <c r="B737" s="0" t="s">
        <v>62</v>
      </c>
      <c r="C737" s="0" t="n">
        <v>2013</v>
      </c>
      <c r="D737" s="0" t="n">
        <v>8</v>
      </c>
      <c r="E737" s="38" t="n">
        <v>2013803.55</v>
      </c>
    </row>
    <row r="738" customFormat="false" ht="15" hidden="false" customHeight="false" outlineLevel="0" collapsed="false">
      <c r="A738" s="0" t="n">
        <v>8</v>
      </c>
      <c r="B738" s="0" t="s">
        <v>64</v>
      </c>
      <c r="C738" s="0" t="n">
        <v>2011</v>
      </c>
      <c r="D738" s="0" t="n">
        <v>1</v>
      </c>
      <c r="E738" s="38" t="n">
        <v>307184.13</v>
      </c>
    </row>
    <row r="739" customFormat="false" ht="15" hidden="false" customHeight="false" outlineLevel="0" collapsed="false">
      <c r="A739" s="0" t="n">
        <v>8</v>
      </c>
      <c r="B739" s="0" t="s">
        <v>64</v>
      </c>
      <c r="C739" s="0" t="n">
        <v>2011</v>
      </c>
      <c r="D739" s="0" t="n">
        <v>2</v>
      </c>
      <c r="E739" s="38" t="n">
        <v>330513.81</v>
      </c>
    </row>
    <row r="740" customFormat="false" ht="15" hidden="false" customHeight="false" outlineLevel="0" collapsed="false">
      <c r="A740" s="0" t="n">
        <v>8</v>
      </c>
      <c r="B740" s="0" t="s">
        <v>64</v>
      </c>
      <c r="C740" s="0" t="n">
        <v>2011</v>
      </c>
      <c r="D740" s="0" t="n">
        <v>3</v>
      </c>
      <c r="E740" s="38" t="n">
        <v>311621.73</v>
      </c>
    </row>
    <row r="741" customFormat="false" ht="15" hidden="false" customHeight="false" outlineLevel="0" collapsed="false">
      <c r="A741" s="0" t="n">
        <v>8</v>
      </c>
      <c r="B741" s="0" t="s">
        <v>64</v>
      </c>
      <c r="C741" s="0" t="n">
        <v>2011</v>
      </c>
      <c r="D741" s="0" t="n">
        <v>4</v>
      </c>
      <c r="E741" s="38" t="n">
        <v>318965.84</v>
      </c>
    </row>
    <row r="742" customFormat="false" ht="15" hidden="false" customHeight="false" outlineLevel="0" collapsed="false">
      <c r="A742" s="0" t="n">
        <v>8</v>
      </c>
      <c r="B742" s="0" t="s">
        <v>64</v>
      </c>
      <c r="C742" s="0" t="n">
        <v>2011</v>
      </c>
      <c r="D742" s="0" t="n">
        <v>5</v>
      </c>
      <c r="E742" s="38" t="n">
        <v>305023.14</v>
      </c>
    </row>
    <row r="743" customFormat="false" ht="15" hidden="false" customHeight="false" outlineLevel="0" collapsed="false">
      <c r="A743" s="0" t="n">
        <v>8</v>
      </c>
      <c r="B743" s="0" t="s">
        <v>64</v>
      </c>
      <c r="C743" s="0" t="n">
        <v>2011</v>
      </c>
      <c r="D743" s="0" t="n">
        <v>6</v>
      </c>
      <c r="E743" s="38" t="n">
        <v>311816.67</v>
      </c>
    </row>
    <row r="744" customFormat="false" ht="15" hidden="false" customHeight="false" outlineLevel="0" collapsed="false">
      <c r="A744" s="0" t="n">
        <v>8</v>
      </c>
      <c r="B744" s="0" t="s">
        <v>64</v>
      </c>
      <c r="C744" s="0" t="n">
        <v>2011</v>
      </c>
      <c r="D744" s="0" t="n">
        <v>7</v>
      </c>
      <c r="E744" s="38" t="n">
        <v>311890.84</v>
      </c>
    </row>
    <row r="745" customFormat="false" ht="15" hidden="false" customHeight="false" outlineLevel="0" collapsed="false">
      <c r="A745" s="0" t="n">
        <v>8</v>
      </c>
      <c r="B745" s="0" t="s">
        <v>64</v>
      </c>
      <c r="C745" s="0" t="n">
        <v>2011</v>
      </c>
      <c r="D745" s="0" t="n">
        <v>8</v>
      </c>
      <c r="E745" s="38" t="n">
        <v>309364.66</v>
      </c>
    </row>
    <row r="746" customFormat="false" ht="15" hidden="false" customHeight="false" outlineLevel="0" collapsed="false">
      <c r="A746" s="0" t="n">
        <v>8</v>
      </c>
      <c r="B746" s="0" t="s">
        <v>64</v>
      </c>
      <c r="C746" s="0" t="n">
        <v>2011</v>
      </c>
      <c r="D746" s="0" t="n">
        <v>9</v>
      </c>
      <c r="E746" s="38" t="n">
        <v>324340.41</v>
      </c>
    </row>
    <row r="747" customFormat="false" ht="15" hidden="false" customHeight="false" outlineLevel="0" collapsed="false">
      <c r="A747" s="0" t="n">
        <v>8</v>
      </c>
      <c r="B747" s="0" t="s">
        <v>64</v>
      </c>
      <c r="C747" s="0" t="n">
        <v>2011</v>
      </c>
      <c r="D747" s="0" t="n">
        <v>10</v>
      </c>
      <c r="E747" s="38" t="n">
        <v>311408.55</v>
      </c>
    </row>
    <row r="748" customFormat="false" ht="15" hidden="false" customHeight="false" outlineLevel="0" collapsed="false">
      <c r="A748" s="0" t="n">
        <v>8</v>
      </c>
      <c r="B748" s="0" t="s">
        <v>64</v>
      </c>
      <c r="C748" s="0" t="n">
        <v>2011</v>
      </c>
      <c r="D748" s="0" t="n">
        <v>11</v>
      </c>
      <c r="E748" s="38" t="n">
        <v>318597.4</v>
      </c>
    </row>
    <row r="749" customFormat="false" ht="15" hidden="false" customHeight="false" outlineLevel="0" collapsed="false">
      <c r="A749" s="0" t="n">
        <v>8</v>
      </c>
      <c r="B749" s="0" t="s">
        <v>64</v>
      </c>
      <c r="C749" s="0" t="n">
        <v>2011</v>
      </c>
      <c r="D749" s="0" t="n">
        <v>12</v>
      </c>
      <c r="E749" s="38" t="n">
        <v>328643.05</v>
      </c>
    </row>
    <row r="750" customFormat="false" ht="15" hidden="false" customHeight="false" outlineLevel="0" collapsed="false">
      <c r="A750" s="0" t="n">
        <v>8</v>
      </c>
      <c r="B750" s="0" t="s">
        <v>64</v>
      </c>
      <c r="C750" s="0" t="n">
        <v>2012</v>
      </c>
      <c r="D750" s="0" t="n">
        <v>1</v>
      </c>
      <c r="E750" s="38" t="n">
        <v>292749.82</v>
      </c>
    </row>
    <row r="751" customFormat="false" ht="15" hidden="false" customHeight="false" outlineLevel="0" collapsed="false">
      <c r="A751" s="0" t="n">
        <v>8</v>
      </c>
      <c r="B751" s="0" t="s">
        <v>64</v>
      </c>
      <c r="C751" s="0" t="n">
        <v>2012</v>
      </c>
      <c r="D751" s="0" t="n">
        <v>2</v>
      </c>
      <c r="E751" s="38" t="n">
        <v>315686.02</v>
      </c>
    </row>
    <row r="752" customFormat="false" ht="15" hidden="false" customHeight="false" outlineLevel="0" collapsed="false">
      <c r="A752" s="0" t="n">
        <v>8</v>
      </c>
      <c r="B752" s="0" t="s">
        <v>64</v>
      </c>
      <c r="C752" s="0" t="n">
        <v>2012</v>
      </c>
      <c r="D752" s="0" t="n">
        <v>3</v>
      </c>
      <c r="E752" s="38" t="n">
        <v>306293.98</v>
      </c>
    </row>
    <row r="753" customFormat="false" ht="15" hidden="false" customHeight="false" outlineLevel="0" collapsed="false">
      <c r="A753" s="0" t="n">
        <v>8</v>
      </c>
      <c r="B753" s="0" t="s">
        <v>64</v>
      </c>
      <c r="C753" s="0" t="n">
        <v>2012</v>
      </c>
      <c r="D753" s="0" t="n">
        <v>4</v>
      </c>
      <c r="E753" s="38" t="n">
        <v>319536.13</v>
      </c>
    </row>
    <row r="754" customFormat="false" ht="15" hidden="false" customHeight="false" outlineLevel="0" collapsed="false">
      <c r="A754" s="0" t="n">
        <v>8</v>
      </c>
      <c r="B754" s="0" t="s">
        <v>64</v>
      </c>
      <c r="C754" s="0" t="n">
        <v>2012</v>
      </c>
      <c r="D754" s="0" t="n">
        <v>5</v>
      </c>
      <c r="E754" s="38" t="n">
        <v>305963.91</v>
      </c>
    </row>
    <row r="755" customFormat="false" ht="15" hidden="false" customHeight="false" outlineLevel="0" collapsed="false">
      <c r="A755" s="0" t="n">
        <v>8</v>
      </c>
      <c r="B755" s="0" t="s">
        <v>64</v>
      </c>
      <c r="C755" s="0" t="n">
        <v>2012</v>
      </c>
      <c r="D755" s="0" t="n">
        <v>6</v>
      </c>
      <c r="E755" s="38" t="n">
        <v>306793.03</v>
      </c>
    </row>
    <row r="756" customFormat="false" ht="15" hidden="false" customHeight="false" outlineLevel="0" collapsed="false">
      <c r="A756" s="0" t="n">
        <v>8</v>
      </c>
      <c r="B756" s="0" t="s">
        <v>64</v>
      </c>
      <c r="C756" s="0" t="n">
        <v>2012</v>
      </c>
      <c r="D756" s="0" t="n">
        <v>7</v>
      </c>
      <c r="E756" s="38" t="n">
        <v>307268.04</v>
      </c>
    </row>
    <row r="757" customFormat="false" ht="15" hidden="false" customHeight="false" outlineLevel="0" collapsed="false">
      <c r="A757" s="0" t="n">
        <v>8</v>
      </c>
      <c r="B757" s="0" t="s">
        <v>64</v>
      </c>
      <c r="C757" s="0" t="n">
        <v>2012</v>
      </c>
      <c r="D757" s="0" t="n">
        <v>8</v>
      </c>
      <c r="E757" s="38" t="n">
        <v>307968.94</v>
      </c>
    </row>
    <row r="758" customFormat="false" ht="15" hidden="false" customHeight="false" outlineLevel="0" collapsed="false">
      <c r="A758" s="0" t="n">
        <v>8</v>
      </c>
      <c r="B758" s="0" t="s">
        <v>64</v>
      </c>
      <c r="C758" s="0" t="n">
        <v>2012</v>
      </c>
      <c r="D758" s="0" t="n">
        <v>9</v>
      </c>
      <c r="E758" s="38" t="n">
        <v>326079.3</v>
      </c>
    </row>
    <row r="759" customFormat="false" ht="15" hidden="false" customHeight="false" outlineLevel="0" collapsed="false">
      <c r="A759" s="0" t="n">
        <v>8</v>
      </c>
      <c r="B759" s="0" t="s">
        <v>64</v>
      </c>
      <c r="C759" s="0" t="n">
        <v>2012</v>
      </c>
      <c r="D759" s="0" t="n">
        <v>10</v>
      </c>
      <c r="E759" s="38" t="n">
        <v>315866.78</v>
      </c>
    </row>
    <row r="760" customFormat="false" ht="15" hidden="false" customHeight="false" outlineLevel="0" collapsed="false">
      <c r="A760" s="0" t="n">
        <v>8</v>
      </c>
      <c r="B760" s="0" t="s">
        <v>64</v>
      </c>
      <c r="C760" s="0" t="n">
        <v>2012</v>
      </c>
      <c r="D760" s="0" t="n">
        <v>11</v>
      </c>
      <c r="E760" s="38" t="n">
        <v>333029.24</v>
      </c>
    </row>
    <row r="761" customFormat="false" ht="15" hidden="false" customHeight="false" outlineLevel="0" collapsed="false">
      <c r="A761" s="0" t="n">
        <v>8</v>
      </c>
      <c r="B761" s="0" t="s">
        <v>64</v>
      </c>
      <c r="C761" s="0" t="n">
        <v>2012</v>
      </c>
      <c r="D761" s="0" t="n">
        <v>12</v>
      </c>
      <c r="E761" s="38" t="n">
        <v>343201.23</v>
      </c>
    </row>
    <row r="762" customFormat="false" ht="15" hidden="false" customHeight="false" outlineLevel="0" collapsed="false">
      <c r="A762" s="0" t="n">
        <v>8</v>
      </c>
      <c r="B762" s="0" t="s">
        <v>64</v>
      </c>
      <c r="C762" s="0" t="n">
        <v>2013</v>
      </c>
      <c r="D762" s="0" t="n">
        <v>1</v>
      </c>
      <c r="E762" s="38" t="n">
        <v>324929.8</v>
      </c>
    </row>
    <row r="763" customFormat="false" ht="15" hidden="false" customHeight="false" outlineLevel="0" collapsed="false">
      <c r="A763" s="0" t="n">
        <v>8</v>
      </c>
      <c r="B763" s="0" t="s">
        <v>64</v>
      </c>
      <c r="C763" s="0" t="n">
        <v>2013</v>
      </c>
      <c r="D763" s="0" t="n">
        <v>2</v>
      </c>
      <c r="E763" s="38" t="n">
        <v>341021.31</v>
      </c>
    </row>
    <row r="764" customFormat="false" ht="15" hidden="false" customHeight="false" outlineLevel="0" collapsed="false">
      <c r="A764" s="0" t="n">
        <v>8</v>
      </c>
      <c r="B764" s="0" t="s">
        <v>64</v>
      </c>
      <c r="C764" s="0" t="n">
        <v>2013</v>
      </c>
      <c r="D764" s="0" t="n">
        <v>3</v>
      </c>
      <c r="E764" s="38" t="n">
        <v>325990.4</v>
      </c>
    </row>
    <row r="765" customFormat="false" ht="15" hidden="false" customHeight="false" outlineLevel="0" collapsed="false">
      <c r="A765" s="0" t="n">
        <v>8</v>
      </c>
      <c r="B765" s="0" t="s">
        <v>64</v>
      </c>
      <c r="C765" s="0" t="n">
        <v>2013</v>
      </c>
      <c r="D765" s="0" t="n">
        <v>4</v>
      </c>
      <c r="E765" s="38" t="n">
        <v>340721.63</v>
      </c>
    </row>
    <row r="766" customFormat="false" ht="15" hidden="false" customHeight="false" outlineLevel="0" collapsed="false">
      <c r="A766" s="0" t="n">
        <v>8</v>
      </c>
      <c r="B766" s="0" t="s">
        <v>64</v>
      </c>
      <c r="C766" s="0" t="n">
        <v>2013</v>
      </c>
      <c r="D766" s="0" t="n">
        <v>5</v>
      </c>
      <c r="E766" s="38" t="n">
        <v>318456.81</v>
      </c>
    </row>
    <row r="767" customFormat="false" ht="15" hidden="false" customHeight="false" outlineLevel="0" collapsed="false">
      <c r="A767" s="0" t="n">
        <v>8</v>
      </c>
      <c r="B767" s="0" t="s">
        <v>64</v>
      </c>
      <c r="C767" s="0" t="n">
        <v>2013</v>
      </c>
      <c r="D767" s="0" t="n">
        <v>6</v>
      </c>
      <c r="E767" s="38" t="n">
        <v>337774.68</v>
      </c>
    </row>
    <row r="768" customFormat="false" ht="15" hidden="false" customHeight="false" outlineLevel="0" collapsed="false">
      <c r="A768" s="0" t="n">
        <v>8</v>
      </c>
      <c r="B768" s="0" t="s">
        <v>64</v>
      </c>
      <c r="C768" s="0" t="n">
        <v>2013</v>
      </c>
      <c r="D768" s="0" t="n">
        <v>7</v>
      </c>
      <c r="E768" s="38" t="n">
        <v>330397.19</v>
      </c>
    </row>
    <row r="769" customFormat="false" ht="15" hidden="false" customHeight="false" outlineLevel="0" collapsed="false">
      <c r="A769" s="0" t="n">
        <v>8</v>
      </c>
      <c r="B769" s="0" t="s">
        <v>64</v>
      </c>
      <c r="C769" s="0" t="n">
        <v>2013</v>
      </c>
      <c r="D769" s="0" t="n">
        <v>8</v>
      </c>
      <c r="E769" s="38" t="n">
        <v>337512.81</v>
      </c>
    </row>
    <row r="770" customFormat="false" ht="15" hidden="false" customHeight="false" outlineLevel="0" collapsed="false">
      <c r="A770" s="0" t="n">
        <v>9</v>
      </c>
      <c r="B770" s="0" t="s">
        <v>60</v>
      </c>
      <c r="C770" s="0" t="n">
        <v>2011</v>
      </c>
      <c r="D770" s="0" t="n">
        <v>1</v>
      </c>
      <c r="E770" s="38" t="n">
        <v>1279748.02</v>
      </c>
    </row>
    <row r="771" customFormat="false" ht="15" hidden="false" customHeight="false" outlineLevel="0" collapsed="false">
      <c r="A771" s="0" t="n">
        <v>9</v>
      </c>
      <c r="B771" s="0" t="s">
        <v>60</v>
      </c>
      <c r="C771" s="0" t="n">
        <v>2011</v>
      </c>
      <c r="D771" s="0" t="n">
        <v>2</v>
      </c>
      <c r="E771" s="38" t="n">
        <v>1887304.26</v>
      </c>
    </row>
    <row r="772" customFormat="false" ht="15" hidden="false" customHeight="false" outlineLevel="0" collapsed="false">
      <c r="A772" s="0" t="n">
        <v>9</v>
      </c>
      <c r="B772" s="0" t="s">
        <v>60</v>
      </c>
      <c r="C772" s="0" t="n">
        <v>2011</v>
      </c>
      <c r="D772" s="0" t="n">
        <v>3</v>
      </c>
      <c r="E772" s="38" t="n">
        <v>2187237.84</v>
      </c>
    </row>
    <row r="773" customFormat="false" ht="15" hidden="false" customHeight="false" outlineLevel="0" collapsed="false">
      <c r="A773" s="0" t="n">
        <v>9</v>
      </c>
      <c r="B773" s="0" t="s">
        <v>60</v>
      </c>
      <c r="C773" s="0" t="n">
        <v>2011</v>
      </c>
      <c r="D773" s="0" t="n">
        <v>4</v>
      </c>
      <c r="E773" s="38" t="n">
        <v>2475302.8</v>
      </c>
    </row>
    <row r="774" customFormat="false" ht="15" hidden="false" customHeight="false" outlineLevel="0" collapsed="false">
      <c r="A774" s="0" t="n">
        <v>9</v>
      </c>
      <c r="B774" s="0" t="s">
        <v>60</v>
      </c>
      <c r="C774" s="0" t="n">
        <v>2011</v>
      </c>
      <c r="D774" s="0" t="n">
        <v>5</v>
      </c>
      <c r="E774" s="38" t="n">
        <v>2881760.75</v>
      </c>
    </row>
    <row r="775" customFormat="false" ht="15" hidden="false" customHeight="false" outlineLevel="0" collapsed="false">
      <c r="A775" s="0" t="n">
        <v>9</v>
      </c>
      <c r="B775" s="0" t="s">
        <v>60</v>
      </c>
      <c r="C775" s="0" t="n">
        <v>2011</v>
      </c>
      <c r="D775" s="0" t="n">
        <v>6</v>
      </c>
      <c r="E775" s="38" t="n">
        <v>2689047.57</v>
      </c>
    </row>
    <row r="776" customFormat="false" ht="15" hidden="false" customHeight="false" outlineLevel="0" collapsed="false">
      <c r="A776" s="0" t="n">
        <v>9</v>
      </c>
      <c r="B776" s="0" t="s">
        <v>60</v>
      </c>
      <c r="C776" s="0" t="n">
        <v>2011</v>
      </c>
      <c r="D776" s="0" t="n">
        <v>7</v>
      </c>
      <c r="E776" s="38" t="n">
        <v>2456093.69</v>
      </c>
    </row>
    <row r="777" customFormat="false" ht="15" hidden="false" customHeight="false" outlineLevel="0" collapsed="false">
      <c r="A777" s="0" t="n">
        <v>9</v>
      </c>
      <c r="B777" s="0" t="s">
        <v>60</v>
      </c>
      <c r="C777" s="0" t="n">
        <v>2011</v>
      </c>
      <c r="D777" s="0" t="n">
        <v>8</v>
      </c>
      <c r="E777" s="38" t="n">
        <v>2328527.15</v>
      </c>
    </row>
    <row r="778" customFormat="false" ht="15" hidden="false" customHeight="false" outlineLevel="0" collapsed="false">
      <c r="A778" s="0" t="n">
        <v>9</v>
      </c>
      <c r="B778" s="0" t="s">
        <v>60</v>
      </c>
      <c r="C778" s="0" t="n">
        <v>2011</v>
      </c>
      <c r="D778" s="0" t="n">
        <v>9</v>
      </c>
      <c r="E778" s="38" t="n">
        <v>2029579.03</v>
      </c>
    </row>
    <row r="779" customFormat="false" ht="15" hidden="false" customHeight="false" outlineLevel="0" collapsed="false">
      <c r="A779" s="0" t="n">
        <v>9</v>
      </c>
      <c r="B779" s="0" t="s">
        <v>60</v>
      </c>
      <c r="C779" s="0" t="n">
        <v>2011</v>
      </c>
      <c r="D779" s="0" t="n">
        <v>10</v>
      </c>
      <c r="E779" s="38" t="n">
        <v>2024294.69</v>
      </c>
    </row>
    <row r="780" customFormat="false" ht="15" hidden="false" customHeight="false" outlineLevel="0" collapsed="false">
      <c r="A780" s="0" t="n">
        <v>9</v>
      </c>
      <c r="B780" s="0" t="s">
        <v>60</v>
      </c>
      <c r="C780" s="0" t="n">
        <v>2011</v>
      </c>
      <c r="D780" s="0" t="n">
        <v>11</v>
      </c>
      <c r="E780" s="38" t="n">
        <v>2203482.72</v>
      </c>
    </row>
    <row r="781" customFormat="false" ht="15" hidden="false" customHeight="false" outlineLevel="0" collapsed="false">
      <c r="A781" s="0" t="n">
        <v>9</v>
      </c>
      <c r="B781" s="0" t="s">
        <v>60</v>
      </c>
      <c r="C781" s="0" t="n">
        <v>2011</v>
      </c>
      <c r="D781" s="0" t="n">
        <v>12</v>
      </c>
      <c r="E781" s="38" t="n">
        <v>1143802.44</v>
      </c>
    </row>
    <row r="782" customFormat="false" ht="15" hidden="false" customHeight="false" outlineLevel="0" collapsed="false">
      <c r="A782" s="0" t="n">
        <v>9</v>
      </c>
      <c r="B782" s="0" t="s">
        <v>60</v>
      </c>
      <c r="C782" s="0" t="n">
        <v>2012</v>
      </c>
      <c r="D782" s="0" t="n">
        <v>1</v>
      </c>
      <c r="E782" s="38" t="n">
        <v>1288362.72</v>
      </c>
    </row>
    <row r="783" customFormat="false" ht="15" hidden="false" customHeight="false" outlineLevel="0" collapsed="false">
      <c r="A783" s="0" t="n">
        <v>9</v>
      </c>
      <c r="B783" s="0" t="s">
        <v>60</v>
      </c>
      <c r="C783" s="0" t="n">
        <v>2012</v>
      </c>
      <c r="D783" s="0" t="n">
        <v>2</v>
      </c>
      <c r="E783" s="38" t="n">
        <v>1918976.16</v>
      </c>
    </row>
    <row r="784" customFormat="false" ht="15" hidden="false" customHeight="false" outlineLevel="0" collapsed="false">
      <c r="A784" s="0" t="n">
        <v>9</v>
      </c>
      <c r="B784" s="0" t="s">
        <v>60</v>
      </c>
      <c r="C784" s="0" t="n">
        <v>2012</v>
      </c>
      <c r="D784" s="0" t="n">
        <v>3</v>
      </c>
      <c r="E784" s="38" t="n">
        <v>2162203.54</v>
      </c>
    </row>
    <row r="785" customFormat="false" ht="15" hidden="false" customHeight="false" outlineLevel="0" collapsed="false">
      <c r="A785" s="0" t="n">
        <v>9</v>
      </c>
      <c r="B785" s="0" t="s">
        <v>60</v>
      </c>
      <c r="C785" s="0" t="n">
        <v>2012</v>
      </c>
      <c r="D785" s="0" t="n">
        <v>4</v>
      </c>
      <c r="E785" s="38" t="n">
        <v>2433911.95</v>
      </c>
    </row>
    <row r="786" customFormat="false" ht="15" hidden="false" customHeight="false" outlineLevel="0" collapsed="false">
      <c r="A786" s="0" t="n">
        <v>9</v>
      </c>
      <c r="B786" s="0" t="s">
        <v>60</v>
      </c>
      <c r="C786" s="0" t="n">
        <v>2012</v>
      </c>
      <c r="D786" s="0" t="n">
        <v>5</v>
      </c>
      <c r="E786" s="38" t="n">
        <v>2924866.23</v>
      </c>
    </row>
    <row r="787" customFormat="false" ht="15" hidden="false" customHeight="false" outlineLevel="0" collapsed="false">
      <c r="A787" s="0" t="n">
        <v>9</v>
      </c>
      <c r="B787" s="0" t="s">
        <v>60</v>
      </c>
      <c r="C787" s="0" t="n">
        <v>2012</v>
      </c>
      <c r="D787" s="0" t="n">
        <v>6</v>
      </c>
      <c r="E787" s="38" t="n">
        <v>2778985.39</v>
      </c>
    </row>
    <row r="788" customFormat="false" ht="15" hidden="false" customHeight="false" outlineLevel="0" collapsed="false">
      <c r="A788" s="0" t="n">
        <v>9</v>
      </c>
      <c r="B788" s="0" t="s">
        <v>60</v>
      </c>
      <c r="C788" s="0" t="n">
        <v>2012</v>
      </c>
      <c r="D788" s="0" t="n">
        <v>7</v>
      </c>
      <c r="E788" s="38" t="n">
        <v>2483225.41</v>
      </c>
    </row>
    <row r="789" customFormat="false" ht="15" hidden="false" customHeight="false" outlineLevel="0" collapsed="false">
      <c r="A789" s="0" t="n">
        <v>9</v>
      </c>
      <c r="B789" s="0" t="s">
        <v>60</v>
      </c>
      <c r="C789" s="0" t="n">
        <v>2012</v>
      </c>
      <c r="D789" s="0" t="n">
        <v>8</v>
      </c>
      <c r="E789" s="38" t="n">
        <v>2326811.38</v>
      </c>
    </row>
    <row r="790" customFormat="false" ht="15" hidden="false" customHeight="false" outlineLevel="0" collapsed="false">
      <c r="A790" s="0" t="n">
        <v>9</v>
      </c>
      <c r="B790" s="0" t="s">
        <v>60</v>
      </c>
      <c r="C790" s="0" t="n">
        <v>2012</v>
      </c>
      <c r="D790" s="0" t="n">
        <v>9</v>
      </c>
      <c r="E790" s="38" t="n">
        <v>2134715.71</v>
      </c>
    </row>
    <row r="791" customFormat="false" ht="15" hidden="false" customHeight="false" outlineLevel="0" collapsed="false">
      <c r="A791" s="0" t="n">
        <v>9</v>
      </c>
      <c r="B791" s="0" t="s">
        <v>60</v>
      </c>
      <c r="C791" s="0" t="n">
        <v>2012</v>
      </c>
      <c r="D791" s="0" t="n">
        <v>10</v>
      </c>
      <c r="E791" s="38" t="n">
        <v>2183340.14</v>
      </c>
    </row>
    <row r="792" customFormat="false" ht="15" hidden="false" customHeight="false" outlineLevel="0" collapsed="false">
      <c r="A792" s="0" t="n">
        <v>9</v>
      </c>
      <c r="B792" s="0" t="s">
        <v>60</v>
      </c>
      <c r="C792" s="0" t="n">
        <v>2012</v>
      </c>
      <c r="D792" s="0" t="n">
        <v>11</v>
      </c>
      <c r="E792" s="38" t="n">
        <v>2295009.07</v>
      </c>
    </row>
    <row r="793" customFormat="false" ht="15" hidden="false" customHeight="false" outlineLevel="0" collapsed="false">
      <c r="A793" s="0" t="n">
        <v>9</v>
      </c>
      <c r="B793" s="0" t="s">
        <v>60</v>
      </c>
      <c r="C793" s="0" t="n">
        <v>2012</v>
      </c>
      <c r="D793" s="0" t="n">
        <v>12</v>
      </c>
      <c r="E793" s="38" t="n">
        <v>1258846.66</v>
      </c>
    </row>
    <row r="794" customFormat="false" ht="15" hidden="false" customHeight="false" outlineLevel="0" collapsed="false">
      <c r="A794" s="0" t="n">
        <v>9</v>
      </c>
      <c r="B794" s="0" t="s">
        <v>60</v>
      </c>
      <c r="C794" s="0" t="n">
        <v>2013</v>
      </c>
      <c r="D794" s="0" t="n">
        <v>1</v>
      </c>
      <c r="E794" s="38" t="n">
        <v>1472248.35</v>
      </c>
    </row>
    <row r="795" customFormat="false" ht="15" hidden="false" customHeight="false" outlineLevel="0" collapsed="false">
      <c r="A795" s="0" t="n">
        <v>9</v>
      </c>
      <c r="B795" s="0" t="s">
        <v>60</v>
      </c>
      <c r="C795" s="0" t="n">
        <v>2013</v>
      </c>
      <c r="D795" s="0" t="n">
        <v>2</v>
      </c>
      <c r="E795" s="38" t="n">
        <v>2252206.89</v>
      </c>
    </row>
    <row r="796" customFormat="false" ht="15" hidden="false" customHeight="false" outlineLevel="0" collapsed="false">
      <c r="A796" s="0" t="n">
        <v>9</v>
      </c>
      <c r="B796" s="0" t="s">
        <v>60</v>
      </c>
      <c r="C796" s="0" t="n">
        <v>2013</v>
      </c>
      <c r="D796" s="0" t="n">
        <v>3</v>
      </c>
      <c r="E796" s="38" t="n">
        <v>2561632.46</v>
      </c>
    </row>
    <row r="797" customFormat="false" ht="15" hidden="false" customHeight="false" outlineLevel="0" collapsed="false">
      <c r="A797" s="0" t="n">
        <v>9</v>
      </c>
      <c r="B797" s="0" t="s">
        <v>60</v>
      </c>
      <c r="C797" s="0" t="n">
        <v>2013</v>
      </c>
      <c r="D797" s="0" t="n">
        <v>4</v>
      </c>
      <c r="E797" s="38" t="n">
        <v>2778746.09</v>
      </c>
    </row>
    <row r="798" customFormat="false" ht="15" hidden="false" customHeight="false" outlineLevel="0" collapsed="false">
      <c r="A798" s="0" t="n">
        <v>9</v>
      </c>
      <c r="B798" s="0" t="s">
        <v>60</v>
      </c>
      <c r="C798" s="0" t="n">
        <v>2013</v>
      </c>
      <c r="D798" s="0" t="n">
        <v>5</v>
      </c>
      <c r="E798" s="38" t="n">
        <v>2927611.76</v>
      </c>
    </row>
    <row r="799" customFormat="false" ht="15" hidden="false" customHeight="false" outlineLevel="0" collapsed="false">
      <c r="A799" s="0" t="n">
        <v>9</v>
      </c>
      <c r="B799" s="0" t="s">
        <v>60</v>
      </c>
      <c r="C799" s="0" t="n">
        <v>2013</v>
      </c>
      <c r="D799" s="0" t="n">
        <v>6</v>
      </c>
      <c r="E799" s="38" t="n">
        <v>2748621.49</v>
      </c>
    </row>
    <row r="800" customFormat="false" ht="15" hidden="false" customHeight="false" outlineLevel="0" collapsed="false">
      <c r="A800" s="0" t="n">
        <v>9</v>
      </c>
      <c r="B800" s="0" t="s">
        <v>60</v>
      </c>
      <c r="C800" s="0" t="n">
        <v>2013</v>
      </c>
      <c r="D800" s="0" t="n">
        <v>7</v>
      </c>
      <c r="E800" s="38" t="n">
        <v>2617575.5</v>
      </c>
    </row>
    <row r="801" customFormat="false" ht="15" hidden="false" customHeight="false" outlineLevel="0" collapsed="false">
      <c r="A801" s="0" t="n">
        <v>9</v>
      </c>
      <c r="B801" s="0" t="s">
        <v>60</v>
      </c>
      <c r="C801" s="0" t="n">
        <v>2013</v>
      </c>
      <c r="D801" s="0" t="n">
        <v>8</v>
      </c>
      <c r="E801" s="38" t="n">
        <v>2513879.72</v>
      </c>
    </row>
    <row r="802" customFormat="false" ht="15" hidden="false" customHeight="false" outlineLevel="0" collapsed="false">
      <c r="A802" s="0" t="n">
        <v>9</v>
      </c>
      <c r="B802" s="0" t="s">
        <v>62</v>
      </c>
      <c r="C802" s="0" t="n">
        <v>2011</v>
      </c>
      <c r="D802" s="0" t="n">
        <v>1</v>
      </c>
      <c r="E802" s="38" t="n">
        <v>993243.92</v>
      </c>
    </row>
    <row r="803" customFormat="false" ht="15" hidden="false" customHeight="false" outlineLevel="0" collapsed="false">
      <c r="A803" s="0" t="n">
        <v>9</v>
      </c>
      <c r="B803" s="0" t="s">
        <v>62</v>
      </c>
      <c r="C803" s="0" t="n">
        <v>2011</v>
      </c>
      <c r="D803" s="0" t="n">
        <v>2</v>
      </c>
      <c r="E803" s="38" t="n">
        <v>1451365</v>
      </c>
    </row>
    <row r="804" customFormat="false" ht="15" hidden="false" customHeight="false" outlineLevel="0" collapsed="false">
      <c r="A804" s="0" t="n">
        <v>9</v>
      </c>
      <c r="B804" s="0" t="s">
        <v>62</v>
      </c>
      <c r="C804" s="0" t="n">
        <v>2011</v>
      </c>
      <c r="D804" s="0" t="n">
        <v>3</v>
      </c>
      <c r="E804" s="38" t="n">
        <v>1707999</v>
      </c>
    </row>
    <row r="805" customFormat="false" ht="15" hidden="false" customHeight="false" outlineLevel="0" collapsed="false">
      <c r="A805" s="0" t="n">
        <v>9</v>
      </c>
      <c r="B805" s="0" t="s">
        <v>62</v>
      </c>
      <c r="C805" s="0" t="n">
        <v>2011</v>
      </c>
      <c r="D805" s="0" t="n">
        <v>4</v>
      </c>
      <c r="E805" s="38" t="n">
        <v>1924039.75</v>
      </c>
    </row>
    <row r="806" customFormat="false" ht="15" hidden="false" customHeight="false" outlineLevel="0" collapsed="false">
      <c r="A806" s="0" t="n">
        <v>9</v>
      </c>
      <c r="B806" s="0" t="s">
        <v>62</v>
      </c>
      <c r="C806" s="0" t="n">
        <v>2011</v>
      </c>
      <c r="D806" s="0" t="n">
        <v>5</v>
      </c>
      <c r="E806" s="38" t="n">
        <v>2296837.81</v>
      </c>
    </row>
    <row r="807" customFormat="false" ht="15" hidden="false" customHeight="false" outlineLevel="0" collapsed="false">
      <c r="A807" s="0" t="n">
        <v>9</v>
      </c>
      <c r="B807" s="0" t="s">
        <v>62</v>
      </c>
      <c r="C807" s="0" t="n">
        <v>2011</v>
      </c>
      <c r="D807" s="0" t="n">
        <v>6</v>
      </c>
      <c r="E807" s="38" t="n">
        <v>2217464.85</v>
      </c>
    </row>
    <row r="808" customFormat="false" ht="15" hidden="false" customHeight="false" outlineLevel="0" collapsed="false">
      <c r="A808" s="0" t="n">
        <v>9</v>
      </c>
      <c r="B808" s="0" t="s">
        <v>62</v>
      </c>
      <c r="C808" s="0" t="n">
        <v>2011</v>
      </c>
      <c r="D808" s="0" t="n">
        <v>7</v>
      </c>
      <c r="E808" s="38" t="n">
        <v>1958312.27</v>
      </c>
    </row>
    <row r="809" customFormat="false" ht="15" hidden="false" customHeight="false" outlineLevel="0" collapsed="false">
      <c r="A809" s="0" t="n">
        <v>9</v>
      </c>
      <c r="B809" s="0" t="s">
        <v>62</v>
      </c>
      <c r="C809" s="0" t="n">
        <v>2011</v>
      </c>
      <c r="D809" s="0" t="n">
        <v>8</v>
      </c>
      <c r="E809" s="38" t="n">
        <v>1735015.99</v>
      </c>
    </row>
    <row r="810" customFormat="false" ht="15" hidden="false" customHeight="false" outlineLevel="0" collapsed="false">
      <c r="A810" s="0" t="n">
        <v>9</v>
      </c>
      <c r="B810" s="0" t="s">
        <v>62</v>
      </c>
      <c r="C810" s="0" t="n">
        <v>2011</v>
      </c>
      <c r="D810" s="0" t="n">
        <v>9</v>
      </c>
      <c r="E810" s="38" t="n">
        <v>1439623.79</v>
      </c>
    </row>
    <row r="811" customFormat="false" ht="15" hidden="false" customHeight="false" outlineLevel="0" collapsed="false">
      <c r="A811" s="0" t="n">
        <v>9</v>
      </c>
      <c r="B811" s="0" t="s">
        <v>62</v>
      </c>
      <c r="C811" s="0" t="n">
        <v>2011</v>
      </c>
      <c r="D811" s="0" t="n">
        <v>10</v>
      </c>
      <c r="E811" s="38" t="n">
        <v>1257308.94</v>
      </c>
    </row>
    <row r="812" customFormat="false" ht="15" hidden="false" customHeight="false" outlineLevel="0" collapsed="false">
      <c r="A812" s="0" t="n">
        <v>9</v>
      </c>
      <c r="B812" s="0" t="s">
        <v>62</v>
      </c>
      <c r="C812" s="0" t="n">
        <v>2011</v>
      </c>
      <c r="D812" s="0" t="n">
        <v>11</v>
      </c>
      <c r="E812" s="38" t="n">
        <v>1522265.8</v>
      </c>
    </row>
    <row r="813" customFormat="false" ht="15" hidden="false" customHeight="false" outlineLevel="0" collapsed="false">
      <c r="A813" s="0" t="n">
        <v>9</v>
      </c>
      <c r="B813" s="0" t="s">
        <v>62</v>
      </c>
      <c r="C813" s="0" t="n">
        <v>2011</v>
      </c>
      <c r="D813" s="0" t="n">
        <v>12</v>
      </c>
      <c r="E813" s="38" t="n">
        <v>936352.69</v>
      </c>
    </row>
    <row r="814" customFormat="false" ht="15" hidden="false" customHeight="false" outlineLevel="0" collapsed="false">
      <c r="A814" s="0" t="n">
        <v>9</v>
      </c>
      <c r="B814" s="0" t="s">
        <v>62</v>
      </c>
      <c r="C814" s="0" t="n">
        <v>2012</v>
      </c>
      <c r="D814" s="0" t="n">
        <v>1</v>
      </c>
      <c r="E814" s="38" t="n">
        <v>959843.88</v>
      </c>
    </row>
    <row r="815" customFormat="false" ht="15" hidden="false" customHeight="false" outlineLevel="0" collapsed="false">
      <c r="A815" s="0" t="n">
        <v>9</v>
      </c>
      <c r="B815" s="0" t="s">
        <v>62</v>
      </c>
      <c r="C815" s="0" t="n">
        <v>2012</v>
      </c>
      <c r="D815" s="0" t="n">
        <v>2</v>
      </c>
      <c r="E815" s="38" t="n">
        <v>1306816.75</v>
      </c>
    </row>
    <row r="816" customFormat="false" ht="15" hidden="false" customHeight="false" outlineLevel="0" collapsed="false">
      <c r="A816" s="0" t="n">
        <v>9</v>
      </c>
      <c r="B816" s="0" t="s">
        <v>62</v>
      </c>
      <c r="C816" s="0" t="n">
        <v>2012</v>
      </c>
      <c r="D816" s="0" t="n">
        <v>3</v>
      </c>
      <c r="E816" s="38" t="n">
        <v>1583237.99</v>
      </c>
    </row>
    <row r="817" customFormat="false" ht="15" hidden="false" customHeight="false" outlineLevel="0" collapsed="false">
      <c r="A817" s="0" t="n">
        <v>9</v>
      </c>
      <c r="B817" s="0" t="s">
        <v>62</v>
      </c>
      <c r="C817" s="0" t="n">
        <v>2012</v>
      </c>
      <c r="D817" s="0" t="n">
        <v>4</v>
      </c>
      <c r="E817" s="38" t="n">
        <v>1780461.76</v>
      </c>
    </row>
    <row r="818" customFormat="false" ht="15" hidden="false" customHeight="false" outlineLevel="0" collapsed="false">
      <c r="A818" s="0" t="n">
        <v>9</v>
      </c>
      <c r="B818" s="0" t="s">
        <v>62</v>
      </c>
      <c r="C818" s="0" t="n">
        <v>2012</v>
      </c>
      <c r="D818" s="0" t="n">
        <v>5</v>
      </c>
      <c r="E818" s="38" t="n">
        <v>2158484.12</v>
      </c>
    </row>
    <row r="819" customFormat="false" ht="15" hidden="false" customHeight="false" outlineLevel="0" collapsed="false">
      <c r="A819" s="0" t="n">
        <v>9</v>
      </c>
      <c r="B819" s="0" t="s">
        <v>62</v>
      </c>
      <c r="C819" s="0" t="n">
        <v>2012</v>
      </c>
      <c r="D819" s="0" t="n">
        <v>6</v>
      </c>
      <c r="E819" s="38" t="n">
        <v>2225333.11</v>
      </c>
    </row>
    <row r="820" customFormat="false" ht="15" hidden="false" customHeight="false" outlineLevel="0" collapsed="false">
      <c r="A820" s="0" t="n">
        <v>9</v>
      </c>
      <c r="B820" s="0" t="s">
        <v>62</v>
      </c>
      <c r="C820" s="0" t="n">
        <v>2012</v>
      </c>
      <c r="D820" s="0" t="n">
        <v>7</v>
      </c>
      <c r="E820" s="38" t="n">
        <v>1987639.25</v>
      </c>
    </row>
    <row r="821" customFormat="false" ht="15" hidden="false" customHeight="false" outlineLevel="0" collapsed="false">
      <c r="A821" s="0" t="n">
        <v>9</v>
      </c>
      <c r="B821" s="0" t="s">
        <v>62</v>
      </c>
      <c r="C821" s="0" t="n">
        <v>2012</v>
      </c>
      <c r="D821" s="0" t="n">
        <v>8</v>
      </c>
      <c r="E821" s="38" t="n">
        <v>1711420.52</v>
      </c>
    </row>
    <row r="822" customFormat="false" ht="15" hidden="false" customHeight="false" outlineLevel="0" collapsed="false">
      <c r="A822" s="0" t="n">
        <v>9</v>
      </c>
      <c r="B822" s="0" t="s">
        <v>62</v>
      </c>
      <c r="C822" s="0" t="n">
        <v>2012</v>
      </c>
      <c r="D822" s="0" t="n">
        <v>9</v>
      </c>
      <c r="E822" s="38" t="n">
        <v>1477408.67</v>
      </c>
    </row>
    <row r="823" customFormat="false" ht="15" hidden="false" customHeight="false" outlineLevel="0" collapsed="false">
      <c r="A823" s="0" t="n">
        <v>9</v>
      </c>
      <c r="B823" s="0" t="s">
        <v>62</v>
      </c>
      <c r="C823" s="0" t="n">
        <v>2012</v>
      </c>
      <c r="D823" s="0" t="n">
        <v>10</v>
      </c>
      <c r="E823" s="38" t="n">
        <v>1338216.45</v>
      </c>
    </row>
    <row r="824" customFormat="false" ht="15" hidden="false" customHeight="false" outlineLevel="0" collapsed="false">
      <c r="A824" s="0" t="n">
        <v>9</v>
      </c>
      <c r="B824" s="0" t="s">
        <v>62</v>
      </c>
      <c r="C824" s="0" t="n">
        <v>2012</v>
      </c>
      <c r="D824" s="0" t="n">
        <v>11</v>
      </c>
      <c r="E824" s="38" t="n">
        <v>1588432.14</v>
      </c>
    </row>
    <row r="825" customFormat="false" ht="15" hidden="false" customHeight="false" outlineLevel="0" collapsed="false">
      <c r="A825" s="0" t="n">
        <v>9</v>
      </c>
      <c r="B825" s="0" t="s">
        <v>62</v>
      </c>
      <c r="C825" s="0" t="n">
        <v>2012</v>
      </c>
      <c r="D825" s="0" t="n">
        <v>12</v>
      </c>
      <c r="E825" s="38" t="n">
        <v>995353.88</v>
      </c>
    </row>
    <row r="826" customFormat="false" ht="15" hidden="false" customHeight="false" outlineLevel="0" collapsed="false">
      <c r="A826" s="0" t="n">
        <v>9</v>
      </c>
      <c r="B826" s="0" t="s">
        <v>62</v>
      </c>
      <c r="C826" s="0" t="n">
        <v>2013</v>
      </c>
      <c r="D826" s="0" t="n">
        <v>1</v>
      </c>
      <c r="E826" s="38" t="n">
        <v>1103949.65</v>
      </c>
    </row>
    <row r="827" customFormat="false" ht="15" hidden="false" customHeight="false" outlineLevel="0" collapsed="false">
      <c r="A827" s="0" t="n">
        <v>9</v>
      </c>
      <c r="B827" s="0" t="s">
        <v>62</v>
      </c>
      <c r="C827" s="0" t="n">
        <v>2013</v>
      </c>
      <c r="D827" s="0" t="n">
        <v>2</v>
      </c>
      <c r="E827" s="38" t="n">
        <v>1526019.58</v>
      </c>
    </row>
    <row r="828" customFormat="false" ht="15" hidden="false" customHeight="false" outlineLevel="0" collapsed="false">
      <c r="A828" s="0" t="n">
        <v>9</v>
      </c>
      <c r="B828" s="0" t="s">
        <v>62</v>
      </c>
      <c r="C828" s="0" t="n">
        <v>2013</v>
      </c>
      <c r="D828" s="0" t="n">
        <v>3</v>
      </c>
      <c r="E828" s="38" t="n">
        <v>1816334.58</v>
      </c>
    </row>
    <row r="829" customFormat="false" ht="15" hidden="false" customHeight="false" outlineLevel="0" collapsed="false">
      <c r="A829" s="0" t="n">
        <v>9</v>
      </c>
      <c r="B829" s="0" t="s">
        <v>62</v>
      </c>
      <c r="C829" s="0" t="n">
        <v>2013</v>
      </c>
      <c r="D829" s="0" t="n">
        <v>4</v>
      </c>
      <c r="E829" s="38" t="n">
        <v>2008894.31</v>
      </c>
    </row>
    <row r="830" customFormat="false" ht="15" hidden="false" customHeight="false" outlineLevel="0" collapsed="false">
      <c r="A830" s="0" t="n">
        <v>9</v>
      </c>
      <c r="B830" s="0" t="s">
        <v>62</v>
      </c>
      <c r="C830" s="0" t="n">
        <v>2013</v>
      </c>
      <c r="D830" s="0" t="n">
        <v>5</v>
      </c>
      <c r="E830" s="38" t="n">
        <v>2255046</v>
      </c>
    </row>
    <row r="831" customFormat="false" ht="15" hidden="false" customHeight="false" outlineLevel="0" collapsed="false">
      <c r="A831" s="0" t="n">
        <v>9</v>
      </c>
      <c r="B831" s="0" t="s">
        <v>62</v>
      </c>
      <c r="C831" s="0" t="n">
        <v>2013</v>
      </c>
      <c r="D831" s="0" t="n">
        <v>6</v>
      </c>
      <c r="E831" s="38" t="n">
        <v>2194557.57</v>
      </c>
    </row>
    <row r="832" customFormat="false" ht="15" hidden="false" customHeight="false" outlineLevel="0" collapsed="false">
      <c r="A832" s="0" t="n">
        <v>9</v>
      </c>
      <c r="B832" s="0" t="s">
        <v>62</v>
      </c>
      <c r="C832" s="0" t="n">
        <v>2013</v>
      </c>
      <c r="D832" s="0" t="n">
        <v>7</v>
      </c>
      <c r="E832" s="38" t="n">
        <v>1948994.25</v>
      </c>
    </row>
    <row r="833" customFormat="false" ht="15" hidden="false" customHeight="false" outlineLevel="0" collapsed="false">
      <c r="A833" s="0" t="n">
        <v>9</v>
      </c>
      <c r="B833" s="0" t="s">
        <v>62</v>
      </c>
      <c r="C833" s="0" t="n">
        <v>2013</v>
      </c>
      <c r="D833" s="0" t="n">
        <v>8</v>
      </c>
      <c r="E833" s="38" t="n">
        <v>1752438.47</v>
      </c>
    </row>
    <row r="834" customFormat="false" ht="15" hidden="false" customHeight="false" outlineLevel="0" collapsed="false">
      <c r="A834" s="0" t="n">
        <v>9</v>
      </c>
      <c r="B834" s="0" t="s">
        <v>64</v>
      </c>
      <c r="C834" s="0" t="n">
        <v>2011</v>
      </c>
      <c r="D834" s="0" t="n">
        <v>1</v>
      </c>
      <c r="E834" s="38" t="n">
        <v>1425.95</v>
      </c>
    </row>
    <row r="835" customFormat="false" ht="15" hidden="false" customHeight="false" outlineLevel="0" collapsed="false">
      <c r="A835" s="0" t="n">
        <v>9</v>
      </c>
      <c r="B835" s="0" t="s">
        <v>64</v>
      </c>
      <c r="C835" s="0" t="n">
        <v>2011</v>
      </c>
      <c r="D835" s="0" t="n">
        <v>2</v>
      </c>
      <c r="E835" s="38" t="n">
        <v>2190.38</v>
      </c>
    </row>
    <row r="836" customFormat="false" ht="15" hidden="false" customHeight="false" outlineLevel="0" collapsed="false">
      <c r="A836" s="0" t="n">
        <v>9</v>
      </c>
      <c r="B836" s="0" t="s">
        <v>64</v>
      </c>
      <c r="C836" s="0" t="n">
        <v>2011</v>
      </c>
      <c r="D836" s="0" t="n">
        <v>3</v>
      </c>
      <c r="E836" s="38" t="n">
        <v>2700.26</v>
      </c>
    </row>
    <row r="837" customFormat="false" ht="15" hidden="false" customHeight="false" outlineLevel="0" collapsed="false">
      <c r="A837" s="0" t="n">
        <v>9</v>
      </c>
      <c r="B837" s="0" t="s">
        <v>64</v>
      </c>
      <c r="C837" s="0" t="n">
        <v>2011</v>
      </c>
      <c r="D837" s="0" t="n">
        <v>4</v>
      </c>
      <c r="E837" s="38" t="n">
        <v>4558.01</v>
      </c>
    </row>
    <row r="838" customFormat="false" ht="15" hidden="false" customHeight="false" outlineLevel="0" collapsed="false">
      <c r="A838" s="0" t="n">
        <v>9</v>
      </c>
      <c r="B838" s="0" t="s">
        <v>64</v>
      </c>
      <c r="C838" s="0" t="n">
        <v>2011</v>
      </c>
      <c r="D838" s="0" t="n">
        <v>5</v>
      </c>
      <c r="E838" s="38" t="n">
        <v>4622.49</v>
      </c>
    </row>
    <row r="839" customFormat="false" ht="15" hidden="false" customHeight="false" outlineLevel="0" collapsed="false">
      <c r="A839" s="0" t="n">
        <v>9</v>
      </c>
      <c r="B839" s="0" t="s">
        <v>64</v>
      </c>
      <c r="C839" s="0" t="n">
        <v>2011</v>
      </c>
      <c r="D839" s="0" t="n">
        <v>6</v>
      </c>
      <c r="E839" s="38" t="n">
        <v>4181.49</v>
      </c>
    </row>
    <row r="840" customFormat="false" ht="15" hidden="false" customHeight="false" outlineLevel="0" collapsed="false">
      <c r="A840" s="0" t="n">
        <v>9</v>
      </c>
      <c r="B840" s="0" t="s">
        <v>64</v>
      </c>
      <c r="C840" s="0" t="n">
        <v>2011</v>
      </c>
      <c r="D840" s="0" t="n">
        <v>7</v>
      </c>
      <c r="E840" s="38" t="n">
        <v>3329.81</v>
      </c>
    </row>
    <row r="841" customFormat="false" ht="15" hidden="false" customHeight="false" outlineLevel="0" collapsed="false">
      <c r="A841" s="0" t="n">
        <v>9</v>
      </c>
      <c r="B841" s="0" t="s">
        <v>64</v>
      </c>
      <c r="C841" s="0" t="n">
        <v>2011</v>
      </c>
      <c r="D841" s="0" t="n">
        <v>8</v>
      </c>
      <c r="E841" s="38" t="n">
        <v>2670.25</v>
      </c>
    </row>
    <row r="842" customFormat="false" ht="15" hidden="false" customHeight="false" outlineLevel="0" collapsed="false">
      <c r="A842" s="0" t="n">
        <v>9</v>
      </c>
      <c r="B842" s="0" t="s">
        <v>64</v>
      </c>
      <c r="C842" s="0" t="n">
        <v>2011</v>
      </c>
      <c r="D842" s="0" t="n">
        <v>9</v>
      </c>
      <c r="E842" s="38" t="n">
        <v>1955.21</v>
      </c>
    </row>
    <row r="843" customFormat="false" ht="15" hidden="false" customHeight="false" outlineLevel="0" collapsed="false">
      <c r="A843" s="0" t="n">
        <v>9</v>
      </c>
      <c r="B843" s="0" t="s">
        <v>64</v>
      </c>
      <c r="C843" s="0" t="n">
        <v>2011</v>
      </c>
      <c r="D843" s="0" t="n">
        <v>10</v>
      </c>
      <c r="E843" s="38" t="n">
        <v>1641.8</v>
      </c>
    </row>
    <row r="844" customFormat="false" ht="15" hidden="false" customHeight="false" outlineLevel="0" collapsed="false">
      <c r="A844" s="0" t="n">
        <v>9</v>
      </c>
      <c r="B844" s="0" t="s">
        <v>64</v>
      </c>
      <c r="C844" s="0" t="n">
        <v>2011</v>
      </c>
      <c r="D844" s="0" t="n">
        <v>11</v>
      </c>
      <c r="E844" s="38" t="n">
        <v>1544.66</v>
      </c>
    </row>
    <row r="845" customFormat="false" ht="15" hidden="false" customHeight="false" outlineLevel="0" collapsed="false">
      <c r="A845" s="0" t="n">
        <v>9</v>
      </c>
      <c r="B845" s="0" t="s">
        <v>64</v>
      </c>
      <c r="C845" s="0" t="n">
        <v>2011</v>
      </c>
      <c r="D845" s="0" t="n">
        <v>12</v>
      </c>
      <c r="E845" s="38" t="n">
        <v>990.42</v>
      </c>
    </row>
    <row r="846" customFormat="false" ht="15" hidden="false" customHeight="false" outlineLevel="0" collapsed="false">
      <c r="A846" s="0" t="n">
        <v>9</v>
      </c>
      <c r="B846" s="0" t="s">
        <v>64</v>
      </c>
      <c r="C846" s="0" t="n">
        <v>2012</v>
      </c>
      <c r="D846" s="0" t="n">
        <v>1</v>
      </c>
      <c r="E846" s="38" t="n">
        <v>1414.76</v>
      </c>
    </row>
    <row r="847" customFormat="false" ht="15" hidden="false" customHeight="false" outlineLevel="0" collapsed="false">
      <c r="A847" s="0" t="n">
        <v>9</v>
      </c>
      <c r="B847" s="0" t="s">
        <v>64</v>
      </c>
      <c r="C847" s="0" t="n">
        <v>2012</v>
      </c>
      <c r="D847" s="0" t="n">
        <v>2</v>
      </c>
      <c r="E847" s="38" t="n">
        <v>1943.96</v>
      </c>
    </row>
    <row r="848" customFormat="false" ht="15" hidden="false" customHeight="false" outlineLevel="0" collapsed="false">
      <c r="A848" s="0" t="n">
        <v>9</v>
      </c>
      <c r="B848" s="0" t="s">
        <v>64</v>
      </c>
      <c r="C848" s="0" t="n">
        <v>2012</v>
      </c>
      <c r="D848" s="0" t="n">
        <v>3</v>
      </c>
      <c r="E848" s="38" t="n">
        <v>2600.26</v>
      </c>
    </row>
    <row r="849" customFormat="false" ht="15" hidden="false" customHeight="false" outlineLevel="0" collapsed="false">
      <c r="A849" s="0" t="n">
        <v>9</v>
      </c>
      <c r="B849" s="0" t="s">
        <v>64</v>
      </c>
      <c r="C849" s="0" t="n">
        <v>2012</v>
      </c>
      <c r="D849" s="0" t="n">
        <v>4</v>
      </c>
      <c r="E849" s="38" t="n">
        <v>3909.69</v>
      </c>
    </row>
    <row r="850" customFormat="false" ht="15" hidden="false" customHeight="false" outlineLevel="0" collapsed="false">
      <c r="A850" s="0" t="n">
        <v>9</v>
      </c>
      <c r="B850" s="0" t="s">
        <v>64</v>
      </c>
      <c r="C850" s="0" t="n">
        <v>2012</v>
      </c>
      <c r="D850" s="0" t="n">
        <v>5</v>
      </c>
      <c r="E850" s="38" t="n">
        <v>5478.46</v>
      </c>
    </row>
    <row r="851" customFormat="false" ht="15" hidden="false" customHeight="false" outlineLevel="0" collapsed="false">
      <c r="A851" s="0" t="n">
        <v>9</v>
      </c>
      <c r="B851" s="0" t="s">
        <v>64</v>
      </c>
      <c r="C851" s="0" t="n">
        <v>2012</v>
      </c>
      <c r="D851" s="0" t="n">
        <v>6</v>
      </c>
      <c r="E851" s="38" t="n">
        <v>5864.67</v>
      </c>
    </row>
    <row r="852" customFormat="false" ht="15" hidden="false" customHeight="false" outlineLevel="0" collapsed="false">
      <c r="A852" s="0" t="n">
        <v>9</v>
      </c>
      <c r="B852" s="0" t="s">
        <v>64</v>
      </c>
      <c r="C852" s="0" t="n">
        <v>2012</v>
      </c>
      <c r="D852" s="0" t="n">
        <v>7</v>
      </c>
      <c r="E852" s="38" t="n">
        <v>3871.47</v>
      </c>
    </row>
    <row r="853" customFormat="false" ht="15" hidden="false" customHeight="false" outlineLevel="0" collapsed="false">
      <c r="A853" s="0" t="n">
        <v>9</v>
      </c>
      <c r="B853" s="0" t="s">
        <v>64</v>
      </c>
      <c r="C853" s="0" t="n">
        <v>2012</v>
      </c>
      <c r="D853" s="0" t="n">
        <v>8</v>
      </c>
      <c r="E853" s="38" t="n">
        <v>3065.05</v>
      </c>
    </row>
    <row r="854" customFormat="false" ht="15" hidden="false" customHeight="false" outlineLevel="0" collapsed="false">
      <c r="A854" s="0" t="n">
        <v>9</v>
      </c>
      <c r="B854" s="0" t="s">
        <v>64</v>
      </c>
      <c r="C854" s="0" t="n">
        <v>2012</v>
      </c>
      <c r="D854" s="0" t="n">
        <v>9</v>
      </c>
      <c r="E854" s="38" t="n">
        <v>2491.41</v>
      </c>
    </row>
    <row r="855" customFormat="false" ht="15" hidden="false" customHeight="false" outlineLevel="0" collapsed="false">
      <c r="A855" s="0" t="n">
        <v>9</v>
      </c>
      <c r="B855" s="0" t="s">
        <v>64</v>
      </c>
      <c r="C855" s="0" t="n">
        <v>2012</v>
      </c>
      <c r="D855" s="0" t="n">
        <v>10</v>
      </c>
      <c r="E855" s="38" t="n">
        <v>1411.86</v>
      </c>
    </row>
    <row r="856" customFormat="false" ht="15" hidden="false" customHeight="false" outlineLevel="0" collapsed="false">
      <c r="A856" s="0" t="n">
        <v>9</v>
      </c>
      <c r="B856" s="0" t="s">
        <v>64</v>
      </c>
      <c r="C856" s="0" t="n">
        <v>2012</v>
      </c>
      <c r="D856" s="0" t="n">
        <v>11</v>
      </c>
      <c r="E856" s="38" t="n">
        <v>1056.06</v>
      </c>
    </row>
    <row r="857" customFormat="false" ht="15" hidden="false" customHeight="false" outlineLevel="0" collapsed="false">
      <c r="A857" s="0" t="n">
        <v>9</v>
      </c>
      <c r="B857" s="0" t="s">
        <v>64</v>
      </c>
      <c r="C857" s="0" t="n">
        <v>2012</v>
      </c>
      <c r="D857" s="0" t="n">
        <v>12</v>
      </c>
      <c r="E857" s="38" t="n">
        <v>1384.48</v>
      </c>
    </row>
    <row r="858" customFormat="false" ht="15" hidden="false" customHeight="false" outlineLevel="0" collapsed="false">
      <c r="A858" s="0" t="n">
        <v>9</v>
      </c>
      <c r="B858" s="0" t="s">
        <v>64</v>
      </c>
      <c r="C858" s="0" t="n">
        <v>2013</v>
      </c>
      <c r="D858" s="0" t="n">
        <v>1</v>
      </c>
      <c r="E858" s="38" t="n">
        <v>1488.54</v>
      </c>
    </row>
    <row r="859" customFormat="false" ht="15" hidden="false" customHeight="false" outlineLevel="0" collapsed="false">
      <c r="A859" s="0" t="n">
        <v>9</v>
      </c>
      <c r="B859" s="0" t="s">
        <v>64</v>
      </c>
      <c r="C859" s="0" t="n">
        <v>2013</v>
      </c>
      <c r="D859" s="0" t="n">
        <v>2</v>
      </c>
      <c r="E859" s="38" t="n">
        <v>2709.84</v>
      </c>
    </row>
    <row r="860" customFormat="false" ht="15" hidden="false" customHeight="false" outlineLevel="0" collapsed="false">
      <c r="A860" s="0" t="n">
        <v>9</v>
      </c>
      <c r="B860" s="0" t="s">
        <v>64</v>
      </c>
      <c r="C860" s="0" t="n">
        <v>2013</v>
      </c>
      <c r="D860" s="0" t="n">
        <v>3</v>
      </c>
      <c r="E860" s="38" t="n">
        <v>4169</v>
      </c>
    </row>
    <row r="861" customFormat="false" ht="15" hidden="false" customHeight="false" outlineLevel="0" collapsed="false">
      <c r="A861" s="0" t="n">
        <v>9</v>
      </c>
      <c r="B861" s="0" t="s">
        <v>64</v>
      </c>
      <c r="C861" s="0" t="n">
        <v>2013</v>
      </c>
      <c r="D861" s="0" t="n">
        <v>4</v>
      </c>
      <c r="E861" s="38" t="n">
        <v>5018.01</v>
      </c>
    </row>
    <row r="862" customFormat="false" ht="15" hidden="false" customHeight="false" outlineLevel="0" collapsed="false">
      <c r="A862" s="0" t="n">
        <v>9</v>
      </c>
      <c r="B862" s="0" t="s">
        <v>64</v>
      </c>
      <c r="C862" s="0" t="n">
        <v>2013</v>
      </c>
      <c r="D862" s="0" t="n">
        <v>5</v>
      </c>
      <c r="E862" s="38" t="n">
        <v>5326.19</v>
      </c>
    </row>
    <row r="863" customFormat="false" ht="15" hidden="false" customHeight="false" outlineLevel="0" collapsed="false">
      <c r="A863" s="0" t="n">
        <v>9</v>
      </c>
      <c r="B863" s="0" t="s">
        <v>64</v>
      </c>
      <c r="C863" s="0" t="n">
        <v>2013</v>
      </c>
      <c r="D863" s="0" t="n">
        <v>6</v>
      </c>
      <c r="E863" s="38" t="n">
        <v>4751.58</v>
      </c>
    </row>
    <row r="864" customFormat="false" ht="15" hidden="false" customHeight="false" outlineLevel="0" collapsed="false">
      <c r="A864" s="0" t="n">
        <v>9</v>
      </c>
      <c r="B864" s="0" t="s">
        <v>64</v>
      </c>
      <c r="C864" s="0" t="n">
        <v>2013</v>
      </c>
      <c r="D864" s="0" t="n">
        <v>7</v>
      </c>
      <c r="E864" s="38" t="n">
        <v>3211.71</v>
      </c>
    </row>
    <row r="865" customFormat="false" ht="15" hidden="false" customHeight="false" outlineLevel="0" collapsed="false">
      <c r="A865" s="0" t="n">
        <v>9</v>
      </c>
      <c r="B865" s="0" t="s">
        <v>64</v>
      </c>
      <c r="C865" s="0" t="n">
        <v>2013</v>
      </c>
      <c r="D865" s="0" t="n">
        <v>8</v>
      </c>
      <c r="E865" s="38" t="n">
        <v>3176.38</v>
      </c>
    </row>
    <row r="866" customFormat="false" ht="15" hidden="false" customHeight="false" outlineLevel="0" collapsed="false">
      <c r="A866" s="0" t="n">
        <v>10</v>
      </c>
      <c r="B866" s="0" t="s">
        <v>60</v>
      </c>
      <c r="C866" s="0" t="n">
        <v>2011</v>
      </c>
      <c r="D866" s="0" t="n">
        <v>1</v>
      </c>
      <c r="E866" s="38" t="n">
        <v>1968970.97</v>
      </c>
    </row>
    <row r="867" customFormat="false" ht="15" hidden="false" customHeight="false" outlineLevel="0" collapsed="false">
      <c r="A867" s="0" t="n">
        <v>10</v>
      </c>
      <c r="B867" s="0" t="s">
        <v>60</v>
      </c>
      <c r="C867" s="0" t="n">
        <v>2011</v>
      </c>
      <c r="D867" s="0" t="n">
        <v>2</v>
      </c>
      <c r="E867" s="38" t="n">
        <v>2184034</v>
      </c>
    </row>
    <row r="868" customFormat="false" ht="15" hidden="false" customHeight="false" outlineLevel="0" collapsed="false">
      <c r="A868" s="0" t="n">
        <v>10</v>
      </c>
      <c r="B868" s="0" t="s">
        <v>60</v>
      </c>
      <c r="C868" s="0" t="n">
        <v>2011</v>
      </c>
      <c r="D868" s="0" t="n">
        <v>3</v>
      </c>
      <c r="E868" s="38" t="n">
        <v>2116306.18</v>
      </c>
    </row>
    <row r="869" customFormat="false" ht="15" hidden="false" customHeight="false" outlineLevel="0" collapsed="false">
      <c r="A869" s="0" t="n">
        <v>10</v>
      </c>
      <c r="B869" s="0" t="s">
        <v>60</v>
      </c>
      <c r="C869" s="0" t="n">
        <v>2011</v>
      </c>
      <c r="D869" s="0" t="n">
        <v>4</v>
      </c>
      <c r="E869" s="38" t="n">
        <v>2237772.25</v>
      </c>
    </row>
    <row r="870" customFormat="false" ht="15" hidden="false" customHeight="false" outlineLevel="0" collapsed="false">
      <c r="A870" s="0" t="n">
        <v>10</v>
      </c>
      <c r="B870" s="0" t="s">
        <v>60</v>
      </c>
      <c r="C870" s="0" t="n">
        <v>2011</v>
      </c>
      <c r="D870" s="0" t="n">
        <v>5</v>
      </c>
      <c r="E870" s="38" t="n">
        <v>2328368.81</v>
      </c>
    </row>
    <row r="871" customFormat="false" ht="15" hidden="false" customHeight="false" outlineLevel="0" collapsed="false">
      <c r="A871" s="0" t="n">
        <v>10</v>
      </c>
      <c r="B871" s="0" t="s">
        <v>60</v>
      </c>
      <c r="C871" s="0" t="n">
        <v>2011</v>
      </c>
      <c r="D871" s="0" t="n">
        <v>6</v>
      </c>
      <c r="E871" s="38" t="n">
        <v>2382788.94</v>
      </c>
    </row>
    <row r="872" customFormat="false" ht="15" hidden="false" customHeight="false" outlineLevel="0" collapsed="false">
      <c r="A872" s="0" t="n">
        <v>10</v>
      </c>
      <c r="B872" s="0" t="s">
        <v>60</v>
      </c>
      <c r="C872" s="0" t="n">
        <v>2011</v>
      </c>
      <c r="D872" s="0" t="n">
        <v>7</v>
      </c>
      <c r="E872" s="38" t="n">
        <v>2338578.17</v>
      </c>
    </row>
    <row r="873" customFormat="false" ht="15" hidden="false" customHeight="false" outlineLevel="0" collapsed="false">
      <c r="A873" s="0" t="n">
        <v>10</v>
      </c>
      <c r="B873" s="0" t="s">
        <v>60</v>
      </c>
      <c r="C873" s="0" t="n">
        <v>2011</v>
      </c>
      <c r="D873" s="0" t="n">
        <v>8</v>
      </c>
      <c r="E873" s="38" t="n">
        <v>2131501.68</v>
      </c>
    </row>
    <row r="874" customFormat="false" ht="15" hidden="false" customHeight="false" outlineLevel="0" collapsed="false">
      <c r="A874" s="0" t="n">
        <v>10</v>
      </c>
      <c r="B874" s="0" t="s">
        <v>60</v>
      </c>
      <c r="C874" s="0" t="n">
        <v>2011</v>
      </c>
      <c r="D874" s="0" t="n">
        <v>9</v>
      </c>
      <c r="E874" s="38" t="n">
        <v>2230264.02</v>
      </c>
    </row>
    <row r="875" customFormat="false" ht="15" hidden="false" customHeight="false" outlineLevel="0" collapsed="false">
      <c r="A875" s="0" t="n">
        <v>10</v>
      </c>
      <c r="B875" s="0" t="s">
        <v>60</v>
      </c>
      <c r="C875" s="0" t="n">
        <v>2011</v>
      </c>
      <c r="D875" s="0" t="n">
        <v>10</v>
      </c>
      <c r="E875" s="38" t="n">
        <v>2195567.41</v>
      </c>
    </row>
    <row r="876" customFormat="false" ht="15" hidden="false" customHeight="false" outlineLevel="0" collapsed="false">
      <c r="A876" s="0" t="n">
        <v>10</v>
      </c>
      <c r="B876" s="0" t="s">
        <v>60</v>
      </c>
      <c r="C876" s="0" t="n">
        <v>2011</v>
      </c>
      <c r="D876" s="0" t="n">
        <v>11</v>
      </c>
      <c r="E876" s="38" t="n">
        <v>2413835.85</v>
      </c>
    </row>
    <row r="877" customFormat="false" ht="15" hidden="false" customHeight="false" outlineLevel="0" collapsed="false">
      <c r="A877" s="0" t="n">
        <v>10</v>
      </c>
      <c r="B877" s="0" t="s">
        <v>60</v>
      </c>
      <c r="C877" s="0" t="n">
        <v>2011</v>
      </c>
      <c r="D877" s="0" t="n">
        <v>12</v>
      </c>
      <c r="E877" s="38" t="n">
        <v>1960351.96</v>
      </c>
    </row>
    <row r="878" customFormat="false" ht="15" hidden="false" customHeight="false" outlineLevel="0" collapsed="false">
      <c r="A878" s="0" t="n">
        <v>10</v>
      </c>
      <c r="B878" s="0" t="s">
        <v>60</v>
      </c>
      <c r="C878" s="0" t="n">
        <v>2012</v>
      </c>
      <c r="D878" s="0" t="n">
        <v>1</v>
      </c>
      <c r="E878" s="38" t="n">
        <v>2022211.9</v>
      </c>
    </row>
    <row r="879" customFormat="false" ht="15" hidden="false" customHeight="false" outlineLevel="0" collapsed="false">
      <c r="A879" s="0" t="n">
        <v>10</v>
      </c>
      <c r="B879" s="0" t="s">
        <v>60</v>
      </c>
      <c r="C879" s="0" t="n">
        <v>2012</v>
      </c>
      <c r="D879" s="0" t="n">
        <v>2</v>
      </c>
      <c r="E879" s="38" t="n">
        <v>2150591.45</v>
      </c>
    </row>
    <row r="880" customFormat="false" ht="15" hidden="false" customHeight="false" outlineLevel="0" collapsed="false">
      <c r="A880" s="0" t="n">
        <v>10</v>
      </c>
      <c r="B880" s="0" t="s">
        <v>60</v>
      </c>
      <c r="C880" s="0" t="n">
        <v>2012</v>
      </c>
      <c r="D880" s="0" t="n">
        <v>3</v>
      </c>
      <c r="E880" s="38" t="n">
        <v>2066990.76</v>
      </c>
    </row>
    <row r="881" customFormat="false" ht="15" hidden="false" customHeight="false" outlineLevel="0" collapsed="false">
      <c r="A881" s="0" t="n">
        <v>10</v>
      </c>
      <c r="B881" s="0" t="s">
        <v>60</v>
      </c>
      <c r="C881" s="0" t="n">
        <v>2012</v>
      </c>
      <c r="D881" s="0" t="n">
        <v>4</v>
      </c>
      <c r="E881" s="38" t="n">
        <v>2234707.46</v>
      </c>
    </row>
    <row r="882" customFormat="false" ht="15" hidden="false" customHeight="false" outlineLevel="0" collapsed="false">
      <c r="A882" s="0" t="n">
        <v>10</v>
      </c>
      <c r="B882" s="0" t="s">
        <v>60</v>
      </c>
      <c r="C882" s="0" t="n">
        <v>2012</v>
      </c>
      <c r="D882" s="0" t="n">
        <v>5</v>
      </c>
      <c r="E882" s="38" t="n">
        <v>2406517.69</v>
      </c>
    </row>
    <row r="883" customFormat="false" ht="15" hidden="false" customHeight="false" outlineLevel="0" collapsed="false">
      <c r="A883" s="0" t="n">
        <v>10</v>
      </c>
      <c r="B883" s="0" t="s">
        <v>60</v>
      </c>
      <c r="C883" s="0" t="n">
        <v>2012</v>
      </c>
      <c r="D883" s="0" t="n">
        <v>6</v>
      </c>
      <c r="E883" s="38" t="n">
        <v>2473417.06</v>
      </c>
    </row>
    <row r="884" customFormat="false" ht="15" hidden="false" customHeight="false" outlineLevel="0" collapsed="false">
      <c r="A884" s="0" t="n">
        <v>10</v>
      </c>
      <c r="B884" s="0" t="s">
        <v>60</v>
      </c>
      <c r="C884" s="0" t="n">
        <v>2012</v>
      </c>
      <c r="D884" s="0" t="n">
        <v>7</v>
      </c>
      <c r="E884" s="38" t="n">
        <v>2428351.15</v>
      </c>
    </row>
    <row r="885" customFormat="false" ht="15" hidden="false" customHeight="false" outlineLevel="0" collapsed="false">
      <c r="A885" s="0" t="n">
        <v>10</v>
      </c>
      <c r="B885" s="0" t="s">
        <v>60</v>
      </c>
      <c r="C885" s="0" t="n">
        <v>2012</v>
      </c>
      <c r="D885" s="0" t="n">
        <v>8</v>
      </c>
      <c r="E885" s="38" t="n">
        <v>2240060.26</v>
      </c>
    </row>
    <row r="886" customFormat="false" ht="15" hidden="false" customHeight="false" outlineLevel="0" collapsed="false">
      <c r="A886" s="0" t="n">
        <v>10</v>
      </c>
      <c r="B886" s="0" t="s">
        <v>60</v>
      </c>
      <c r="C886" s="0" t="n">
        <v>2012</v>
      </c>
      <c r="D886" s="0" t="n">
        <v>9</v>
      </c>
      <c r="E886" s="38" t="n">
        <v>2451524.68</v>
      </c>
    </row>
    <row r="887" customFormat="false" ht="15" hidden="false" customHeight="false" outlineLevel="0" collapsed="false">
      <c r="A887" s="0" t="n">
        <v>10</v>
      </c>
      <c r="B887" s="0" t="s">
        <v>60</v>
      </c>
      <c r="C887" s="0" t="n">
        <v>2012</v>
      </c>
      <c r="D887" s="0" t="n">
        <v>10</v>
      </c>
      <c r="E887" s="38" t="n">
        <v>2339633.22</v>
      </c>
    </row>
    <row r="888" customFormat="false" ht="15" hidden="false" customHeight="false" outlineLevel="0" collapsed="false">
      <c r="A888" s="0" t="n">
        <v>10</v>
      </c>
      <c r="B888" s="0" t="s">
        <v>60</v>
      </c>
      <c r="C888" s="0" t="n">
        <v>2012</v>
      </c>
      <c r="D888" s="0" t="n">
        <v>11</v>
      </c>
      <c r="E888" s="38" t="n">
        <v>2446043.71</v>
      </c>
    </row>
    <row r="889" customFormat="false" ht="15" hidden="false" customHeight="false" outlineLevel="0" collapsed="false">
      <c r="A889" s="0" t="n">
        <v>10</v>
      </c>
      <c r="B889" s="0" t="s">
        <v>60</v>
      </c>
      <c r="C889" s="0" t="n">
        <v>2012</v>
      </c>
      <c r="D889" s="0" t="n">
        <v>12</v>
      </c>
      <c r="E889" s="38" t="n">
        <v>1943415.09</v>
      </c>
    </row>
    <row r="890" customFormat="false" ht="15" hidden="false" customHeight="false" outlineLevel="0" collapsed="false">
      <c r="A890" s="0" t="n">
        <v>10</v>
      </c>
      <c r="B890" s="0" t="s">
        <v>60</v>
      </c>
      <c r="C890" s="0" t="n">
        <v>2013</v>
      </c>
      <c r="D890" s="0" t="n">
        <v>1</v>
      </c>
      <c r="E890" s="38" t="n">
        <v>2126580.62</v>
      </c>
    </row>
    <row r="891" customFormat="false" ht="15" hidden="false" customHeight="false" outlineLevel="0" collapsed="false">
      <c r="A891" s="0" t="n">
        <v>10</v>
      </c>
      <c r="B891" s="0" t="s">
        <v>60</v>
      </c>
      <c r="C891" s="0" t="n">
        <v>2013</v>
      </c>
      <c r="D891" s="0" t="n">
        <v>2</v>
      </c>
      <c r="E891" s="38" t="n">
        <v>2423047.7</v>
      </c>
    </row>
    <row r="892" customFormat="false" ht="15" hidden="false" customHeight="false" outlineLevel="0" collapsed="false">
      <c r="A892" s="0" t="n">
        <v>10</v>
      </c>
      <c r="B892" s="0" t="s">
        <v>60</v>
      </c>
      <c r="C892" s="0" t="n">
        <v>2013</v>
      </c>
      <c r="D892" s="0" t="n">
        <v>3</v>
      </c>
      <c r="E892" s="38" t="n">
        <v>2254413.73</v>
      </c>
    </row>
    <row r="893" customFormat="false" ht="15" hidden="false" customHeight="false" outlineLevel="0" collapsed="false">
      <c r="A893" s="0" t="n">
        <v>10</v>
      </c>
      <c r="B893" s="0" t="s">
        <v>60</v>
      </c>
      <c r="C893" s="0" t="n">
        <v>2013</v>
      </c>
      <c r="D893" s="0" t="n">
        <v>4</v>
      </c>
      <c r="E893" s="38" t="n">
        <v>2434450.83</v>
      </c>
    </row>
    <row r="894" customFormat="false" ht="15" hidden="false" customHeight="false" outlineLevel="0" collapsed="false">
      <c r="A894" s="0" t="n">
        <v>10</v>
      </c>
      <c r="B894" s="0" t="s">
        <v>60</v>
      </c>
      <c r="C894" s="0" t="n">
        <v>2013</v>
      </c>
      <c r="D894" s="0" t="n">
        <v>5</v>
      </c>
      <c r="E894" s="38" t="n">
        <v>2474419.85</v>
      </c>
    </row>
    <row r="895" customFormat="false" ht="15" hidden="false" customHeight="false" outlineLevel="0" collapsed="false">
      <c r="A895" s="0" t="n">
        <v>10</v>
      </c>
      <c r="B895" s="0" t="s">
        <v>60</v>
      </c>
      <c r="C895" s="0" t="n">
        <v>2013</v>
      </c>
      <c r="D895" s="0" t="n">
        <v>6</v>
      </c>
      <c r="E895" s="38" t="n">
        <v>2562727.77</v>
      </c>
    </row>
    <row r="896" customFormat="false" ht="15" hidden="false" customHeight="false" outlineLevel="0" collapsed="false">
      <c r="A896" s="0" t="n">
        <v>10</v>
      </c>
      <c r="B896" s="0" t="s">
        <v>60</v>
      </c>
      <c r="C896" s="0" t="n">
        <v>2013</v>
      </c>
      <c r="D896" s="0" t="n">
        <v>7</v>
      </c>
      <c r="E896" s="38" t="n">
        <v>2440561.64</v>
      </c>
    </row>
    <row r="897" customFormat="false" ht="15" hidden="false" customHeight="false" outlineLevel="0" collapsed="false">
      <c r="A897" s="0" t="n">
        <v>10</v>
      </c>
      <c r="B897" s="0" t="s">
        <v>60</v>
      </c>
      <c r="C897" s="0" t="n">
        <v>2013</v>
      </c>
      <c r="D897" s="0" t="n">
        <v>8</v>
      </c>
      <c r="E897" s="38" t="n">
        <v>2216504.88</v>
      </c>
    </row>
    <row r="898" customFormat="false" ht="15" hidden="false" customHeight="false" outlineLevel="0" collapsed="false">
      <c r="A898" s="0" t="n">
        <v>10</v>
      </c>
      <c r="B898" s="0" t="s">
        <v>62</v>
      </c>
      <c r="C898" s="0" t="n">
        <v>2011</v>
      </c>
      <c r="D898" s="0" t="n">
        <v>1</v>
      </c>
      <c r="E898" s="38" t="n">
        <v>1113311.9</v>
      </c>
    </row>
    <row r="899" customFormat="false" ht="15" hidden="false" customHeight="false" outlineLevel="0" collapsed="false">
      <c r="A899" s="0" t="n">
        <v>10</v>
      </c>
      <c r="B899" s="0" t="s">
        <v>62</v>
      </c>
      <c r="C899" s="0" t="n">
        <v>2011</v>
      </c>
      <c r="D899" s="0" t="n">
        <v>2</v>
      </c>
      <c r="E899" s="38" t="n">
        <v>1285261.4</v>
      </c>
    </row>
    <row r="900" customFormat="false" ht="15" hidden="false" customHeight="false" outlineLevel="0" collapsed="false">
      <c r="A900" s="0" t="n">
        <v>10</v>
      </c>
      <c r="B900" s="0" t="s">
        <v>62</v>
      </c>
      <c r="C900" s="0" t="n">
        <v>2011</v>
      </c>
      <c r="D900" s="0" t="n">
        <v>3</v>
      </c>
      <c r="E900" s="38" t="n">
        <v>1256249.49</v>
      </c>
    </row>
    <row r="901" customFormat="false" ht="15" hidden="false" customHeight="false" outlineLevel="0" collapsed="false">
      <c r="A901" s="0" t="n">
        <v>10</v>
      </c>
      <c r="B901" s="0" t="s">
        <v>62</v>
      </c>
      <c r="C901" s="0" t="n">
        <v>2011</v>
      </c>
      <c r="D901" s="0" t="n">
        <v>4</v>
      </c>
      <c r="E901" s="38" t="n">
        <v>1323208.22</v>
      </c>
    </row>
    <row r="902" customFormat="false" ht="15" hidden="false" customHeight="false" outlineLevel="0" collapsed="false">
      <c r="A902" s="0" t="n">
        <v>10</v>
      </c>
      <c r="B902" s="0" t="s">
        <v>62</v>
      </c>
      <c r="C902" s="0" t="n">
        <v>2011</v>
      </c>
      <c r="D902" s="0" t="n">
        <v>5</v>
      </c>
      <c r="E902" s="38" t="n">
        <v>1373067.92</v>
      </c>
    </row>
    <row r="903" customFormat="false" ht="15" hidden="false" customHeight="false" outlineLevel="0" collapsed="false">
      <c r="A903" s="0" t="n">
        <v>10</v>
      </c>
      <c r="B903" s="0" t="s">
        <v>62</v>
      </c>
      <c r="C903" s="0" t="n">
        <v>2011</v>
      </c>
      <c r="D903" s="0" t="n">
        <v>6</v>
      </c>
      <c r="E903" s="38" t="n">
        <v>1417283.03</v>
      </c>
    </row>
    <row r="904" customFormat="false" ht="15" hidden="false" customHeight="false" outlineLevel="0" collapsed="false">
      <c r="A904" s="0" t="n">
        <v>10</v>
      </c>
      <c r="B904" s="0" t="s">
        <v>62</v>
      </c>
      <c r="C904" s="0" t="n">
        <v>2011</v>
      </c>
      <c r="D904" s="0" t="n">
        <v>7</v>
      </c>
      <c r="E904" s="38" t="n">
        <v>1355090.03</v>
      </c>
    </row>
    <row r="905" customFormat="false" ht="15" hidden="false" customHeight="false" outlineLevel="0" collapsed="false">
      <c r="A905" s="0" t="n">
        <v>10</v>
      </c>
      <c r="B905" s="0" t="s">
        <v>62</v>
      </c>
      <c r="C905" s="0" t="n">
        <v>2011</v>
      </c>
      <c r="D905" s="0" t="n">
        <v>8</v>
      </c>
      <c r="E905" s="38" t="n">
        <v>1218483.92</v>
      </c>
    </row>
    <row r="906" customFormat="false" ht="15" hidden="false" customHeight="false" outlineLevel="0" collapsed="false">
      <c r="A906" s="0" t="n">
        <v>10</v>
      </c>
      <c r="B906" s="0" t="s">
        <v>62</v>
      </c>
      <c r="C906" s="0" t="n">
        <v>2011</v>
      </c>
      <c r="D906" s="0" t="n">
        <v>9</v>
      </c>
      <c r="E906" s="38" t="n">
        <v>1255144.92</v>
      </c>
    </row>
    <row r="907" customFormat="false" ht="15" hidden="false" customHeight="false" outlineLevel="0" collapsed="false">
      <c r="A907" s="0" t="n">
        <v>10</v>
      </c>
      <c r="B907" s="0" t="s">
        <v>62</v>
      </c>
      <c r="C907" s="0" t="n">
        <v>2011</v>
      </c>
      <c r="D907" s="0" t="n">
        <v>10</v>
      </c>
      <c r="E907" s="38" t="n">
        <v>1267731.03</v>
      </c>
    </row>
    <row r="908" customFormat="false" ht="15" hidden="false" customHeight="false" outlineLevel="0" collapsed="false">
      <c r="A908" s="0" t="n">
        <v>10</v>
      </c>
      <c r="B908" s="0" t="s">
        <v>62</v>
      </c>
      <c r="C908" s="0" t="n">
        <v>2011</v>
      </c>
      <c r="D908" s="0" t="n">
        <v>11</v>
      </c>
      <c r="E908" s="38" t="n">
        <v>1506592.51</v>
      </c>
    </row>
    <row r="909" customFormat="false" ht="15" hidden="false" customHeight="false" outlineLevel="0" collapsed="false">
      <c r="A909" s="0" t="n">
        <v>10</v>
      </c>
      <c r="B909" s="0" t="s">
        <v>62</v>
      </c>
      <c r="C909" s="0" t="n">
        <v>2011</v>
      </c>
      <c r="D909" s="0" t="n">
        <v>12</v>
      </c>
      <c r="E909" s="38" t="n">
        <v>1195518.1</v>
      </c>
    </row>
    <row r="910" customFormat="false" ht="15" hidden="false" customHeight="false" outlineLevel="0" collapsed="false">
      <c r="A910" s="0" t="n">
        <v>10</v>
      </c>
      <c r="B910" s="0" t="s">
        <v>62</v>
      </c>
      <c r="C910" s="0" t="n">
        <v>2012</v>
      </c>
      <c r="D910" s="0" t="n">
        <v>1</v>
      </c>
      <c r="E910" s="38" t="n">
        <v>1139125.29</v>
      </c>
    </row>
    <row r="911" customFormat="false" ht="15" hidden="false" customHeight="false" outlineLevel="0" collapsed="false">
      <c r="A911" s="0" t="n">
        <v>10</v>
      </c>
      <c r="B911" s="0" t="s">
        <v>62</v>
      </c>
      <c r="C911" s="0" t="n">
        <v>2012</v>
      </c>
      <c r="D911" s="0" t="n">
        <v>2</v>
      </c>
      <c r="E911" s="38" t="n">
        <v>1222039.52</v>
      </c>
    </row>
    <row r="912" customFormat="false" ht="15" hidden="false" customHeight="false" outlineLevel="0" collapsed="false">
      <c r="A912" s="0" t="n">
        <v>10</v>
      </c>
      <c r="B912" s="0" t="s">
        <v>62</v>
      </c>
      <c r="C912" s="0" t="n">
        <v>2012</v>
      </c>
      <c r="D912" s="0" t="n">
        <v>3</v>
      </c>
      <c r="E912" s="38" t="n">
        <v>1213560.82</v>
      </c>
    </row>
    <row r="913" customFormat="false" ht="15" hidden="false" customHeight="false" outlineLevel="0" collapsed="false">
      <c r="A913" s="0" t="n">
        <v>10</v>
      </c>
      <c r="B913" s="0" t="s">
        <v>62</v>
      </c>
      <c r="C913" s="0" t="n">
        <v>2012</v>
      </c>
      <c r="D913" s="0" t="n">
        <v>4</v>
      </c>
      <c r="E913" s="38" t="n">
        <v>1330916.3</v>
      </c>
    </row>
    <row r="914" customFormat="false" ht="15" hidden="false" customHeight="false" outlineLevel="0" collapsed="false">
      <c r="A914" s="0" t="n">
        <v>10</v>
      </c>
      <c r="B914" s="0" t="s">
        <v>62</v>
      </c>
      <c r="C914" s="0" t="n">
        <v>2012</v>
      </c>
      <c r="D914" s="0" t="n">
        <v>5</v>
      </c>
      <c r="E914" s="38" t="n">
        <v>1412879.54</v>
      </c>
    </row>
    <row r="915" customFormat="false" ht="15" hidden="false" customHeight="false" outlineLevel="0" collapsed="false">
      <c r="A915" s="0" t="n">
        <v>10</v>
      </c>
      <c r="B915" s="0" t="s">
        <v>62</v>
      </c>
      <c r="C915" s="0" t="n">
        <v>2012</v>
      </c>
      <c r="D915" s="0" t="n">
        <v>6</v>
      </c>
      <c r="E915" s="38" t="n">
        <v>1429342.36</v>
      </c>
    </row>
    <row r="916" customFormat="false" ht="15" hidden="false" customHeight="false" outlineLevel="0" collapsed="false">
      <c r="A916" s="0" t="n">
        <v>10</v>
      </c>
      <c r="B916" s="0" t="s">
        <v>62</v>
      </c>
      <c r="C916" s="0" t="n">
        <v>2012</v>
      </c>
      <c r="D916" s="0" t="n">
        <v>7</v>
      </c>
      <c r="E916" s="38" t="n">
        <v>1370197.13</v>
      </c>
    </row>
    <row r="917" customFormat="false" ht="15" hidden="false" customHeight="false" outlineLevel="0" collapsed="false">
      <c r="A917" s="0" t="n">
        <v>10</v>
      </c>
      <c r="B917" s="0" t="s">
        <v>62</v>
      </c>
      <c r="C917" s="0" t="n">
        <v>2012</v>
      </c>
      <c r="D917" s="0" t="n">
        <v>8</v>
      </c>
      <c r="E917" s="38" t="n">
        <v>1258911.47</v>
      </c>
    </row>
    <row r="918" customFormat="false" ht="15" hidden="false" customHeight="false" outlineLevel="0" collapsed="false">
      <c r="A918" s="0" t="n">
        <v>10</v>
      </c>
      <c r="B918" s="0" t="s">
        <v>62</v>
      </c>
      <c r="C918" s="0" t="n">
        <v>2012</v>
      </c>
      <c r="D918" s="0" t="n">
        <v>9</v>
      </c>
      <c r="E918" s="38" t="n">
        <v>1361153.94</v>
      </c>
    </row>
    <row r="919" customFormat="false" ht="15" hidden="false" customHeight="false" outlineLevel="0" collapsed="false">
      <c r="A919" s="0" t="n">
        <v>10</v>
      </c>
      <c r="B919" s="0" t="s">
        <v>62</v>
      </c>
      <c r="C919" s="0" t="n">
        <v>2012</v>
      </c>
      <c r="D919" s="0" t="n">
        <v>10</v>
      </c>
      <c r="E919" s="38" t="n">
        <v>1325215.45</v>
      </c>
    </row>
    <row r="920" customFormat="false" ht="15" hidden="false" customHeight="false" outlineLevel="0" collapsed="false">
      <c r="A920" s="0" t="n">
        <v>10</v>
      </c>
      <c r="B920" s="0" t="s">
        <v>62</v>
      </c>
      <c r="C920" s="0" t="n">
        <v>2012</v>
      </c>
      <c r="D920" s="0" t="n">
        <v>11</v>
      </c>
      <c r="E920" s="38" t="n">
        <v>1412923.44</v>
      </c>
    </row>
    <row r="921" customFormat="false" ht="15" hidden="false" customHeight="false" outlineLevel="0" collapsed="false">
      <c r="A921" s="0" t="n">
        <v>10</v>
      </c>
      <c r="B921" s="0" t="s">
        <v>62</v>
      </c>
      <c r="C921" s="0" t="n">
        <v>2012</v>
      </c>
      <c r="D921" s="0" t="n">
        <v>12</v>
      </c>
      <c r="E921" s="38" t="n">
        <v>1156581.85</v>
      </c>
    </row>
    <row r="922" customFormat="false" ht="15" hidden="false" customHeight="false" outlineLevel="0" collapsed="false">
      <c r="A922" s="0" t="n">
        <v>10</v>
      </c>
      <c r="B922" s="0" t="s">
        <v>62</v>
      </c>
      <c r="C922" s="0" t="n">
        <v>2013</v>
      </c>
      <c r="D922" s="0" t="n">
        <v>1</v>
      </c>
      <c r="E922" s="38" t="n">
        <v>1170552.43</v>
      </c>
    </row>
    <row r="923" customFormat="false" ht="15" hidden="false" customHeight="false" outlineLevel="0" collapsed="false">
      <c r="A923" s="0" t="n">
        <v>10</v>
      </c>
      <c r="B923" s="0" t="s">
        <v>62</v>
      </c>
      <c r="C923" s="0" t="n">
        <v>2013</v>
      </c>
      <c r="D923" s="0" t="n">
        <v>2</v>
      </c>
      <c r="E923" s="38" t="n">
        <v>1301255.61</v>
      </c>
    </row>
    <row r="924" customFormat="false" ht="15" hidden="false" customHeight="false" outlineLevel="0" collapsed="false">
      <c r="A924" s="0" t="n">
        <v>10</v>
      </c>
      <c r="B924" s="0" t="s">
        <v>62</v>
      </c>
      <c r="C924" s="0" t="n">
        <v>2013</v>
      </c>
      <c r="D924" s="0" t="n">
        <v>3</v>
      </c>
      <c r="E924" s="38" t="n">
        <v>1259624.2</v>
      </c>
    </row>
    <row r="925" customFormat="false" ht="15" hidden="false" customHeight="false" outlineLevel="0" collapsed="false">
      <c r="A925" s="0" t="n">
        <v>10</v>
      </c>
      <c r="B925" s="0" t="s">
        <v>62</v>
      </c>
      <c r="C925" s="0" t="n">
        <v>2013</v>
      </c>
      <c r="D925" s="0" t="n">
        <v>4</v>
      </c>
      <c r="E925" s="38" t="n">
        <v>1368526.41</v>
      </c>
    </row>
    <row r="926" customFormat="false" ht="15" hidden="false" customHeight="false" outlineLevel="0" collapsed="false">
      <c r="A926" s="0" t="n">
        <v>10</v>
      </c>
      <c r="B926" s="0" t="s">
        <v>62</v>
      </c>
      <c r="C926" s="0" t="n">
        <v>2013</v>
      </c>
      <c r="D926" s="0" t="n">
        <v>5</v>
      </c>
      <c r="E926" s="38" t="n">
        <v>1396709.76</v>
      </c>
    </row>
    <row r="927" customFormat="false" ht="15" hidden="false" customHeight="false" outlineLevel="0" collapsed="false">
      <c r="A927" s="0" t="n">
        <v>10</v>
      </c>
      <c r="B927" s="0" t="s">
        <v>62</v>
      </c>
      <c r="C927" s="0" t="n">
        <v>2013</v>
      </c>
      <c r="D927" s="0" t="n">
        <v>6</v>
      </c>
      <c r="E927" s="38" t="n">
        <v>1413401.37</v>
      </c>
    </row>
    <row r="928" customFormat="false" ht="15" hidden="false" customHeight="false" outlineLevel="0" collapsed="false">
      <c r="A928" s="0" t="n">
        <v>10</v>
      </c>
      <c r="B928" s="0" t="s">
        <v>62</v>
      </c>
      <c r="C928" s="0" t="n">
        <v>2013</v>
      </c>
      <c r="D928" s="0" t="n">
        <v>7</v>
      </c>
      <c r="E928" s="38" t="n">
        <v>1322605.71</v>
      </c>
    </row>
    <row r="929" customFormat="false" ht="15" hidden="false" customHeight="false" outlineLevel="0" collapsed="false">
      <c r="A929" s="0" t="n">
        <v>10</v>
      </c>
      <c r="B929" s="0" t="s">
        <v>62</v>
      </c>
      <c r="C929" s="0" t="n">
        <v>2013</v>
      </c>
      <c r="D929" s="0" t="n">
        <v>8</v>
      </c>
      <c r="E929" s="38" t="n">
        <v>1238931.11</v>
      </c>
    </row>
    <row r="930" customFormat="false" ht="15" hidden="false" customHeight="false" outlineLevel="0" collapsed="false">
      <c r="A930" s="0" t="n">
        <v>10</v>
      </c>
      <c r="B930" s="0" t="s">
        <v>64</v>
      </c>
      <c r="C930" s="0" t="n">
        <v>2011</v>
      </c>
      <c r="D930" s="0" t="n">
        <v>1</v>
      </c>
      <c r="E930" s="38" t="n">
        <v>7256.38</v>
      </c>
    </row>
    <row r="931" customFormat="false" ht="15" hidden="false" customHeight="false" outlineLevel="0" collapsed="false">
      <c r="A931" s="0" t="n">
        <v>10</v>
      </c>
      <c r="B931" s="0" t="s">
        <v>64</v>
      </c>
      <c r="C931" s="0" t="n">
        <v>2011</v>
      </c>
      <c r="D931" s="0" t="n">
        <v>2</v>
      </c>
      <c r="E931" s="38" t="n">
        <v>7985.05</v>
      </c>
    </row>
    <row r="932" customFormat="false" ht="15" hidden="false" customHeight="false" outlineLevel="0" collapsed="false">
      <c r="A932" s="0" t="n">
        <v>10</v>
      </c>
      <c r="B932" s="0" t="s">
        <v>64</v>
      </c>
      <c r="C932" s="0" t="n">
        <v>2011</v>
      </c>
      <c r="D932" s="0" t="n">
        <v>3</v>
      </c>
      <c r="E932" s="38" t="n">
        <v>8612.9</v>
      </c>
    </row>
    <row r="933" customFormat="false" ht="15" hidden="false" customHeight="false" outlineLevel="0" collapsed="false">
      <c r="A933" s="0" t="n">
        <v>10</v>
      </c>
      <c r="B933" s="0" t="s">
        <v>64</v>
      </c>
      <c r="C933" s="0" t="n">
        <v>2011</v>
      </c>
      <c r="D933" s="0" t="n">
        <v>4</v>
      </c>
      <c r="E933" s="38" t="n">
        <v>8877.36</v>
      </c>
    </row>
    <row r="934" customFormat="false" ht="15" hidden="false" customHeight="false" outlineLevel="0" collapsed="false">
      <c r="A934" s="0" t="n">
        <v>10</v>
      </c>
      <c r="B934" s="0" t="s">
        <v>64</v>
      </c>
      <c r="C934" s="0" t="n">
        <v>2011</v>
      </c>
      <c r="D934" s="0" t="n">
        <v>5</v>
      </c>
      <c r="E934" s="38" t="n">
        <v>8096.05</v>
      </c>
    </row>
    <row r="935" customFormat="false" ht="15" hidden="false" customHeight="false" outlineLevel="0" collapsed="false">
      <c r="A935" s="0" t="n">
        <v>10</v>
      </c>
      <c r="B935" s="0" t="s">
        <v>64</v>
      </c>
      <c r="C935" s="0" t="n">
        <v>2011</v>
      </c>
      <c r="D935" s="0" t="n">
        <v>6</v>
      </c>
      <c r="E935" s="38" t="n">
        <v>8754.78</v>
      </c>
    </row>
    <row r="936" customFormat="false" ht="15" hidden="false" customHeight="false" outlineLevel="0" collapsed="false">
      <c r="A936" s="0" t="n">
        <v>10</v>
      </c>
      <c r="B936" s="0" t="s">
        <v>64</v>
      </c>
      <c r="C936" s="0" t="n">
        <v>2011</v>
      </c>
      <c r="D936" s="0" t="n">
        <v>7</v>
      </c>
      <c r="E936" s="38" t="n">
        <v>9103.51</v>
      </c>
    </row>
    <row r="937" customFormat="false" ht="15" hidden="false" customHeight="false" outlineLevel="0" collapsed="false">
      <c r="A937" s="0" t="n">
        <v>10</v>
      </c>
      <c r="B937" s="0" t="s">
        <v>64</v>
      </c>
      <c r="C937" s="0" t="n">
        <v>2011</v>
      </c>
      <c r="D937" s="0" t="n">
        <v>8</v>
      </c>
      <c r="E937" s="38" t="n">
        <v>8744.03</v>
      </c>
    </row>
    <row r="938" customFormat="false" ht="15" hidden="false" customHeight="false" outlineLevel="0" collapsed="false">
      <c r="A938" s="0" t="n">
        <v>10</v>
      </c>
      <c r="B938" s="0" t="s">
        <v>64</v>
      </c>
      <c r="C938" s="0" t="n">
        <v>2011</v>
      </c>
      <c r="D938" s="0" t="n">
        <v>9</v>
      </c>
      <c r="E938" s="38" t="n">
        <v>8379.43</v>
      </c>
    </row>
    <row r="939" customFormat="false" ht="15" hidden="false" customHeight="false" outlineLevel="0" collapsed="false">
      <c r="A939" s="0" t="n">
        <v>10</v>
      </c>
      <c r="B939" s="0" t="s">
        <v>64</v>
      </c>
      <c r="C939" s="0" t="n">
        <v>2011</v>
      </c>
      <c r="D939" s="0" t="n">
        <v>10</v>
      </c>
      <c r="E939" s="38" t="n">
        <v>8672.37</v>
      </c>
    </row>
    <row r="940" customFormat="false" ht="15" hidden="false" customHeight="false" outlineLevel="0" collapsed="false">
      <c r="A940" s="0" t="n">
        <v>10</v>
      </c>
      <c r="B940" s="0" t="s">
        <v>64</v>
      </c>
      <c r="C940" s="0" t="n">
        <v>2011</v>
      </c>
      <c r="D940" s="0" t="n">
        <v>11</v>
      </c>
      <c r="E940" s="38" t="n">
        <v>9281.29</v>
      </c>
    </row>
    <row r="941" customFormat="false" ht="15" hidden="false" customHeight="false" outlineLevel="0" collapsed="false">
      <c r="A941" s="0" t="n">
        <v>10</v>
      </c>
      <c r="B941" s="0" t="s">
        <v>64</v>
      </c>
      <c r="C941" s="0" t="n">
        <v>2011</v>
      </c>
      <c r="D941" s="0" t="n">
        <v>12</v>
      </c>
      <c r="E941" s="38" t="n">
        <v>8753.14</v>
      </c>
    </row>
    <row r="942" customFormat="false" ht="15" hidden="false" customHeight="false" outlineLevel="0" collapsed="false">
      <c r="A942" s="0" t="n">
        <v>10</v>
      </c>
      <c r="B942" s="0" t="s">
        <v>64</v>
      </c>
      <c r="C942" s="0" t="n">
        <v>2012</v>
      </c>
      <c r="D942" s="0" t="n">
        <v>1</v>
      </c>
      <c r="E942" s="38" t="n">
        <v>9031.76</v>
      </c>
    </row>
    <row r="943" customFormat="false" ht="15" hidden="false" customHeight="false" outlineLevel="0" collapsed="false">
      <c r="A943" s="0" t="n">
        <v>10</v>
      </c>
      <c r="B943" s="0" t="s">
        <v>64</v>
      </c>
      <c r="C943" s="0" t="n">
        <v>2012</v>
      </c>
      <c r="D943" s="0" t="n">
        <v>2</v>
      </c>
      <c r="E943" s="38" t="n">
        <v>9215.28</v>
      </c>
    </row>
    <row r="944" customFormat="false" ht="15" hidden="false" customHeight="false" outlineLevel="0" collapsed="false">
      <c r="A944" s="0" t="n">
        <v>10</v>
      </c>
      <c r="B944" s="0" t="s">
        <v>64</v>
      </c>
      <c r="C944" s="0" t="n">
        <v>2012</v>
      </c>
      <c r="D944" s="0" t="n">
        <v>3</v>
      </c>
      <c r="E944" s="38" t="n">
        <v>8549.33</v>
      </c>
    </row>
    <row r="945" customFormat="false" ht="15" hidden="false" customHeight="false" outlineLevel="0" collapsed="false">
      <c r="A945" s="0" t="n">
        <v>10</v>
      </c>
      <c r="B945" s="0" t="s">
        <v>64</v>
      </c>
      <c r="C945" s="0" t="n">
        <v>2012</v>
      </c>
      <c r="D945" s="0" t="n">
        <v>4</v>
      </c>
      <c r="E945" s="38" t="n">
        <v>8504.4</v>
      </c>
    </row>
    <row r="946" customFormat="false" ht="15" hidden="false" customHeight="false" outlineLevel="0" collapsed="false">
      <c r="A946" s="0" t="n">
        <v>10</v>
      </c>
      <c r="B946" s="0" t="s">
        <v>64</v>
      </c>
      <c r="C946" s="0" t="n">
        <v>2012</v>
      </c>
      <c r="D946" s="0" t="n">
        <v>5</v>
      </c>
      <c r="E946" s="38" t="n">
        <v>8514.16</v>
      </c>
    </row>
    <row r="947" customFormat="false" ht="15" hidden="false" customHeight="false" outlineLevel="0" collapsed="false">
      <c r="A947" s="0" t="n">
        <v>10</v>
      </c>
      <c r="B947" s="0" t="s">
        <v>64</v>
      </c>
      <c r="C947" s="0" t="n">
        <v>2012</v>
      </c>
      <c r="D947" s="0" t="n">
        <v>6</v>
      </c>
      <c r="E947" s="38" t="n">
        <v>8847.52</v>
      </c>
    </row>
    <row r="948" customFormat="false" ht="15" hidden="false" customHeight="false" outlineLevel="0" collapsed="false">
      <c r="A948" s="0" t="n">
        <v>10</v>
      </c>
      <c r="B948" s="0" t="s">
        <v>64</v>
      </c>
      <c r="C948" s="0" t="n">
        <v>2012</v>
      </c>
      <c r="D948" s="0" t="n">
        <v>7</v>
      </c>
      <c r="E948" s="38" t="n">
        <v>8952.32</v>
      </c>
    </row>
    <row r="949" customFormat="false" ht="15" hidden="false" customHeight="false" outlineLevel="0" collapsed="false">
      <c r="A949" s="0" t="n">
        <v>10</v>
      </c>
      <c r="B949" s="0" t="s">
        <v>64</v>
      </c>
      <c r="C949" s="0" t="n">
        <v>2012</v>
      </c>
      <c r="D949" s="0" t="n">
        <v>8</v>
      </c>
      <c r="E949" s="38" t="n">
        <v>8716.58</v>
      </c>
    </row>
    <row r="950" customFormat="false" ht="15" hidden="false" customHeight="false" outlineLevel="0" collapsed="false">
      <c r="A950" s="0" t="n">
        <v>10</v>
      </c>
      <c r="B950" s="0" t="s">
        <v>64</v>
      </c>
      <c r="C950" s="0" t="n">
        <v>2012</v>
      </c>
      <c r="D950" s="0" t="n">
        <v>9</v>
      </c>
      <c r="E950" s="38" t="n">
        <v>8647.23</v>
      </c>
    </row>
    <row r="951" customFormat="false" ht="15" hidden="false" customHeight="false" outlineLevel="0" collapsed="false">
      <c r="A951" s="0" t="n">
        <v>10</v>
      </c>
      <c r="B951" s="0" t="s">
        <v>64</v>
      </c>
      <c r="C951" s="0" t="n">
        <v>2012</v>
      </c>
      <c r="D951" s="0" t="n">
        <v>10</v>
      </c>
      <c r="E951" s="38" t="n">
        <v>8526.79</v>
      </c>
    </row>
    <row r="952" customFormat="false" ht="15" hidden="false" customHeight="false" outlineLevel="0" collapsed="false">
      <c r="A952" s="0" t="n">
        <v>10</v>
      </c>
      <c r="B952" s="0" t="s">
        <v>64</v>
      </c>
      <c r="C952" s="0" t="n">
        <v>2012</v>
      </c>
      <c r="D952" s="0" t="n">
        <v>11</v>
      </c>
      <c r="E952" s="38" t="n">
        <v>9642.2</v>
      </c>
    </row>
    <row r="953" customFormat="false" ht="15" hidden="false" customHeight="false" outlineLevel="0" collapsed="false">
      <c r="A953" s="0" t="n">
        <v>10</v>
      </c>
      <c r="B953" s="0" t="s">
        <v>64</v>
      </c>
      <c r="C953" s="0" t="n">
        <v>2012</v>
      </c>
      <c r="D953" s="0" t="n">
        <v>12</v>
      </c>
      <c r="E953" s="38" t="n">
        <v>8883.24</v>
      </c>
    </row>
    <row r="954" customFormat="false" ht="15" hidden="false" customHeight="false" outlineLevel="0" collapsed="false">
      <c r="A954" s="0" t="n">
        <v>10</v>
      </c>
      <c r="B954" s="0" t="s">
        <v>64</v>
      </c>
      <c r="C954" s="0" t="n">
        <v>2013</v>
      </c>
      <c r="D954" s="0" t="n">
        <v>1</v>
      </c>
      <c r="E954" s="38" t="n">
        <v>8709.07</v>
      </c>
    </row>
    <row r="955" customFormat="false" ht="15" hidden="false" customHeight="false" outlineLevel="0" collapsed="false">
      <c r="A955" s="0" t="n">
        <v>10</v>
      </c>
      <c r="B955" s="0" t="s">
        <v>64</v>
      </c>
      <c r="C955" s="0" t="n">
        <v>2013</v>
      </c>
      <c r="D955" s="0" t="n">
        <v>2</v>
      </c>
      <c r="E955" s="38" t="n">
        <v>9732.37</v>
      </c>
    </row>
    <row r="956" customFormat="false" ht="15" hidden="false" customHeight="false" outlineLevel="0" collapsed="false">
      <c r="A956" s="0" t="n">
        <v>10</v>
      </c>
      <c r="B956" s="0" t="s">
        <v>64</v>
      </c>
      <c r="C956" s="0" t="n">
        <v>2013</v>
      </c>
      <c r="D956" s="0" t="n">
        <v>3</v>
      </c>
      <c r="E956" s="38" t="n">
        <v>8619.64</v>
      </c>
    </row>
    <row r="957" customFormat="false" ht="15" hidden="false" customHeight="false" outlineLevel="0" collapsed="false">
      <c r="A957" s="0" t="n">
        <v>10</v>
      </c>
      <c r="B957" s="0" t="s">
        <v>64</v>
      </c>
      <c r="C957" s="0" t="n">
        <v>2013</v>
      </c>
      <c r="D957" s="0" t="n">
        <v>4</v>
      </c>
      <c r="E957" s="38" t="n">
        <v>8939</v>
      </c>
    </row>
    <row r="958" customFormat="false" ht="15" hidden="false" customHeight="false" outlineLevel="0" collapsed="false">
      <c r="A958" s="0" t="n">
        <v>10</v>
      </c>
      <c r="B958" s="0" t="s">
        <v>64</v>
      </c>
      <c r="C958" s="0" t="n">
        <v>2013</v>
      </c>
      <c r="D958" s="0" t="n">
        <v>5</v>
      </c>
      <c r="E958" s="38" t="n">
        <v>8336.27</v>
      </c>
    </row>
    <row r="959" customFormat="false" ht="15" hidden="false" customHeight="false" outlineLevel="0" collapsed="false">
      <c r="A959" s="0" t="n">
        <v>10</v>
      </c>
      <c r="B959" s="0" t="s">
        <v>64</v>
      </c>
      <c r="C959" s="0" t="n">
        <v>2013</v>
      </c>
      <c r="D959" s="0" t="n">
        <v>6</v>
      </c>
      <c r="E959" s="38" t="n">
        <v>9131.49</v>
      </c>
    </row>
    <row r="960" customFormat="false" ht="15" hidden="false" customHeight="false" outlineLevel="0" collapsed="false">
      <c r="A960" s="0" t="n">
        <v>10</v>
      </c>
      <c r="B960" s="0" t="s">
        <v>64</v>
      </c>
      <c r="C960" s="0" t="n">
        <v>2013</v>
      </c>
      <c r="D960" s="0" t="n">
        <v>7</v>
      </c>
      <c r="E960" s="38" t="n">
        <v>9476.4</v>
      </c>
    </row>
    <row r="961" customFormat="false" ht="15" hidden="false" customHeight="false" outlineLevel="0" collapsed="false">
      <c r="A961" s="0" t="n">
        <v>10</v>
      </c>
      <c r="B961" s="0" t="s">
        <v>64</v>
      </c>
      <c r="C961" s="0" t="n">
        <v>2013</v>
      </c>
      <c r="D961" s="0" t="n">
        <v>8</v>
      </c>
      <c r="E961" s="38" t="n">
        <v>9096.12</v>
      </c>
    </row>
    <row r="962" customFormat="false" ht="15" hidden="false" customHeight="false" outlineLevel="0" collapsed="false">
      <c r="A962" s="0" t="n">
        <v>11</v>
      </c>
      <c r="B962" s="0" t="s">
        <v>60</v>
      </c>
      <c r="C962" s="0" t="n">
        <v>2011</v>
      </c>
      <c r="D962" s="0" t="n">
        <v>1</v>
      </c>
      <c r="E962" s="38" t="n">
        <v>1401865.18</v>
      </c>
    </row>
    <row r="963" customFormat="false" ht="15" hidden="false" customHeight="false" outlineLevel="0" collapsed="false">
      <c r="A963" s="0" t="n">
        <v>11</v>
      </c>
      <c r="B963" s="0" t="s">
        <v>60</v>
      </c>
      <c r="C963" s="0" t="n">
        <v>2011</v>
      </c>
      <c r="D963" s="0" t="n">
        <v>2</v>
      </c>
      <c r="E963" s="38" t="n">
        <v>1378245.35</v>
      </c>
    </row>
    <row r="964" customFormat="false" ht="15" hidden="false" customHeight="false" outlineLevel="0" collapsed="false">
      <c r="A964" s="0" t="n">
        <v>11</v>
      </c>
      <c r="B964" s="0" t="s">
        <v>60</v>
      </c>
      <c r="C964" s="0" t="n">
        <v>2011</v>
      </c>
      <c r="D964" s="0" t="n">
        <v>3</v>
      </c>
      <c r="E964" s="38" t="n">
        <v>1346985.17</v>
      </c>
    </row>
    <row r="965" customFormat="false" ht="15" hidden="false" customHeight="false" outlineLevel="0" collapsed="false">
      <c r="A965" s="0" t="n">
        <v>11</v>
      </c>
      <c r="B965" s="0" t="s">
        <v>60</v>
      </c>
      <c r="C965" s="0" t="n">
        <v>2011</v>
      </c>
      <c r="D965" s="0" t="n">
        <v>4</v>
      </c>
      <c r="E965" s="38" t="n">
        <v>1788434.79</v>
      </c>
    </row>
    <row r="966" customFormat="false" ht="15" hidden="false" customHeight="false" outlineLevel="0" collapsed="false">
      <c r="A966" s="0" t="n">
        <v>11</v>
      </c>
      <c r="B966" s="0" t="s">
        <v>60</v>
      </c>
      <c r="C966" s="0" t="n">
        <v>2011</v>
      </c>
      <c r="D966" s="0" t="n">
        <v>5</v>
      </c>
      <c r="E966" s="38" t="n">
        <v>2025921.71</v>
      </c>
    </row>
    <row r="967" customFormat="false" ht="15" hidden="false" customHeight="false" outlineLevel="0" collapsed="false">
      <c r="A967" s="0" t="n">
        <v>11</v>
      </c>
      <c r="B967" s="0" t="s">
        <v>60</v>
      </c>
      <c r="C967" s="0" t="n">
        <v>2011</v>
      </c>
      <c r="D967" s="0" t="n">
        <v>6</v>
      </c>
      <c r="E967" s="38" t="n">
        <v>2160951.17</v>
      </c>
    </row>
    <row r="968" customFormat="false" ht="15" hidden="false" customHeight="false" outlineLevel="0" collapsed="false">
      <c r="A968" s="0" t="n">
        <v>11</v>
      </c>
      <c r="B968" s="0" t="s">
        <v>60</v>
      </c>
      <c r="C968" s="0" t="n">
        <v>2011</v>
      </c>
      <c r="D968" s="0" t="n">
        <v>7</v>
      </c>
      <c r="E968" s="38" t="n">
        <v>1673990.57</v>
      </c>
    </row>
    <row r="969" customFormat="false" ht="15" hidden="false" customHeight="false" outlineLevel="0" collapsed="false">
      <c r="A969" s="0" t="n">
        <v>11</v>
      </c>
      <c r="B969" s="0" t="s">
        <v>60</v>
      </c>
      <c r="C969" s="0" t="n">
        <v>2011</v>
      </c>
      <c r="D969" s="0" t="n">
        <v>8</v>
      </c>
      <c r="E969" s="38" t="n">
        <v>1286561.13</v>
      </c>
    </row>
    <row r="970" customFormat="false" ht="15" hidden="false" customHeight="false" outlineLevel="0" collapsed="false">
      <c r="A970" s="0" t="n">
        <v>11</v>
      </c>
      <c r="B970" s="0" t="s">
        <v>60</v>
      </c>
      <c r="C970" s="0" t="n">
        <v>2011</v>
      </c>
      <c r="D970" s="0" t="n">
        <v>9</v>
      </c>
      <c r="E970" s="38" t="n">
        <v>1431522.98</v>
      </c>
    </row>
    <row r="971" customFormat="false" ht="15" hidden="false" customHeight="false" outlineLevel="0" collapsed="false">
      <c r="A971" s="0" t="n">
        <v>11</v>
      </c>
      <c r="B971" s="0" t="s">
        <v>60</v>
      </c>
      <c r="C971" s="0" t="n">
        <v>2011</v>
      </c>
      <c r="D971" s="0" t="n">
        <v>10</v>
      </c>
      <c r="E971" s="38" t="n">
        <v>1830543.53</v>
      </c>
    </row>
    <row r="972" customFormat="false" ht="15" hidden="false" customHeight="false" outlineLevel="0" collapsed="false">
      <c r="A972" s="0" t="n">
        <v>11</v>
      </c>
      <c r="B972" s="0" t="s">
        <v>60</v>
      </c>
      <c r="C972" s="0" t="n">
        <v>2011</v>
      </c>
      <c r="D972" s="0" t="n">
        <v>11</v>
      </c>
      <c r="E972" s="38" t="n">
        <v>2047947.96</v>
      </c>
    </row>
    <row r="973" customFormat="false" ht="15" hidden="false" customHeight="false" outlineLevel="0" collapsed="false">
      <c r="A973" s="0" t="n">
        <v>11</v>
      </c>
      <c r="B973" s="0" t="s">
        <v>60</v>
      </c>
      <c r="C973" s="0" t="n">
        <v>2011</v>
      </c>
      <c r="D973" s="0" t="n">
        <v>12</v>
      </c>
      <c r="E973" s="38" t="n">
        <v>1618189.77</v>
      </c>
    </row>
    <row r="974" customFormat="false" ht="15" hidden="false" customHeight="false" outlineLevel="0" collapsed="false">
      <c r="A974" s="0" t="n">
        <v>11</v>
      </c>
      <c r="B974" s="0" t="s">
        <v>60</v>
      </c>
      <c r="C974" s="0" t="n">
        <v>2012</v>
      </c>
      <c r="D974" s="0" t="n">
        <v>1</v>
      </c>
      <c r="E974" s="38" t="n">
        <v>1302687.94</v>
      </c>
    </row>
    <row r="975" customFormat="false" ht="15" hidden="false" customHeight="false" outlineLevel="0" collapsed="false">
      <c r="A975" s="0" t="n">
        <v>11</v>
      </c>
      <c r="B975" s="0" t="s">
        <v>60</v>
      </c>
      <c r="C975" s="0" t="n">
        <v>2012</v>
      </c>
      <c r="D975" s="0" t="n">
        <v>2</v>
      </c>
      <c r="E975" s="38" t="n">
        <v>1371104.33</v>
      </c>
    </row>
    <row r="976" customFormat="false" ht="15" hidden="false" customHeight="false" outlineLevel="0" collapsed="false">
      <c r="A976" s="0" t="n">
        <v>11</v>
      </c>
      <c r="B976" s="0" t="s">
        <v>60</v>
      </c>
      <c r="C976" s="0" t="n">
        <v>2012</v>
      </c>
      <c r="D976" s="0" t="n">
        <v>3</v>
      </c>
      <c r="E976" s="38" t="n">
        <v>1381354.59</v>
      </c>
    </row>
    <row r="977" customFormat="false" ht="15" hidden="false" customHeight="false" outlineLevel="0" collapsed="false">
      <c r="A977" s="0" t="n">
        <v>11</v>
      </c>
      <c r="B977" s="0" t="s">
        <v>60</v>
      </c>
      <c r="C977" s="0" t="n">
        <v>2012</v>
      </c>
      <c r="D977" s="0" t="n">
        <v>4</v>
      </c>
      <c r="E977" s="38" t="n">
        <v>1704283.96</v>
      </c>
    </row>
    <row r="978" customFormat="false" ht="15" hidden="false" customHeight="false" outlineLevel="0" collapsed="false">
      <c r="A978" s="0" t="n">
        <v>11</v>
      </c>
      <c r="B978" s="0" t="s">
        <v>60</v>
      </c>
      <c r="C978" s="0" t="n">
        <v>2012</v>
      </c>
      <c r="D978" s="0" t="n">
        <v>5</v>
      </c>
      <c r="E978" s="38" t="n">
        <v>2095609.26</v>
      </c>
    </row>
    <row r="979" customFormat="false" ht="15" hidden="false" customHeight="false" outlineLevel="0" collapsed="false">
      <c r="A979" s="0" t="n">
        <v>11</v>
      </c>
      <c r="B979" s="0" t="s">
        <v>60</v>
      </c>
      <c r="C979" s="0" t="n">
        <v>2012</v>
      </c>
      <c r="D979" s="0" t="n">
        <v>6</v>
      </c>
      <c r="E979" s="38" t="n">
        <v>2089160.24</v>
      </c>
    </row>
    <row r="980" customFormat="false" ht="15" hidden="false" customHeight="false" outlineLevel="0" collapsed="false">
      <c r="A980" s="0" t="n">
        <v>11</v>
      </c>
      <c r="B980" s="0" t="s">
        <v>60</v>
      </c>
      <c r="C980" s="0" t="n">
        <v>2012</v>
      </c>
      <c r="D980" s="0" t="n">
        <v>7</v>
      </c>
      <c r="E980" s="38" t="n">
        <v>1546972.6</v>
      </c>
    </row>
    <row r="981" customFormat="false" ht="15" hidden="false" customHeight="false" outlineLevel="0" collapsed="false">
      <c r="A981" s="0" t="n">
        <v>11</v>
      </c>
      <c r="B981" s="0" t="s">
        <v>60</v>
      </c>
      <c r="C981" s="0" t="n">
        <v>2012</v>
      </c>
      <c r="D981" s="0" t="n">
        <v>8</v>
      </c>
      <c r="E981" s="38" t="n">
        <v>1270343.24</v>
      </c>
    </row>
    <row r="982" customFormat="false" ht="15" hidden="false" customHeight="false" outlineLevel="0" collapsed="false">
      <c r="A982" s="0" t="n">
        <v>11</v>
      </c>
      <c r="B982" s="0" t="s">
        <v>60</v>
      </c>
      <c r="C982" s="0" t="n">
        <v>2012</v>
      </c>
      <c r="D982" s="0" t="n">
        <v>9</v>
      </c>
      <c r="E982" s="38" t="n">
        <v>1522300.65</v>
      </c>
    </row>
    <row r="983" customFormat="false" ht="15" hidden="false" customHeight="false" outlineLevel="0" collapsed="false">
      <c r="A983" s="0" t="n">
        <v>11</v>
      </c>
      <c r="B983" s="0" t="s">
        <v>60</v>
      </c>
      <c r="C983" s="0" t="n">
        <v>2012</v>
      </c>
      <c r="D983" s="0" t="n">
        <v>10</v>
      </c>
      <c r="E983" s="38" t="n">
        <v>1753466.24</v>
      </c>
    </row>
    <row r="984" customFormat="false" ht="15" hidden="false" customHeight="false" outlineLevel="0" collapsed="false">
      <c r="A984" s="0" t="n">
        <v>11</v>
      </c>
      <c r="B984" s="0" t="s">
        <v>60</v>
      </c>
      <c r="C984" s="0" t="n">
        <v>2012</v>
      </c>
      <c r="D984" s="0" t="n">
        <v>11</v>
      </c>
      <c r="E984" s="38" t="n">
        <v>2087798.29</v>
      </c>
    </row>
    <row r="985" customFormat="false" ht="15" hidden="false" customHeight="false" outlineLevel="0" collapsed="false">
      <c r="A985" s="0" t="n">
        <v>11</v>
      </c>
      <c r="B985" s="0" t="s">
        <v>60</v>
      </c>
      <c r="C985" s="0" t="n">
        <v>2012</v>
      </c>
      <c r="D985" s="0" t="n">
        <v>12</v>
      </c>
      <c r="E985" s="38" t="n">
        <v>1493044.98</v>
      </c>
    </row>
    <row r="986" customFormat="false" ht="15" hidden="false" customHeight="false" outlineLevel="0" collapsed="false">
      <c r="A986" s="0" t="n">
        <v>11</v>
      </c>
      <c r="B986" s="0" t="s">
        <v>60</v>
      </c>
      <c r="C986" s="0" t="n">
        <v>2013</v>
      </c>
      <c r="D986" s="0" t="n">
        <v>1</v>
      </c>
      <c r="E986" s="38" t="n">
        <v>1401073.14</v>
      </c>
    </row>
    <row r="987" customFormat="false" ht="15" hidden="false" customHeight="false" outlineLevel="0" collapsed="false">
      <c r="A987" s="0" t="n">
        <v>11</v>
      </c>
      <c r="B987" s="0" t="s">
        <v>60</v>
      </c>
      <c r="C987" s="0" t="n">
        <v>2013</v>
      </c>
      <c r="D987" s="0" t="n">
        <v>2</v>
      </c>
      <c r="E987" s="38" t="n">
        <v>1418331.11</v>
      </c>
    </row>
    <row r="988" customFormat="false" ht="15" hidden="false" customHeight="false" outlineLevel="0" collapsed="false">
      <c r="A988" s="0" t="n">
        <v>11</v>
      </c>
      <c r="B988" s="0" t="s">
        <v>60</v>
      </c>
      <c r="C988" s="0" t="n">
        <v>2013</v>
      </c>
      <c r="D988" s="0" t="n">
        <v>3</v>
      </c>
      <c r="E988" s="38" t="n">
        <v>1395452.18</v>
      </c>
    </row>
    <row r="989" customFormat="false" ht="15" hidden="false" customHeight="false" outlineLevel="0" collapsed="false">
      <c r="A989" s="0" t="n">
        <v>11</v>
      </c>
      <c r="B989" s="0" t="s">
        <v>60</v>
      </c>
      <c r="C989" s="0" t="n">
        <v>2013</v>
      </c>
      <c r="D989" s="0" t="n">
        <v>4</v>
      </c>
      <c r="E989" s="38" t="n">
        <v>1799544.38</v>
      </c>
    </row>
    <row r="990" customFormat="false" ht="15" hidden="false" customHeight="false" outlineLevel="0" collapsed="false">
      <c r="A990" s="0" t="n">
        <v>11</v>
      </c>
      <c r="B990" s="0" t="s">
        <v>60</v>
      </c>
      <c r="C990" s="0" t="n">
        <v>2013</v>
      </c>
      <c r="D990" s="0" t="n">
        <v>5</v>
      </c>
      <c r="E990" s="38" t="n">
        <v>2173672.2</v>
      </c>
    </row>
    <row r="991" customFormat="false" ht="15" hidden="false" customHeight="false" outlineLevel="0" collapsed="false">
      <c r="A991" s="0" t="n">
        <v>11</v>
      </c>
      <c r="B991" s="0" t="s">
        <v>60</v>
      </c>
      <c r="C991" s="0" t="n">
        <v>2013</v>
      </c>
      <c r="D991" s="0" t="n">
        <v>6</v>
      </c>
      <c r="E991" s="38" t="n">
        <v>1930959.24</v>
      </c>
    </row>
    <row r="992" customFormat="false" ht="15" hidden="false" customHeight="false" outlineLevel="0" collapsed="false">
      <c r="A992" s="0" t="n">
        <v>11</v>
      </c>
      <c r="B992" s="0" t="s">
        <v>60</v>
      </c>
      <c r="C992" s="0" t="n">
        <v>2013</v>
      </c>
      <c r="D992" s="0" t="n">
        <v>7</v>
      </c>
      <c r="E992" s="38" t="n">
        <v>1550335.77</v>
      </c>
    </row>
    <row r="993" customFormat="false" ht="15" hidden="false" customHeight="false" outlineLevel="0" collapsed="false">
      <c r="A993" s="0" t="n">
        <v>11</v>
      </c>
      <c r="B993" s="0" t="s">
        <v>60</v>
      </c>
      <c r="C993" s="0" t="n">
        <v>2013</v>
      </c>
      <c r="D993" s="0" t="n">
        <v>8</v>
      </c>
      <c r="E993" s="38" t="n">
        <v>1304319.26</v>
      </c>
    </row>
    <row r="994" customFormat="false" ht="15" hidden="false" customHeight="false" outlineLevel="0" collapsed="false">
      <c r="A994" s="0" t="n">
        <v>11</v>
      </c>
      <c r="B994" s="0" t="s">
        <v>62</v>
      </c>
      <c r="C994" s="0" t="n">
        <v>2011</v>
      </c>
      <c r="D994" s="0" t="n">
        <v>1</v>
      </c>
      <c r="E994" s="38" t="n">
        <v>942352.53</v>
      </c>
    </row>
    <row r="995" customFormat="false" ht="15" hidden="false" customHeight="false" outlineLevel="0" collapsed="false">
      <c r="A995" s="0" t="n">
        <v>11</v>
      </c>
      <c r="B995" s="0" t="s">
        <v>62</v>
      </c>
      <c r="C995" s="0" t="n">
        <v>2011</v>
      </c>
      <c r="D995" s="0" t="n">
        <v>2</v>
      </c>
      <c r="E995" s="38" t="n">
        <v>953969.26</v>
      </c>
    </row>
    <row r="996" customFormat="false" ht="15" hidden="false" customHeight="false" outlineLevel="0" collapsed="false">
      <c r="A996" s="0" t="n">
        <v>11</v>
      </c>
      <c r="B996" s="0" t="s">
        <v>62</v>
      </c>
      <c r="C996" s="0" t="n">
        <v>2011</v>
      </c>
      <c r="D996" s="0" t="n">
        <v>3</v>
      </c>
      <c r="E996" s="38" t="n">
        <v>1021683.46</v>
      </c>
    </row>
    <row r="997" customFormat="false" ht="15" hidden="false" customHeight="false" outlineLevel="0" collapsed="false">
      <c r="A997" s="0" t="n">
        <v>11</v>
      </c>
      <c r="B997" s="0" t="s">
        <v>62</v>
      </c>
      <c r="C997" s="0" t="n">
        <v>2011</v>
      </c>
      <c r="D997" s="0" t="n">
        <v>4</v>
      </c>
      <c r="E997" s="38" t="n">
        <v>1490949.34</v>
      </c>
    </row>
    <row r="998" customFormat="false" ht="15" hidden="false" customHeight="false" outlineLevel="0" collapsed="false">
      <c r="A998" s="0" t="n">
        <v>11</v>
      </c>
      <c r="B998" s="0" t="s">
        <v>62</v>
      </c>
      <c r="C998" s="0" t="n">
        <v>2011</v>
      </c>
      <c r="D998" s="0" t="n">
        <v>5</v>
      </c>
      <c r="E998" s="38" t="n">
        <v>1612974.65</v>
      </c>
    </row>
    <row r="999" customFormat="false" ht="15" hidden="false" customHeight="false" outlineLevel="0" collapsed="false">
      <c r="A999" s="0" t="n">
        <v>11</v>
      </c>
      <c r="B999" s="0" t="s">
        <v>62</v>
      </c>
      <c r="C999" s="0" t="n">
        <v>2011</v>
      </c>
      <c r="D999" s="0" t="n">
        <v>6</v>
      </c>
      <c r="E999" s="38" t="n">
        <v>1736829.09</v>
      </c>
    </row>
    <row r="1000" customFormat="false" ht="15" hidden="false" customHeight="false" outlineLevel="0" collapsed="false">
      <c r="A1000" s="0" t="n">
        <v>11</v>
      </c>
      <c r="B1000" s="0" t="s">
        <v>62</v>
      </c>
      <c r="C1000" s="0" t="n">
        <v>2011</v>
      </c>
      <c r="D1000" s="0" t="n">
        <v>7</v>
      </c>
      <c r="E1000" s="38" t="n">
        <v>1107237.64</v>
      </c>
    </row>
    <row r="1001" customFormat="false" ht="15" hidden="false" customHeight="false" outlineLevel="0" collapsed="false">
      <c r="A1001" s="0" t="n">
        <v>11</v>
      </c>
      <c r="B1001" s="0" t="s">
        <v>62</v>
      </c>
      <c r="C1001" s="0" t="n">
        <v>2011</v>
      </c>
      <c r="D1001" s="0" t="n">
        <v>8</v>
      </c>
      <c r="E1001" s="38" t="n">
        <v>912495.2</v>
      </c>
    </row>
    <row r="1002" customFormat="false" ht="15" hidden="false" customHeight="false" outlineLevel="0" collapsed="false">
      <c r="A1002" s="0" t="n">
        <v>11</v>
      </c>
      <c r="B1002" s="0" t="s">
        <v>62</v>
      </c>
      <c r="C1002" s="0" t="n">
        <v>2011</v>
      </c>
      <c r="D1002" s="0" t="n">
        <v>9</v>
      </c>
      <c r="E1002" s="38" t="n">
        <v>1003630.16</v>
      </c>
    </row>
    <row r="1003" customFormat="false" ht="15" hidden="false" customHeight="false" outlineLevel="0" collapsed="false">
      <c r="A1003" s="0" t="n">
        <v>11</v>
      </c>
      <c r="B1003" s="0" t="s">
        <v>62</v>
      </c>
      <c r="C1003" s="0" t="n">
        <v>2011</v>
      </c>
      <c r="D1003" s="0" t="n">
        <v>10</v>
      </c>
      <c r="E1003" s="38" t="n">
        <v>1233893.34</v>
      </c>
    </row>
    <row r="1004" customFormat="false" ht="15" hidden="false" customHeight="false" outlineLevel="0" collapsed="false">
      <c r="A1004" s="0" t="n">
        <v>11</v>
      </c>
      <c r="B1004" s="0" t="s">
        <v>62</v>
      </c>
      <c r="C1004" s="0" t="n">
        <v>2011</v>
      </c>
      <c r="D1004" s="0" t="n">
        <v>11</v>
      </c>
      <c r="E1004" s="38" t="n">
        <v>1354306.13</v>
      </c>
    </row>
    <row r="1005" customFormat="false" ht="15" hidden="false" customHeight="false" outlineLevel="0" collapsed="false">
      <c r="A1005" s="0" t="n">
        <v>11</v>
      </c>
      <c r="B1005" s="0" t="s">
        <v>62</v>
      </c>
      <c r="C1005" s="0" t="n">
        <v>2011</v>
      </c>
      <c r="D1005" s="0" t="n">
        <v>12</v>
      </c>
      <c r="E1005" s="38" t="n">
        <v>1066415.43</v>
      </c>
    </row>
    <row r="1006" customFormat="false" ht="15" hidden="false" customHeight="false" outlineLevel="0" collapsed="false">
      <c r="A1006" s="0" t="n">
        <v>11</v>
      </c>
      <c r="B1006" s="0" t="s">
        <v>62</v>
      </c>
      <c r="C1006" s="0" t="n">
        <v>2012</v>
      </c>
      <c r="D1006" s="0" t="n">
        <v>1</v>
      </c>
      <c r="E1006" s="38" t="n">
        <v>863802.71</v>
      </c>
    </row>
    <row r="1007" customFormat="false" ht="15" hidden="false" customHeight="false" outlineLevel="0" collapsed="false">
      <c r="A1007" s="0" t="n">
        <v>11</v>
      </c>
      <c r="B1007" s="0" t="s">
        <v>62</v>
      </c>
      <c r="C1007" s="0" t="n">
        <v>2012</v>
      </c>
      <c r="D1007" s="0" t="n">
        <v>2</v>
      </c>
      <c r="E1007" s="38" t="n">
        <v>906431.38</v>
      </c>
    </row>
    <row r="1008" customFormat="false" ht="15" hidden="false" customHeight="false" outlineLevel="0" collapsed="false">
      <c r="A1008" s="0" t="n">
        <v>11</v>
      </c>
      <c r="B1008" s="0" t="s">
        <v>62</v>
      </c>
      <c r="C1008" s="0" t="n">
        <v>2012</v>
      </c>
      <c r="D1008" s="0" t="n">
        <v>3</v>
      </c>
      <c r="E1008" s="38" t="n">
        <v>960691.03</v>
      </c>
    </row>
    <row r="1009" customFormat="false" ht="15" hidden="false" customHeight="false" outlineLevel="0" collapsed="false">
      <c r="A1009" s="0" t="n">
        <v>11</v>
      </c>
      <c r="B1009" s="0" t="s">
        <v>62</v>
      </c>
      <c r="C1009" s="0" t="n">
        <v>2012</v>
      </c>
      <c r="D1009" s="0" t="n">
        <v>4</v>
      </c>
      <c r="E1009" s="38" t="n">
        <v>1348828.38</v>
      </c>
    </row>
    <row r="1010" customFormat="false" ht="15" hidden="false" customHeight="false" outlineLevel="0" collapsed="false">
      <c r="A1010" s="0" t="n">
        <v>11</v>
      </c>
      <c r="B1010" s="0" t="s">
        <v>62</v>
      </c>
      <c r="C1010" s="0" t="n">
        <v>2012</v>
      </c>
      <c r="D1010" s="0" t="n">
        <v>5</v>
      </c>
      <c r="E1010" s="38" t="n">
        <v>1548660.72</v>
      </c>
    </row>
    <row r="1011" customFormat="false" ht="15" hidden="false" customHeight="false" outlineLevel="0" collapsed="false">
      <c r="A1011" s="0" t="n">
        <v>11</v>
      </c>
      <c r="B1011" s="0" t="s">
        <v>62</v>
      </c>
      <c r="C1011" s="0" t="n">
        <v>2012</v>
      </c>
      <c r="D1011" s="0" t="n">
        <v>6</v>
      </c>
      <c r="E1011" s="38" t="n">
        <v>1504231.75</v>
      </c>
    </row>
    <row r="1012" customFormat="false" ht="15" hidden="false" customHeight="false" outlineLevel="0" collapsed="false">
      <c r="A1012" s="0" t="n">
        <v>11</v>
      </c>
      <c r="B1012" s="0" t="s">
        <v>62</v>
      </c>
      <c r="C1012" s="0" t="n">
        <v>2012</v>
      </c>
      <c r="D1012" s="0" t="n">
        <v>7</v>
      </c>
      <c r="E1012" s="38" t="n">
        <v>1092787.67</v>
      </c>
    </row>
    <row r="1013" customFormat="false" ht="15" hidden="false" customHeight="false" outlineLevel="0" collapsed="false">
      <c r="A1013" s="0" t="n">
        <v>11</v>
      </c>
      <c r="B1013" s="0" t="s">
        <v>62</v>
      </c>
      <c r="C1013" s="0" t="n">
        <v>2012</v>
      </c>
      <c r="D1013" s="0" t="n">
        <v>8</v>
      </c>
      <c r="E1013" s="38" t="n">
        <v>929649.34</v>
      </c>
    </row>
    <row r="1014" customFormat="false" ht="15" hidden="false" customHeight="false" outlineLevel="0" collapsed="false">
      <c r="A1014" s="0" t="n">
        <v>11</v>
      </c>
      <c r="B1014" s="0" t="s">
        <v>62</v>
      </c>
      <c r="C1014" s="0" t="n">
        <v>2012</v>
      </c>
      <c r="D1014" s="0" t="n">
        <v>9</v>
      </c>
      <c r="E1014" s="38" t="n">
        <v>1036768.25</v>
      </c>
    </row>
    <row r="1015" customFormat="false" ht="15" hidden="false" customHeight="false" outlineLevel="0" collapsed="false">
      <c r="A1015" s="0" t="n">
        <v>11</v>
      </c>
      <c r="B1015" s="0" t="s">
        <v>62</v>
      </c>
      <c r="C1015" s="0" t="n">
        <v>2012</v>
      </c>
      <c r="D1015" s="0" t="n">
        <v>10</v>
      </c>
      <c r="E1015" s="38" t="n">
        <v>1211652.9</v>
      </c>
    </row>
    <row r="1016" customFormat="false" ht="15" hidden="false" customHeight="false" outlineLevel="0" collapsed="false">
      <c r="A1016" s="0" t="n">
        <v>11</v>
      </c>
      <c r="B1016" s="0" t="s">
        <v>62</v>
      </c>
      <c r="C1016" s="0" t="n">
        <v>2012</v>
      </c>
      <c r="D1016" s="0" t="n">
        <v>11</v>
      </c>
      <c r="E1016" s="38" t="n">
        <v>1387446.67</v>
      </c>
    </row>
    <row r="1017" customFormat="false" ht="15" hidden="false" customHeight="false" outlineLevel="0" collapsed="false">
      <c r="A1017" s="0" t="n">
        <v>11</v>
      </c>
      <c r="B1017" s="0" t="s">
        <v>62</v>
      </c>
      <c r="C1017" s="0" t="n">
        <v>2012</v>
      </c>
      <c r="D1017" s="0" t="n">
        <v>12</v>
      </c>
      <c r="E1017" s="38" t="n">
        <v>1037675.44</v>
      </c>
    </row>
    <row r="1018" customFormat="false" ht="15" hidden="false" customHeight="false" outlineLevel="0" collapsed="false">
      <c r="A1018" s="0" t="n">
        <v>11</v>
      </c>
      <c r="B1018" s="0" t="s">
        <v>62</v>
      </c>
      <c r="C1018" s="0" t="n">
        <v>2013</v>
      </c>
      <c r="D1018" s="0" t="n">
        <v>1</v>
      </c>
      <c r="E1018" s="38" t="n">
        <v>911854.82</v>
      </c>
    </row>
    <row r="1019" customFormat="false" ht="15" hidden="false" customHeight="false" outlineLevel="0" collapsed="false">
      <c r="A1019" s="0" t="n">
        <v>11</v>
      </c>
      <c r="B1019" s="0" t="s">
        <v>62</v>
      </c>
      <c r="C1019" s="0" t="n">
        <v>2013</v>
      </c>
      <c r="D1019" s="0" t="n">
        <v>2</v>
      </c>
      <c r="E1019" s="38" t="n">
        <v>942566.31</v>
      </c>
    </row>
    <row r="1020" customFormat="false" ht="15" hidden="false" customHeight="false" outlineLevel="0" collapsed="false">
      <c r="A1020" s="0" t="n">
        <v>11</v>
      </c>
      <c r="B1020" s="0" t="s">
        <v>62</v>
      </c>
      <c r="C1020" s="0" t="n">
        <v>2013</v>
      </c>
      <c r="D1020" s="0" t="n">
        <v>3</v>
      </c>
      <c r="E1020" s="38" t="n">
        <v>1022425.97</v>
      </c>
    </row>
    <row r="1021" customFormat="false" ht="15" hidden="false" customHeight="false" outlineLevel="0" collapsed="false">
      <c r="A1021" s="0" t="n">
        <v>11</v>
      </c>
      <c r="B1021" s="0" t="s">
        <v>62</v>
      </c>
      <c r="C1021" s="0" t="n">
        <v>2013</v>
      </c>
      <c r="D1021" s="0" t="n">
        <v>4</v>
      </c>
      <c r="E1021" s="38" t="n">
        <v>1401769.6</v>
      </c>
    </row>
    <row r="1022" customFormat="false" ht="15" hidden="false" customHeight="false" outlineLevel="0" collapsed="false">
      <c r="A1022" s="0" t="n">
        <v>11</v>
      </c>
      <c r="B1022" s="0" t="s">
        <v>62</v>
      </c>
      <c r="C1022" s="0" t="n">
        <v>2013</v>
      </c>
      <c r="D1022" s="0" t="n">
        <v>5</v>
      </c>
      <c r="E1022" s="38" t="n">
        <v>1690319.46</v>
      </c>
    </row>
    <row r="1023" customFormat="false" ht="15" hidden="false" customHeight="false" outlineLevel="0" collapsed="false">
      <c r="A1023" s="0" t="n">
        <v>11</v>
      </c>
      <c r="B1023" s="0" t="s">
        <v>62</v>
      </c>
      <c r="C1023" s="0" t="n">
        <v>2013</v>
      </c>
      <c r="D1023" s="0" t="n">
        <v>6</v>
      </c>
      <c r="E1023" s="38" t="n">
        <v>1476813.81</v>
      </c>
    </row>
    <row r="1024" customFormat="false" ht="15" hidden="false" customHeight="false" outlineLevel="0" collapsed="false">
      <c r="A1024" s="0" t="n">
        <v>11</v>
      </c>
      <c r="B1024" s="0" t="s">
        <v>62</v>
      </c>
      <c r="C1024" s="0" t="n">
        <v>2013</v>
      </c>
      <c r="D1024" s="0" t="n">
        <v>7</v>
      </c>
      <c r="E1024" s="38" t="n">
        <v>1064322.83</v>
      </c>
    </row>
    <row r="1025" customFormat="false" ht="15" hidden="false" customHeight="false" outlineLevel="0" collapsed="false">
      <c r="A1025" s="0" t="n">
        <v>11</v>
      </c>
      <c r="B1025" s="0" t="s">
        <v>62</v>
      </c>
      <c r="C1025" s="0" t="n">
        <v>2013</v>
      </c>
      <c r="D1025" s="0" t="n">
        <v>8</v>
      </c>
      <c r="E1025" s="38" t="n">
        <v>894469.29</v>
      </c>
    </row>
    <row r="1026" customFormat="false" ht="15" hidden="false" customHeight="false" outlineLevel="0" collapsed="false">
      <c r="A1026" s="0" t="n">
        <v>11</v>
      </c>
      <c r="B1026" s="0" t="s">
        <v>64</v>
      </c>
      <c r="C1026" s="0" t="n">
        <v>2011</v>
      </c>
      <c r="D1026" s="0" t="n">
        <v>1</v>
      </c>
      <c r="E1026" s="38" t="n">
        <v>19643.25</v>
      </c>
    </row>
    <row r="1027" customFormat="false" ht="15" hidden="false" customHeight="false" outlineLevel="0" collapsed="false">
      <c r="A1027" s="0" t="n">
        <v>11</v>
      </c>
      <c r="B1027" s="0" t="s">
        <v>64</v>
      </c>
      <c r="C1027" s="0" t="n">
        <v>2011</v>
      </c>
      <c r="D1027" s="0" t="n">
        <v>2</v>
      </c>
      <c r="E1027" s="38" t="n">
        <v>19616.21</v>
      </c>
    </row>
    <row r="1028" customFormat="false" ht="15" hidden="false" customHeight="false" outlineLevel="0" collapsed="false">
      <c r="A1028" s="0" t="n">
        <v>11</v>
      </c>
      <c r="B1028" s="0" t="s">
        <v>64</v>
      </c>
      <c r="C1028" s="0" t="n">
        <v>2011</v>
      </c>
      <c r="D1028" s="0" t="n">
        <v>3</v>
      </c>
      <c r="E1028" s="38" t="n">
        <v>20190.55</v>
      </c>
    </row>
    <row r="1029" customFormat="false" ht="15" hidden="false" customHeight="false" outlineLevel="0" collapsed="false">
      <c r="A1029" s="0" t="n">
        <v>11</v>
      </c>
      <c r="B1029" s="0" t="s">
        <v>64</v>
      </c>
      <c r="C1029" s="0" t="n">
        <v>2011</v>
      </c>
      <c r="D1029" s="0" t="n">
        <v>4</v>
      </c>
      <c r="E1029" s="38" t="n">
        <v>22575.63</v>
      </c>
    </row>
    <row r="1030" customFormat="false" ht="15" hidden="false" customHeight="false" outlineLevel="0" collapsed="false">
      <c r="A1030" s="0" t="n">
        <v>11</v>
      </c>
      <c r="B1030" s="0" t="s">
        <v>64</v>
      </c>
      <c r="C1030" s="0" t="n">
        <v>2011</v>
      </c>
      <c r="D1030" s="0" t="n">
        <v>5</v>
      </c>
      <c r="E1030" s="38" t="n">
        <v>22624.59</v>
      </c>
    </row>
    <row r="1031" customFormat="false" ht="15" hidden="false" customHeight="false" outlineLevel="0" collapsed="false">
      <c r="A1031" s="0" t="n">
        <v>11</v>
      </c>
      <c r="B1031" s="0" t="s">
        <v>64</v>
      </c>
      <c r="C1031" s="0" t="n">
        <v>2011</v>
      </c>
      <c r="D1031" s="0" t="n">
        <v>6</v>
      </c>
      <c r="E1031" s="38" t="n">
        <v>22944.28</v>
      </c>
    </row>
    <row r="1032" customFormat="false" ht="15" hidden="false" customHeight="false" outlineLevel="0" collapsed="false">
      <c r="A1032" s="0" t="n">
        <v>11</v>
      </c>
      <c r="B1032" s="0" t="s">
        <v>64</v>
      </c>
      <c r="C1032" s="0" t="n">
        <v>2011</v>
      </c>
      <c r="D1032" s="0" t="n">
        <v>7</v>
      </c>
      <c r="E1032" s="38" t="n">
        <v>22496.43</v>
      </c>
    </row>
    <row r="1033" customFormat="false" ht="15" hidden="false" customHeight="false" outlineLevel="0" collapsed="false">
      <c r="A1033" s="0" t="n">
        <v>11</v>
      </c>
      <c r="B1033" s="0" t="s">
        <v>64</v>
      </c>
      <c r="C1033" s="0" t="n">
        <v>2011</v>
      </c>
      <c r="D1033" s="0" t="n">
        <v>8</v>
      </c>
      <c r="E1033" s="38" t="n">
        <v>20210.84</v>
      </c>
    </row>
    <row r="1034" customFormat="false" ht="15" hidden="false" customHeight="false" outlineLevel="0" collapsed="false">
      <c r="A1034" s="0" t="n">
        <v>11</v>
      </c>
      <c r="B1034" s="0" t="s">
        <v>64</v>
      </c>
      <c r="C1034" s="0" t="n">
        <v>2011</v>
      </c>
      <c r="D1034" s="0" t="n">
        <v>9</v>
      </c>
      <c r="E1034" s="38" t="n">
        <v>20910.66</v>
      </c>
    </row>
    <row r="1035" customFormat="false" ht="15" hidden="false" customHeight="false" outlineLevel="0" collapsed="false">
      <c r="A1035" s="0" t="n">
        <v>11</v>
      </c>
      <c r="B1035" s="0" t="s">
        <v>64</v>
      </c>
      <c r="C1035" s="0" t="n">
        <v>2011</v>
      </c>
      <c r="D1035" s="0" t="n">
        <v>10</v>
      </c>
      <c r="E1035" s="38" t="n">
        <v>32805.27</v>
      </c>
    </row>
    <row r="1036" customFormat="false" ht="15" hidden="false" customHeight="false" outlineLevel="0" collapsed="false">
      <c r="A1036" s="0" t="n">
        <v>11</v>
      </c>
      <c r="B1036" s="0" t="s">
        <v>64</v>
      </c>
      <c r="C1036" s="0" t="n">
        <v>2011</v>
      </c>
      <c r="D1036" s="0" t="n">
        <v>11</v>
      </c>
      <c r="E1036" s="38" t="n">
        <v>35845.59</v>
      </c>
    </row>
    <row r="1037" customFormat="false" ht="15" hidden="false" customHeight="false" outlineLevel="0" collapsed="false">
      <c r="A1037" s="0" t="n">
        <v>11</v>
      </c>
      <c r="B1037" s="0" t="s">
        <v>64</v>
      </c>
      <c r="C1037" s="0" t="n">
        <v>2011</v>
      </c>
      <c r="D1037" s="0" t="n">
        <v>12</v>
      </c>
      <c r="E1037" s="38" t="n">
        <v>34124.66</v>
      </c>
    </row>
    <row r="1038" customFormat="false" ht="15" hidden="false" customHeight="false" outlineLevel="0" collapsed="false">
      <c r="A1038" s="0" t="n">
        <v>11</v>
      </c>
      <c r="B1038" s="0" t="s">
        <v>64</v>
      </c>
      <c r="C1038" s="0" t="n">
        <v>2012</v>
      </c>
      <c r="D1038" s="0" t="n">
        <v>1</v>
      </c>
      <c r="E1038" s="38" t="n">
        <v>24750.75</v>
      </c>
    </row>
    <row r="1039" customFormat="false" ht="15" hidden="false" customHeight="false" outlineLevel="0" collapsed="false">
      <c r="A1039" s="0" t="n">
        <v>11</v>
      </c>
      <c r="B1039" s="0" t="s">
        <v>64</v>
      </c>
      <c r="C1039" s="0" t="n">
        <v>2012</v>
      </c>
      <c r="D1039" s="0" t="n">
        <v>2</v>
      </c>
      <c r="E1039" s="38" t="n">
        <v>20205.54</v>
      </c>
    </row>
    <row r="1040" customFormat="false" ht="15" hidden="false" customHeight="false" outlineLevel="0" collapsed="false">
      <c r="A1040" s="0" t="n">
        <v>11</v>
      </c>
      <c r="B1040" s="0" t="s">
        <v>64</v>
      </c>
      <c r="C1040" s="0" t="n">
        <v>2012</v>
      </c>
      <c r="D1040" s="0" t="n">
        <v>3</v>
      </c>
      <c r="E1040" s="38" t="n">
        <v>19283.32</v>
      </c>
    </row>
    <row r="1041" customFormat="false" ht="15" hidden="false" customHeight="false" outlineLevel="0" collapsed="false">
      <c r="A1041" s="0" t="n">
        <v>11</v>
      </c>
      <c r="B1041" s="0" t="s">
        <v>64</v>
      </c>
      <c r="C1041" s="0" t="n">
        <v>2012</v>
      </c>
      <c r="D1041" s="0" t="n">
        <v>4</v>
      </c>
      <c r="E1041" s="38" t="n">
        <v>20460.17</v>
      </c>
    </row>
    <row r="1042" customFormat="false" ht="15" hidden="false" customHeight="false" outlineLevel="0" collapsed="false">
      <c r="A1042" s="0" t="n">
        <v>11</v>
      </c>
      <c r="B1042" s="0" t="s">
        <v>64</v>
      </c>
      <c r="C1042" s="0" t="n">
        <v>2012</v>
      </c>
      <c r="D1042" s="0" t="n">
        <v>5</v>
      </c>
      <c r="E1042" s="38" t="n">
        <v>23414.88</v>
      </c>
    </row>
    <row r="1043" customFormat="false" ht="15" hidden="false" customHeight="false" outlineLevel="0" collapsed="false">
      <c r="A1043" s="0" t="n">
        <v>11</v>
      </c>
      <c r="B1043" s="0" t="s">
        <v>64</v>
      </c>
      <c r="C1043" s="0" t="n">
        <v>2012</v>
      </c>
      <c r="D1043" s="0" t="n">
        <v>6</v>
      </c>
      <c r="E1043" s="38" t="n">
        <v>23637.78</v>
      </c>
    </row>
    <row r="1044" customFormat="false" ht="15" hidden="false" customHeight="false" outlineLevel="0" collapsed="false">
      <c r="A1044" s="0" t="n">
        <v>11</v>
      </c>
      <c r="B1044" s="0" t="s">
        <v>64</v>
      </c>
      <c r="C1044" s="0" t="n">
        <v>2012</v>
      </c>
      <c r="D1044" s="0" t="n">
        <v>7</v>
      </c>
      <c r="E1044" s="38" t="n">
        <v>24436.97</v>
      </c>
    </row>
    <row r="1045" customFormat="false" ht="15" hidden="false" customHeight="false" outlineLevel="0" collapsed="false">
      <c r="A1045" s="0" t="n">
        <v>11</v>
      </c>
      <c r="B1045" s="0" t="s">
        <v>64</v>
      </c>
      <c r="C1045" s="0" t="n">
        <v>2012</v>
      </c>
      <c r="D1045" s="0" t="n">
        <v>8</v>
      </c>
      <c r="E1045" s="38" t="n">
        <v>18790.74</v>
      </c>
    </row>
    <row r="1046" customFormat="false" ht="15" hidden="false" customHeight="false" outlineLevel="0" collapsed="false">
      <c r="A1046" s="0" t="n">
        <v>11</v>
      </c>
      <c r="B1046" s="0" t="s">
        <v>64</v>
      </c>
      <c r="C1046" s="0" t="n">
        <v>2012</v>
      </c>
      <c r="D1046" s="0" t="n">
        <v>9</v>
      </c>
      <c r="E1046" s="38" t="n">
        <v>21972.59</v>
      </c>
    </row>
    <row r="1047" customFormat="false" ht="15" hidden="false" customHeight="false" outlineLevel="0" collapsed="false">
      <c r="A1047" s="0" t="n">
        <v>11</v>
      </c>
      <c r="B1047" s="0" t="s">
        <v>64</v>
      </c>
      <c r="C1047" s="0" t="n">
        <v>2012</v>
      </c>
      <c r="D1047" s="0" t="n">
        <v>10</v>
      </c>
      <c r="E1047" s="38" t="n">
        <v>29578.74</v>
      </c>
    </row>
    <row r="1048" customFormat="false" ht="15" hidden="false" customHeight="false" outlineLevel="0" collapsed="false">
      <c r="A1048" s="0" t="n">
        <v>11</v>
      </c>
      <c r="B1048" s="0" t="s">
        <v>64</v>
      </c>
      <c r="C1048" s="0" t="n">
        <v>2012</v>
      </c>
      <c r="D1048" s="0" t="n">
        <v>11</v>
      </c>
      <c r="E1048" s="38" t="n">
        <v>36471.83</v>
      </c>
    </row>
    <row r="1049" customFormat="false" ht="15" hidden="false" customHeight="false" outlineLevel="0" collapsed="false">
      <c r="A1049" s="0" t="n">
        <v>11</v>
      </c>
      <c r="B1049" s="0" t="s">
        <v>64</v>
      </c>
      <c r="C1049" s="0" t="n">
        <v>2012</v>
      </c>
      <c r="D1049" s="0" t="n">
        <v>12</v>
      </c>
      <c r="E1049" s="38" t="n">
        <v>27724.83</v>
      </c>
    </row>
    <row r="1050" customFormat="false" ht="15" hidden="false" customHeight="false" outlineLevel="0" collapsed="false">
      <c r="A1050" s="0" t="n">
        <v>11</v>
      </c>
      <c r="B1050" s="0" t="s">
        <v>64</v>
      </c>
      <c r="C1050" s="0" t="n">
        <v>2013</v>
      </c>
      <c r="D1050" s="0" t="n">
        <v>1</v>
      </c>
      <c r="E1050" s="38" t="n">
        <v>21857.31</v>
      </c>
    </row>
    <row r="1051" customFormat="false" ht="15" hidden="false" customHeight="false" outlineLevel="0" collapsed="false">
      <c r="A1051" s="0" t="n">
        <v>11</v>
      </c>
      <c r="B1051" s="0" t="s">
        <v>64</v>
      </c>
      <c r="C1051" s="0" t="n">
        <v>2013</v>
      </c>
      <c r="D1051" s="0" t="n">
        <v>2</v>
      </c>
      <c r="E1051" s="38" t="n">
        <v>20419.04</v>
      </c>
    </row>
    <row r="1052" customFormat="false" ht="15" hidden="false" customHeight="false" outlineLevel="0" collapsed="false">
      <c r="A1052" s="0" t="n">
        <v>11</v>
      </c>
      <c r="B1052" s="0" t="s">
        <v>64</v>
      </c>
      <c r="C1052" s="0" t="n">
        <v>2013</v>
      </c>
      <c r="D1052" s="0" t="n">
        <v>3</v>
      </c>
      <c r="E1052" s="38" t="n">
        <v>20923</v>
      </c>
    </row>
    <row r="1053" customFormat="false" ht="15" hidden="false" customHeight="false" outlineLevel="0" collapsed="false">
      <c r="A1053" s="0" t="n">
        <v>11</v>
      </c>
      <c r="B1053" s="0" t="s">
        <v>64</v>
      </c>
      <c r="C1053" s="0" t="n">
        <v>2013</v>
      </c>
      <c r="D1053" s="0" t="n">
        <v>4</v>
      </c>
      <c r="E1053" s="38" t="n">
        <v>21897.37</v>
      </c>
    </row>
    <row r="1054" customFormat="false" ht="15" hidden="false" customHeight="false" outlineLevel="0" collapsed="false">
      <c r="A1054" s="0" t="n">
        <v>11</v>
      </c>
      <c r="B1054" s="0" t="s">
        <v>64</v>
      </c>
      <c r="C1054" s="0" t="n">
        <v>2013</v>
      </c>
      <c r="D1054" s="0" t="n">
        <v>5</v>
      </c>
      <c r="E1054" s="38" t="n">
        <v>23495.15</v>
      </c>
    </row>
    <row r="1055" customFormat="false" ht="15" hidden="false" customHeight="false" outlineLevel="0" collapsed="false">
      <c r="A1055" s="0" t="n">
        <v>11</v>
      </c>
      <c r="B1055" s="0" t="s">
        <v>64</v>
      </c>
      <c r="C1055" s="0" t="n">
        <v>2013</v>
      </c>
      <c r="D1055" s="0" t="n">
        <v>6</v>
      </c>
      <c r="E1055" s="38" t="n">
        <v>23323.42</v>
      </c>
    </row>
    <row r="1056" customFormat="false" ht="15" hidden="false" customHeight="false" outlineLevel="0" collapsed="false">
      <c r="A1056" s="0" t="n">
        <v>11</v>
      </c>
      <c r="B1056" s="0" t="s">
        <v>64</v>
      </c>
      <c r="C1056" s="0" t="n">
        <v>2013</v>
      </c>
      <c r="D1056" s="0" t="n">
        <v>7</v>
      </c>
      <c r="E1056" s="38" t="n">
        <v>24420.83</v>
      </c>
    </row>
    <row r="1057" customFormat="false" ht="15" hidden="false" customHeight="false" outlineLevel="0" collapsed="false">
      <c r="A1057" s="0" t="n">
        <v>11</v>
      </c>
      <c r="B1057" s="0" t="s">
        <v>64</v>
      </c>
      <c r="C1057" s="0" t="n">
        <v>2013</v>
      </c>
      <c r="D1057" s="0" t="n">
        <v>8</v>
      </c>
      <c r="E1057" s="38" t="n">
        <v>21290.79</v>
      </c>
    </row>
    <row r="1058" customFormat="false" ht="15" hidden="false" customHeight="false" outlineLevel="0" collapsed="false">
      <c r="A1058" s="0" t="n">
        <v>12</v>
      </c>
      <c r="B1058" s="0" t="s">
        <v>60</v>
      </c>
      <c r="C1058" s="0" t="n">
        <v>2011</v>
      </c>
      <c r="D1058" s="0" t="n">
        <v>1</v>
      </c>
      <c r="E1058" s="38" t="n">
        <v>399672.41</v>
      </c>
    </row>
    <row r="1059" customFormat="false" ht="15" hidden="false" customHeight="false" outlineLevel="0" collapsed="false">
      <c r="A1059" s="0" t="n">
        <v>12</v>
      </c>
      <c r="B1059" s="0" t="s">
        <v>60</v>
      </c>
      <c r="C1059" s="0" t="n">
        <v>2011</v>
      </c>
      <c r="D1059" s="0" t="n">
        <v>2</v>
      </c>
      <c r="E1059" s="38" t="n">
        <v>530194.35</v>
      </c>
    </row>
    <row r="1060" customFormat="false" ht="15" hidden="false" customHeight="false" outlineLevel="0" collapsed="false">
      <c r="A1060" s="0" t="n">
        <v>12</v>
      </c>
      <c r="B1060" s="0" t="s">
        <v>60</v>
      </c>
      <c r="C1060" s="0" t="n">
        <v>2011</v>
      </c>
      <c r="D1060" s="0" t="n">
        <v>3</v>
      </c>
      <c r="E1060" s="38" t="n">
        <v>522790.16</v>
      </c>
    </row>
    <row r="1061" customFormat="false" ht="15" hidden="false" customHeight="false" outlineLevel="0" collapsed="false">
      <c r="A1061" s="0" t="n">
        <v>12</v>
      </c>
      <c r="B1061" s="0" t="s">
        <v>60</v>
      </c>
      <c r="C1061" s="0" t="n">
        <v>2011</v>
      </c>
      <c r="D1061" s="0" t="n">
        <v>4</v>
      </c>
      <c r="E1061" s="38" t="n">
        <v>575120.38</v>
      </c>
    </row>
    <row r="1062" customFormat="false" ht="15" hidden="false" customHeight="false" outlineLevel="0" collapsed="false">
      <c r="A1062" s="0" t="n">
        <v>12</v>
      </c>
      <c r="B1062" s="0" t="s">
        <v>60</v>
      </c>
      <c r="C1062" s="0" t="n">
        <v>2011</v>
      </c>
      <c r="D1062" s="0" t="n">
        <v>5</v>
      </c>
      <c r="E1062" s="38" t="n">
        <v>561548.13</v>
      </c>
    </row>
    <row r="1063" customFormat="false" ht="15" hidden="false" customHeight="false" outlineLevel="0" collapsed="false">
      <c r="A1063" s="0" t="n">
        <v>12</v>
      </c>
      <c r="B1063" s="0" t="s">
        <v>60</v>
      </c>
      <c r="C1063" s="0" t="n">
        <v>2011</v>
      </c>
      <c r="D1063" s="0" t="n">
        <v>6</v>
      </c>
      <c r="E1063" s="38" t="n">
        <v>578270.11</v>
      </c>
    </row>
    <row r="1064" customFormat="false" ht="15" hidden="false" customHeight="false" outlineLevel="0" collapsed="false">
      <c r="A1064" s="0" t="n">
        <v>12</v>
      </c>
      <c r="B1064" s="0" t="s">
        <v>60</v>
      </c>
      <c r="C1064" s="0" t="n">
        <v>2011</v>
      </c>
      <c r="D1064" s="0" t="n">
        <v>7</v>
      </c>
      <c r="E1064" s="38" t="n">
        <v>566981.19</v>
      </c>
    </row>
    <row r="1065" customFormat="false" ht="15" hidden="false" customHeight="false" outlineLevel="0" collapsed="false">
      <c r="A1065" s="0" t="n">
        <v>12</v>
      </c>
      <c r="B1065" s="0" t="s">
        <v>60</v>
      </c>
      <c r="C1065" s="0" t="n">
        <v>2011</v>
      </c>
      <c r="D1065" s="0" t="n">
        <v>8</v>
      </c>
      <c r="E1065" s="38" t="n">
        <v>507821.26</v>
      </c>
    </row>
    <row r="1066" customFormat="false" ht="15" hidden="false" customHeight="false" outlineLevel="0" collapsed="false">
      <c r="A1066" s="0" t="n">
        <v>12</v>
      </c>
      <c r="B1066" s="0" t="s">
        <v>60</v>
      </c>
      <c r="C1066" s="0" t="n">
        <v>2011</v>
      </c>
      <c r="D1066" s="0" t="n">
        <v>9</v>
      </c>
      <c r="E1066" s="38" t="n">
        <v>494406.48</v>
      </c>
    </row>
    <row r="1067" customFormat="false" ht="15" hidden="false" customHeight="false" outlineLevel="0" collapsed="false">
      <c r="A1067" s="0" t="n">
        <v>12</v>
      </c>
      <c r="B1067" s="0" t="s">
        <v>60</v>
      </c>
      <c r="C1067" s="0" t="n">
        <v>2011</v>
      </c>
      <c r="D1067" s="0" t="n">
        <v>10</v>
      </c>
      <c r="E1067" s="38" t="n">
        <v>426201.72</v>
      </c>
    </row>
    <row r="1068" customFormat="false" ht="15" hidden="false" customHeight="false" outlineLevel="0" collapsed="false">
      <c r="A1068" s="0" t="n">
        <v>12</v>
      </c>
      <c r="B1068" s="0" t="s">
        <v>60</v>
      </c>
      <c r="C1068" s="0" t="n">
        <v>2011</v>
      </c>
      <c r="D1068" s="0" t="n">
        <v>11</v>
      </c>
      <c r="E1068" s="38" t="n">
        <v>339450.08</v>
      </c>
    </row>
    <row r="1069" customFormat="false" ht="15" hidden="false" customHeight="false" outlineLevel="0" collapsed="false">
      <c r="A1069" s="0" t="n">
        <v>12</v>
      </c>
      <c r="B1069" s="0" t="s">
        <v>60</v>
      </c>
      <c r="C1069" s="0" t="n">
        <v>2011</v>
      </c>
      <c r="D1069" s="0" t="n">
        <v>12</v>
      </c>
      <c r="E1069" s="38" t="n">
        <v>338299.57</v>
      </c>
    </row>
    <row r="1070" customFormat="false" ht="15" hidden="false" customHeight="false" outlineLevel="0" collapsed="false">
      <c r="A1070" s="0" t="n">
        <v>12</v>
      </c>
      <c r="B1070" s="0" t="s">
        <v>60</v>
      </c>
      <c r="C1070" s="0" t="n">
        <v>2012</v>
      </c>
      <c r="D1070" s="0" t="n">
        <v>1</v>
      </c>
      <c r="E1070" s="38" t="n">
        <v>384693.79</v>
      </c>
    </row>
    <row r="1071" customFormat="false" ht="15" hidden="false" customHeight="false" outlineLevel="0" collapsed="false">
      <c r="A1071" s="0" t="n">
        <v>12</v>
      </c>
      <c r="B1071" s="0" t="s">
        <v>60</v>
      </c>
      <c r="C1071" s="0" t="n">
        <v>2012</v>
      </c>
      <c r="D1071" s="0" t="n">
        <v>2</v>
      </c>
      <c r="E1071" s="38" t="n">
        <v>498363.35</v>
      </c>
    </row>
    <row r="1072" customFormat="false" ht="15" hidden="false" customHeight="false" outlineLevel="0" collapsed="false">
      <c r="A1072" s="0" t="n">
        <v>12</v>
      </c>
      <c r="B1072" s="0" t="s">
        <v>60</v>
      </c>
      <c r="C1072" s="0" t="n">
        <v>2012</v>
      </c>
      <c r="D1072" s="0" t="n">
        <v>3</v>
      </c>
      <c r="E1072" s="38" t="n">
        <v>494057.24</v>
      </c>
    </row>
    <row r="1073" customFormat="false" ht="15" hidden="false" customHeight="false" outlineLevel="0" collapsed="false">
      <c r="A1073" s="0" t="n">
        <v>12</v>
      </c>
      <c r="B1073" s="0" t="s">
        <v>60</v>
      </c>
      <c r="C1073" s="0" t="n">
        <v>2012</v>
      </c>
      <c r="D1073" s="0" t="n">
        <v>4</v>
      </c>
      <c r="E1073" s="38" t="n">
        <v>538285.21</v>
      </c>
    </row>
    <row r="1074" customFormat="false" ht="15" hidden="false" customHeight="false" outlineLevel="0" collapsed="false">
      <c r="A1074" s="0" t="n">
        <v>12</v>
      </c>
      <c r="B1074" s="0" t="s">
        <v>60</v>
      </c>
      <c r="C1074" s="0" t="n">
        <v>2012</v>
      </c>
      <c r="D1074" s="0" t="n">
        <v>5</v>
      </c>
      <c r="E1074" s="38" t="n">
        <v>554048.28</v>
      </c>
    </row>
    <row r="1075" customFormat="false" ht="15" hidden="false" customHeight="false" outlineLevel="0" collapsed="false">
      <c r="A1075" s="0" t="n">
        <v>12</v>
      </c>
      <c r="B1075" s="0" t="s">
        <v>60</v>
      </c>
      <c r="C1075" s="0" t="n">
        <v>2012</v>
      </c>
      <c r="D1075" s="0" t="n">
        <v>6</v>
      </c>
      <c r="E1075" s="38" t="n">
        <v>564753.14</v>
      </c>
    </row>
    <row r="1076" customFormat="false" ht="15" hidden="false" customHeight="false" outlineLevel="0" collapsed="false">
      <c r="A1076" s="0" t="n">
        <v>12</v>
      </c>
      <c r="B1076" s="0" t="s">
        <v>60</v>
      </c>
      <c r="C1076" s="0" t="n">
        <v>2012</v>
      </c>
      <c r="D1076" s="0" t="n">
        <v>7</v>
      </c>
      <c r="E1076" s="38" t="n">
        <v>529550.22</v>
      </c>
    </row>
    <row r="1077" customFormat="false" ht="15" hidden="false" customHeight="false" outlineLevel="0" collapsed="false">
      <c r="A1077" s="0" t="n">
        <v>12</v>
      </c>
      <c r="B1077" s="0" t="s">
        <v>60</v>
      </c>
      <c r="C1077" s="0" t="n">
        <v>2012</v>
      </c>
      <c r="D1077" s="0" t="n">
        <v>8</v>
      </c>
      <c r="E1077" s="38" t="n">
        <v>492998.91</v>
      </c>
    </row>
    <row r="1078" customFormat="false" ht="15" hidden="false" customHeight="false" outlineLevel="0" collapsed="false">
      <c r="A1078" s="0" t="n">
        <v>12</v>
      </c>
      <c r="B1078" s="0" t="s">
        <v>60</v>
      </c>
      <c r="C1078" s="0" t="n">
        <v>2012</v>
      </c>
      <c r="D1078" s="0" t="n">
        <v>9</v>
      </c>
      <c r="E1078" s="38" t="n">
        <v>509944.69</v>
      </c>
    </row>
    <row r="1079" customFormat="false" ht="15" hidden="false" customHeight="false" outlineLevel="0" collapsed="false">
      <c r="A1079" s="0" t="n">
        <v>12</v>
      </c>
      <c r="B1079" s="0" t="s">
        <v>60</v>
      </c>
      <c r="C1079" s="0" t="n">
        <v>2012</v>
      </c>
      <c r="D1079" s="0" t="n">
        <v>10</v>
      </c>
      <c r="E1079" s="38" t="n">
        <v>413825.21</v>
      </c>
    </row>
    <row r="1080" customFormat="false" ht="15" hidden="false" customHeight="false" outlineLevel="0" collapsed="false">
      <c r="A1080" s="0" t="n">
        <v>12</v>
      </c>
      <c r="B1080" s="0" t="s">
        <v>60</v>
      </c>
      <c r="C1080" s="0" t="n">
        <v>2012</v>
      </c>
      <c r="D1080" s="0" t="n">
        <v>11</v>
      </c>
      <c r="E1080" s="38" t="n">
        <v>350253.86</v>
      </c>
    </row>
    <row r="1081" customFormat="false" ht="15" hidden="false" customHeight="false" outlineLevel="0" collapsed="false">
      <c r="A1081" s="0" t="n">
        <v>12</v>
      </c>
      <c r="B1081" s="0" t="s">
        <v>60</v>
      </c>
      <c r="C1081" s="0" t="n">
        <v>2012</v>
      </c>
      <c r="D1081" s="0" t="n">
        <v>12</v>
      </c>
      <c r="E1081" s="38" t="n">
        <v>379194.52</v>
      </c>
    </row>
    <row r="1082" customFormat="false" ht="15" hidden="false" customHeight="false" outlineLevel="0" collapsed="false">
      <c r="A1082" s="0" t="n">
        <v>12</v>
      </c>
      <c r="B1082" s="0" t="s">
        <v>60</v>
      </c>
      <c r="C1082" s="0" t="n">
        <v>2013</v>
      </c>
      <c r="D1082" s="0" t="n">
        <v>1</v>
      </c>
      <c r="E1082" s="38" t="n">
        <v>413780.75</v>
      </c>
    </row>
    <row r="1083" customFormat="false" ht="15" hidden="false" customHeight="false" outlineLevel="0" collapsed="false">
      <c r="A1083" s="0" t="n">
        <v>12</v>
      </c>
      <c r="B1083" s="0" t="s">
        <v>60</v>
      </c>
      <c r="C1083" s="0" t="n">
        <v>2013</v>
      </c>
      <c r="D1083" s="0" t="n">
        <v>2</v>
      </c>
      <c r="E1083" s="38" t="n">
        <v>527802.45</v>
      </c>
    </row>
    <row r="1084" customFormat="false" ht="15" hidden="false" customHeight="false" outlineLevel="0" collapsed="false">
      <c r="A1084" s="0" t="n">
        <v>12</v>
      </c>
      <c r="B1084" s="0" t="s">
        <v>60</v>
      </c>
      <c r="C1084" s="0" t="n">
        <v>2013</v>
      </c>
      <c r="D1084" s="0" t="n">
        <v>3</v>
      </c>
      <c r="E1084" s="38" t="n">
        <v>517673.42</v>
      </c>
    </row>
    <row r="1085" customFormat="false" ht="15" hidden="false" customHeight="false" outlineLevel="0" collapsed="false">
      <c r="A1085" s="0" t="n">
        <v>12</v>
      </c>
      <c r="B1085" s="0" t="s">
        <v>60</v>
      </c>
      <c r="C1085" s="0" t="n">
        <v>2013</v>
      </c>
      <c r="D1085" s="0" t="n">
        <v>4</v>
      </c>
      <c r="E1085" s="38" t="n">
        <v>561821.13</v>
      </c>
    </row>
    <row r="1086" customFormat="false" ht="15" hidden="false" customHeight="false" outlineLevel="0" collapsed="false">
      <c r="A1086" s="0" t="n">
        <v>12</v>
      </c>
      <c r="B1086" s="0" t="s">
        <v>60</v>
      </c>
      <c r="C1086" s="0" t="n">
        <v>2013</v>
      </c>
      <c r="D1086" s="0" t="n">
        <v>5</v>
      </c>
      <c r="E1086" s="38" t="n">
        <v>549854.4</v>
      </c>
    </row>
    <row r="1087" customFormat="false" ht="15" hidden="false" customHeight="false" outlineLevel="0" collapsed="false">
      <c r="A1087" s="0" t="n">
        <v>12</v>
      </c>
      <c r="B1087" s="0" t="s">
        <v>60</v>
      </c>
      <c r="C1087" s="0" t="n">
        <v>2013</v>
      </c>
      <c r="D1087" s="0" t="n">
        <v>6</v>
      </c>
      <c r="E1087" s="38" t="n">
        <v>567540.12</v>
      </c>
    </row>
    <row r="1088" customFormat="false" ht="15" hidden="false" customHeight="false" outlineLevel="0" collapsed="false">
      <c r="A1088" s="0" t="n">
        <v>12</v>
      </c>
      <c r="B1088" s="0" t="s">
        <v>60</v>
      </c>
      <c r="C1088" s="0" t="n">
        <v>2013</v>
      </c>
      <c r="D1088" s="0" t="n">
        <v>7</v>
      </c>
      <c r="E1088" s="38" t="n">
        <v>538443.96</v>
      </c>
    </row>
    <row r="1089" customFormat="false" ht="15" hidden="false" customHeight="false" outlineLevel="0" collapsed="false">
      <c r="A1089" s="0" t="n">
        <v>12</v>
      </c>
      <c r="B1089" s="0" t="s">
        <v>60</v>
      </c>
      <c r="C1089" s="0" t="n">
        <v>2013</v>
      </c>
      <c r="D1089" s="0" t="n">
        <v>8</v>
      </c>
      <c r="E1089" s="38" t="n">
        <v>485200.67</v>
      </c>
    </row>
    <row r="1090" customFormat="false" ht="15" hidden="false" customHeight="false" outlineLevel="0" collapsed="false">
      <c r="A1090" s="0" t="n">
        <v>12</v>
      </c>
      <c r="B1090" s="0" t="s">
        <v>62</v>
      </c>
      <c r="C1090" s="0" t="n">
        <v>2011</v>
      </c>
      <c r="D1090" s="0" t="n">
        <v>1</v>
      </c>
      <c r="E1090" s="38" t="n">
        <v>265415.67</v>
      </c>
    </row>
    <row r="1091" customFormat="false" ht="15" hidden="false" customHeight="false" outlineLevel="0" collapsed="false">
      <c r="A1091" s="0" t="n">
        <v>12</v>
      </c>
      <c r="B1091" s="0" t="s">
        <v>62</v>
      </c>
      <c r="C1091" s="0" t="n">
        <v>2011</v>
      </c>
      <c r="D1091" s="0" t="n">
        <v>2</v>
      </c>
      <c r="E1091" s="38" t="n">
        <v>340810.5</v>
      </c>
    </row>
    <row r="1092" customFormat="false" ht="15" hidden="false" customHeight="false" outlineLevel="0" collapsed="false">
      <c r="A1092" s="0" t="n">
        <v>12</v>
      </c>
      <c r="B1092" s="0" t="s">
        <v>62</v>
      </c>
      <c r="C1092" s="0" t="n">
        <v>2011</v>
      </c>
      <c r="D1092" s="0" t="n">
        <v>3</v>
      </c>
      <c r="E1092" s="38" t="n">
        <v>350548.4</v>
      </c>
    </row>
    <row r="1093" customFormat="false" ht="15" hidden="false" customHeight="false" outlineLevel="0" collapsed="false">
      <c r="A1093" s="0" t="n">
        <v>12</v>
      </c>
      <c r="B1093" s="0" t="s">
        <v>62</v>
      </c>
      <c r="C1093" s="0" t="n">
        <v>2011</v>
      </c>
      <c r="D1093" s="0" t="n">
        <v>4</v>
      </c>
      <c r="E1093" s="38" t="n">
        <v>379656.21</v>
      </c>
    </row>
    <row r="1094" customFormat="false" ht="15" hidden="false" customHeight="false" outlineLevel="0" collapsed="false">
      <c r="A1094" s="0" t="n">
        <v>12</v>
      </c>
      <c r="B1094" s="0" t="s">
        <v>62</v>
      </c>
      <c r="C1094" s="0" t="n">
        <v>2011</v>
      </c>
      <c r="D1094" s="0" t="n">
        <v>5</v>
      </c>
      <c r="E1094" s="38" t="n">
        <v>382986.82</v>
      </c>
    </row>
    <row r="1095" customFormat="false" ht="15" hidden="false" customHeight="false" outlineLevel="0" collapsed="false">
      <c r="A1095" s="0" t="n">
        <v>12</v>
      </c>
      <c r="B1095" s="0" t="s">
        <v>62</v>
      </c>
      <c r="C1095" s="0" t="n">
        <v>2011</v>
      </c>
      <c r="D1095" s="0" t="n">
        <v>6</v>
      </c>
      <c r="E1095" s="38" t="n">
        <v>385097.47</v>
      </c>
    </row>
    <row r="1096" customFormat="false" ht="15" hidden="false" customHeight="false" outlineLevel="0" collapsed="false">
      <c r="A1096" s="0" t="n">
        <v>12</v>
      </c>
      <c r="B1096" s="0" t="s">
        <v>62</v>
      </c>
      <c r="C1096" s="0" t="n">
        <v>2011</v>
      </c>
      <c r="D1096" s="0" t="n">
        <v>7</v>
      </c>
      <c r="E1096" s="38" t="n">
        <v>380916.12</v>
      </c>
    </row>
    <row r="1097" customFormat="false" ht="15" hidden="false" customHeight="false" outlineLevel="0" collapsed="false">
      <c r="A1097" s="0" t="n">
        <v>12</v>
      </c>
      <c r="B1097" s="0" t="s">
        <v>62</v>
      </c>
      <c r="C1097" s="0" t="n">
        <v>2011</v>
      </c>
      <c r="D1097" s="0" t="n">
        <v>8</v>
      </c>
      <c r="E1097" s="38" t="n">
        <v>339289.09</v>
      </c>
    </row>
    <row r="1098" customFormat="false" ht="15" hidden="false" customHeight="false" outlineLevel="0" collapsed="false">
      <c r="A1098" s="0" t="n">
        <v>12</v>
      </c>
      <c r="B1098" s="0" t="s">
        <v>62</v>
      </c>
      <c r="C1098" s="0" t="n">
        <v>2011</v>
      </c>
      <c r="D1098" s="0" t="n">
        <v>9</v>
      </c>
      <c r="E1098" s="38" t="n">
        <v>332388.58</v>
      </c>
    </row>
    <row r="1099" customFormat="false" ht="15" hidden="false" customHeight="false" outlineLevel="0" collapsed="false">
      <c r="A1099" s="0" t="n">
        <v>12</v>
      </c>
      <c r="B1099" s="0" t="s">
        <v>62</v>
      </c>
      <c r="C1099" s="0" t="n">
        <v>2011</v>
      </c>
      <c r="D1099" s="0" t="n">
        <v>10</v>
      </c>
      <c r="E1099" s="38" t="n">
        <v>273089.5</v>
      </c>
    </row>
    <row r="1100" customFormat="false" ht="15" hidden="false" customHeight="false" outlineLevel="0" collapsed="false">
      <c r="A1100" s="0" t="n">
        <v>12</v>
      </c>
      <c r="B1100" s="0" t="s">
        <v>62</v>
      </c>
      <c r="C1100" s="0" t="n">
        <v>2011</v>
      </c>
      <c r="D1100" s="0" t="n">
        <v>11</v>
      </c>
      <c r="E1100" s="38" t="n">
        <v>222151.09</v>
      </c>
    </row>
    <row r="1101" customFormat="false" ht="15" hidden="false" customHeight="false" outlineLevel="0" collapsed="false">
      <c r="A1101" s="0" t="n">
        <v>12</v>
      </c>
      <c r="B1101" s="0" t="s">
        <v>62</v>
      </c>
      <c r="C1101" s="0" t="n">
        <v>2011</v>
      </c>
      <c r="D1101" s="0" t="n">
        <v>12</v>
      </c>
      <c r="E1101" s="38" t="n">
        <v>213470.07</v>
      </c>
    </row>
    <row r="1102" customFormat="false" ht="15" hidden="false" customHeight="false" outlineLevel="0" collapsed="false">
      <c r="A1102" s="0" t="n">
        <v>12</v>
      </c>
      <c r="B1102" s="0" t="s">
        <v>62</v>
      </c>
      <c r="C1102" s="0" t="n">
        <v>2012</v>
      </c>
      <c r="D1102" s="0" t="n">
        <v>1</v>
      </c>
      <c r="E1102" s="38" t="n">
        <v>233722.93</v>
      </c>
    </row>
    <row r="1103" customFormat="false" ht="15" hidden="false" customHeight="false" outlineLevel="0" collapsed="false">
      <c r="A1103" s="0" t="n">
        <v>12</v>
      </c>
      <c r="B1103" s="0" t="s">
        <v>62</v>
      </c>
      <c r="C1103" s="0" t="n">
        <v>2012</v>
      </c>
      <c r="D1103" s="0" t="n">
        <v>2</v>
      </c>
      <c r="E1103" s="38" t="n">
        <v>288761.85</v>
      </c>
    </row>
    <row r="1104" customFormat="false" ht="15" hidden="false" customHeight="false" outlineLevel="0" collapsed="false">
      <c r="A1104" s="0" t="n">
        <v>12</v>
      </c>
      <c r="B1104" s="0" t="s">
        <v>62</v>
      </c>
      <c r="C1104" s="0" t="n">
        <v>2012</v>
      </c>
      <c r="D1104" s="0" t="n">
        <v>3</v>
      </c>
      <c r="E1104" s="38" t="n">
        <v>302487.35</v>
      </c>
    </row>
    <row r="1105" customFormat="false" ht="15" hidden="false" customHeight="false" outlineLevel="0" collapsed="false">
      <c r="A1105" s="0" t="n">
        <v>12</v>
      </c>
      <c r="B1105" s="0" t="s">
        <v>62</v>
      </c>
      <c r="C1105" s="0" t="n">
        <v>2012</v>
      </c>
      <c r="D1105" s="0" t="n">
        <v>4</v>
      </c>
      <c r="E1105" s="38" t="n">
        <v>348641.73</v>
      </c>
    </row>
    <row r="1106" customFormat="false" ht="15" hidden="false" customHeight="false" outlineLevel="0" collapsed="false">
      <c r="A1106" s="0" t="n">
        <v>12</v>
      </c>
      <c r="B1106" s="0" t="s">
        <v>62</v>
      </c>
      <c r="C1106" s="0" t="n">
        <v>2012</v>
      </c>
      <c r="D1106" s="0" t="n">
        <v>5</v>
      </c>
      <c r="E1106" s="38" t="n">
        <v>367086.26</v>
      </c>
    </row>
    <row r="1107" customFormat="false" ht="15" hidden="false" customHeight="false" outlineLevel="0" collapsed="false">
      <c r="A1107" s="0" t="n">
        <v>12</v>
      </c>
      <c r="B1107" s="0" t="s">
        <v>62</v>
      </c>
      <c r="C1107" s="0" t="n">
        <v>2012</v>
      </c>
      <c r="D1107" s="0" t="n">
        <v>6</v>
      </c>
      <c r="E1107" s="38" t="n">
        <v>375407.86</v>
      </c>
    </row>
    <row r="1108" customFormat="false" ht="15" hidden="false" customHeight="false" outlineLevel="0" collapsed="false">
      <c r="A1108" s="0" t="n">
        <v>12</v>
      </c>
      <c r="B1108" s="0" t="s">
        <v>62</v>
      </c>
      <c r="C1108" s="0" t="n">
        <v>2012</v>
      </c>
      <c r="D1108" s="0" t="n">
        <v>7</v>
      </c>
      <c r="E1108" s="38" t="n">
        <v>357564.01</v>
      </c>
    </row>
    <row r="1109" customFormat="false" ht="15" hidden="false" customHeight="false" outlineLevel="0" collapsed="false">
      <c r="A1109" s="0" t="n">
        <v>12</v>
      </c>
      <c r="B1109" s="0" t="s">
        <v>62</v>
      </c>
      <c r="C1109" s="0" t="n">
        <v>2012</v>
      </c>
      <c r="D1109" s="0" t="n">
        <v>8</v>
      </c>
      <c r="E1109" s="38" t="n">
        <v>332870.69</v>
      </c>
    </row>
    <row r="1110" customFormat="false" ht="15" hidden="false" customHeight="false" outlineLevel="0" collapsed="false">
      <c r="A1110" s="0" t="n">
        <v>12</v>
      </c>
      <c r="B1110" s="0" t="s">
        <v>62</v>
      </c>
      <c r="C1110" s="0" t="n">
        <v>2012</v>
      </c>
      <c r="D1110" s="0" t="n">
        <v>9</v>
      </c>
      <c r="E1110" s="38" t="n">
        <v>334619.07</v>
      </c>
    </row>
    <row r="1111" customFormat="false" ht="15" hidden="false" customHeight="false" outlineLevel="0" collapsed="false">
      <c r="A1111" s="0" t="n">
        <v>12</v>
      </c>
      <c r="B1111" s="0" t="s">
        <v>62</v>
      </c>
      <c r="C1111" s="0" t="n">
        <v>2012</v>
      </c>
      <c r="D1111" s="0" t="n">
        <v>10</v>
      </c>
      <c r="E1111" s="38" t="n">
        <v>275379.2</v>
      </c>
    </row>
    <row r="1112" customFormat="false" ht="15" hidden="false" customHeight="false" outlineLevel="0" collapsed="false">
      <c r="A1112" s="0" t="n">
        <v>12</v>
      </c>
      <c r="B1112" s="0" t="s">
        <v>62</v>
      </c>
      <c r="C1112" s="0" t="n">
        <v>2012</v>
      </c>
      <c r="D1112" s="0" t="n">
        <v>11</v>
      </c>
      <c r="E1112" s="38" t="n">
        <v>236902.86</v>
      </c>
    </row>
    <row r="1113" customFormat="false" ht="15" hidden="false" customHeight="false" outlineLevel="0" collapsed="false">
      <c r="A1113" s="0" t="n">
        <v>12</v>
      </c>
      <c r="B1113" s="0" t="s">
        <v>62</v>
      </c>
      <c r="C1113" s="0" t="n">
        <v>2012</v>
      </c>
      <c r="D1113" s="0" t="n">
        <v>12</v>
      </c>
      <c r="E1113" s="38" t="n">
        <v>242644.55</v>
      </c>
    </row>
    <row r="1114" customFormat="false" ht="15" hidden="false" customHeight="false" outlineLevel="0" collapsed="false">
      <c r="A1114" s="0" t="n">
        <v>12</v>
      </c>
      <c r="B1114" s="0" t="s">
        <v>62</v>
      </c>
      <c r="C1114" s="0" t="n">
        <v>2013</v>
      </c>
      <c r="D1114" s="0" t="n">
        <v>1</v>
      </c>
      <c r="E1114" s="38" t="n">
        <v>258280.63</v>
      </c>
    </row>
    <row r="1115" customFormat="false" ht="15" hidden="false" customHeight="false" outlineLevel="0" collapsed="false">
      <c r="A1115" s="0" t="n">
        <v>12</v>
      </c>
      <c r="B1115" s="0" t="s">
        <v>62</v>
      </c>
      <c r="C1115" s="0" t="n">
        <v>2013</v>
      </c>
      <c r="D1115" s="0" t="n">
        <v>2</v>
      </c>
      <c r="E1115" s="38" t="n">
        <v>318674.23</v>
      </c>
    </row>
    <row r="1116" customFormat="false" ht="15" hidden="false" customHeight="false" outlineLevel="0" collapsed="false">
      <c r="A1116" s="0" t="n">
        <v>12</v>
      </c>
      <c r="B1116" s="0" t="s">
        <v>62</v>
      </c>
      <c r="C1116" s="0" t="n">
        <v>2013</v>
      </c>
      <c r="D1116" s="0" t="n">
        <v>3</v>
      </c>
      <c r="E1116" s="38" t="n">
        <v>336814.11</v>
      </c>
    </row>
    <row r="1117" customFormat="false" ht="15" hidden="false" customHeight="false" outlineLevel="0" collapsed="false">
      <c r="A1117" s="0" t="n">
        <v>12</v>
      </c>
      <c r="B1117" s="0" t="s">
        <v>62</v>
      </c>
      <c r="C1117" s="0" t="n">
        <v>2013</v>
      </c>
      <c r="D1117" s="0" t="n">
        <v>4</v>
      </c>
      <c r="E1117" s="38" t="n">
        <v>361606.61</v>
      </c>
    </row>
    <row r="1118" customFormat="false" ht="15" hidden="false" customHeight="false" outlineLevel="0" collapsed="false">
      <c r="A1118" s="0" t="n">
        <v>12</v>
      </c>
      <c r="B1118" s="0" t="s">
        <v>62</v>
      </c>
      <c r="C1118" s="0" t="n">
        <v>2013</v>
      </c>
      <c r="D1118" s="0" t="n">
        <v>5</v>
      </c>
      <c r="E1118" s="38" t="n">
        <v>368981.62</v>
      </c>
    </row>
    <row r="1119" customFormat="false" ht="15" hidden="false" customHeight="false" outlineLevel="0" collapsed="false">
      <c r="A1119" s="0" t="n">
        <v>12</v>
      </c>
      <c r="B1119" s="0" t="s">
        <v>62</v>
      </c>
      <c r="C1119" s="0" t="n">
        <v>2013</v>
      </c>
      <c r="D1119" s="0" t="n">
        <v>6</v>
      </c>
      <c r="E1119" s="38" t="n">
        <v>376345.06</v>
      </c>
    </row>
    <row r="1120" customFormat="false" ht="15" hidden="false" customHeight="false" outlineLevel="0" collapsed="false">
      <c r="A1120" s="0" t="n">
        <v>12</v>
      </c>
      <c r="B1120" s="0" t="s">
        <v>62</v>
      </c>
      <c r="C1120" s="0" t="n">
        <v>2013</v>
      </c>
      <c r="D1120" s="0" t="n">
        <v>7</v>
      </c>
      <c r="E1120" s="38" t="n">
        <v>352105.12</v>
      </c>
    </row>
    <row r="1121" customFormat="false" ht="15" hidden="false" customHeight="false" outlineLevel="0" collapsed="false">
      <c r="A1121" s="0" t="n">
        <v>12</v>
      </c>
      <c r="B1121" s="0" t="s">
        <v>62</v>
      </c>
      <c r="C1121" s="0" t="n">
        <v>2013</v>
      </c>
      <c r="D1121" s="0" t="n">
        <v>8</v>
      </c>
      <c r="E1121" s="38" t="n">
        <v>314485.56</v>
      </c>
    </row>
    <row r="1122" customFormat="false" ht="15" hidden="false" customHeight="false" outlineLevel="0" collapsed="false">
      <c r="A1122" s="0" t="n">
        <v>12</v>
      </c>
      <c r="B1122" s="0" t="s">
        <v>64</v>
      </c>
      <c r="C1122" s="0" t="n">
        <v>2011</v>
      </c>
      <c r="D1122" s="0" t="n">
        <v>1</v>
      </c>
      <c r="E1122" s="38" t="n">
        <v>1703.55</v>
      </c>
    </row>
    <row r="1123" customFormat="false" ht="15" hidden="false" customHeight="false" outlineLevel="0" collapsed="false">
      <c r="A1123" s="0" t="n">
        <v>12</v>
      </c>
      <c r="B1123" s="0" t="s">
        <v>64</v>
      </c>
      <c r="C1123" s="0" t="n">
        <v>2011</v>
      </c>
      <c r="D1123" s="0" t="n">
        <v>2</v>
      </c>
      <c r="E1123" s="38" t="n">
        <v>2133.46</v>
      </c>
    </row>
    <row r="1124" customFormat="false" ht="15" hidden="false" customHeight="false" outlineLevel="0" collapsed="false">
      <c r="A1124" s="0" t="n">
        <v>12</v>
      </c>
      <c r="B1124" s="0" t="s">
        <v>64</v>
      </c>
      <c r="C1124" s="0" t="n">
        <v>2011</v>
      </c>
      <c r="D1124" s="0" t="n">
        <v>3</v>
      </c>
      <c r="E1124" s="38" t="n">
        <v>2487.35</v>
      </c>
    </row>
    <row r="1125" customFormat="false" ht="15" hidden="false" customHeight="false" outlineLevel="0" collapsed="false">
      <c r="A1125" s="0" t="n">
        <v>12</v>
      </c>
      <c r="B1125" s="0" t="s">
        <v>64</v>
      </c>
      <c r="C1125" s="0" t="n">
        <v>2011</v>
      </c>
      <c r="D1125" s="0" t="n">
        <v>4</v>
      </c>
      <c r="E1125" s="38" t="n">
        <v>2548.25</v>
      </c>
    </row>
    <row r="1126" customFormat="false" ht="15" hidden="false" customHeight="false" outlineLevel="0" collapsed="false">
      <c r="A1126" s="0" t="n">
        <v>12</v>
      </c>
      <c r="B1126" s="0" t="s">
        <v>64</v>
      </c>
      <c r="C1126" s="0" t="n">
        <v>2011</v>
      </c>
      <c r="D1126" s="0" t="n">
        <v>5</v>
      </c>
      <c r="E1126" s="38" t="n">
        <v>2579.4</v>
      </c>
    </row>
    <row r="1127" customFormat="false" ht="15" hidden="false" customHeight="false" outlineLevel="0" collapsed="false">
      <c r="A1127" s="0" t="n">
        <v>12</v>
      </c>
      <c r="B1127" s="0" t="s">
        <v>64</v>
      </c>
      <c r="C1127" s="0" t="n">
        <v>2011</v>
      </c>
      <c r="D1127" s="0" t="n">
        <v>6</v>
      </c>
      <c r="E1127" s="38" t="n">
        <v>2544.51</v>
      </c>
    </row>
    <row r="1128" customFormat="false" ht="15" hidden="false" customHeight="false" outlineLevel="0" collapsed="false">
      <c r="A1128" s="0" t="n">
        <v>12</v>
      </c>
      <c r="B1128" s="0" t="s">
        <v>64</v>
      </c>
      <c r="C1128" s="0" t="n">
        <v>2011</v>
      </c>
      <c r="D1128" s="0" t="n">
        <v>7</v>
      </c>
      <c r="E1128" s="38" t="n">
        <v>2707.4</v>
      </c>
    </row>
    <row r="1129" customFormat="false" ht="15" hidden="false" customHeight="false" outlineLevel="0" collapsed="false">
      <c r="A1129" s="0" t="n">
        <v>12</v>
      </c>
      <c r="B1129" s="0" t="s">
        <v>64</v>
      </c>
      <c r="C1129" s="0" t="n">
        <v>2011</v>
      </c>
      <c r="D1129" s="0" t="n">
        <v>8</v>
      </c>
      <c r="E1129" s="38" t="n">
        <v>2292.12</v>
      </c>
    </row>
    <row r="1130" customFormat="false" ht="15" hidden="false" customHeight="false" outlineLevel="0" collapsed="false">
      <c r="A1130" s="0" t="n">
        <v>12</v>
      </c>
      <c r="B1130" s="0" t="s">
        <v>64</v>
      </c>
      <c r="C1130" s="0" t="n">
        <v>2011</v>
      </c>
      <c r="D1130" s="0" t="n">
        <v>9</v>
      </c>
      <c r="E1130" s="38" t="n">
        <v>2263.68</v>
      </c>
    </row>
    <row r="1131" customFormat="false" ht="15" hidden="false" customHeight="false" outlineLevel="0" collapsed="false">
      <c r="A1131" s="0" t="n">
        <v>12</v>
      </c>
      <c r="B1131" s="0" t="s">
        <v>64</v>
      </c>
      <c r="C1131" s="0" t="n">
        <v>2011</v>
      </c>
      <c r="D1131" s="0" t="n">
        <v>10</v>
      </c>
      <c r="E1131" s="38" t="n">
        <v>1916.62</v>
      </c>
    </row>
    <row r="1132" customFormat="false" ht="15" hidden="false" customHeight="false" outlineLevel="0" collapsed="false">
      <c r="A1132" s="0" t="n">
        <v>12</v>
      </c>
      <c r="B1132" s="0" t="s">
        <v>64</v>
      </c>
      <c r="C1132" s="0" t="n">
        <v>2011</v>
      </c>
      <c r="D1132" s="0" t="n">
        <v>11</v>
      </c>
      <c r="E1132" s="38" t="n">
        <v>1924.64</v>
      </c>
    </row>
    <row r="1133" customFormat="false" ht="15" hidden="false" customHeight="false" outlineLevel="0" collapsed="false">
      <c r="A1133" s="0" t="n">
        <v>12</v>
      </c>
      <c r="B1133" s="0" t="s">
        <v>64</v>
      </c>
      <c r="C1133" s="0" t="n">
        <v>2011</v>
      </c>
      <c r="D1133" s="0" t="n">
        <v>12</v>
      </c>
      <c r="E1133" s="38" t="n">
        <v>2092.4</v>
      </c>
    </row>
    <row r="1134" customFormat="false" ht="15" hidden="false" customHeight="false" outlineLevel="0" collapsed="false">
      <c r="A1134" s="0" t="n">
        <v>12</v>
      </c>
      <c r="B1134" s="0" t="s">
        <v>64</v>
      </c>
      <c r="C1134" s="0" t="n">
        <v>2012</v>
      </c>
      <c r="D1134" s="0" t="n">
        <v>1</v>
      </c>
      <c r="E1134" s="38" t="n">
        <v>1829.01</v>
      </c>
    </row>
    <row r="1135" customFormat="false" ht="15" hidden="false" customHeight="false" outlineLevel="0" collapsed="false">
      <c r="A1135" s="0" t="n">
        <v>12</v>
      </c>
      <c r="B1135" s="0" t="s">
        <v>64</v>
      </c>
      <c r="C1135" s="0" t="n">
        <v>2012</v>
      </c>
      <c r="D1135" s="0" t="n">
        <v>2</v>
      </c>
      <c r="E1135" s="38" t="n">
        <v>1973.67</v>
      </c>
    </row>
    <row r="1136" customFormat="false" ht="15" hidden="false" customHeight="false" outlineLevel="0" collapsed="false">
      <c r="A1136" s="0" t="n">
        <v>12</v>
      </c>
      <c r="B1136" s="0" t="s">
        <v>64</v>
      </c>
      <c r="C1136" s="0" t="n">
        <v>2012</v>
      </c>
      <c r="D1136" s="0" t="n">
        <v>3</v>
      </c>
      <c r="E1136" s="38" t="n">
        <v>1875.81</v>
      </c>
    </row>
    <row r="1137" customFormat="false" ht="15" hidden="false" customHeight="false" outlineLevel="0" collapsed="false">
      <c r="A1137" s="0" t="n">
        <v>12</v>
      </c>
      <c r="B1137" s="0" t="s">
        <v>64</v>
      </c>
      <c r="C1137" s="0" t="n">
        <v>2012</v>
      </c>
      <c r="D1137" s="0" t="n">
        <v>4</v>
      </c>
      <c r="E1137" s="38" t="n">
        <v>2076.94</v>
      </c>
    </row>
    <row r="1138" customFormat="false" ht="15" hidden="false" customHeight="false" outlineLevel="0" collapsed="false">
      <c r="A1138" s="0" t="n">
        <v>12</v>
      </c>
      <c r="B1138" s="0" t="s">
        <v>64</v>
      </c>
      <c r="C1138" s="0" t="n">
        <v>2012</v>
      </c>
      <c r="D1138" s="0" t="n">
        <v>5</v>
      </c>
      <c r="E1138" s="38" t="n">
        <v>2035.96</v>
      </c>
    </row>
    <row r="1139" customFormat="false" ht="15" hidden="false" customHeight="false" outlineLevel="0" collapsed="false">
      <c r="A1139" s="0" t="n">
        <v>12</v>
      </c>
      <c r="B1139" s="0" t="s">
        <v>64</v>
      </c>
      <c r="C1139" s="0" t="n">
        <v>2012</v>
      </c>
      <c r="D1139" s="0" t="n">
        <v>6</v>
      </c>
      <c r="E1139" s="38" t="n">
        <v>2262.52</v>
      </c>
    </row>
    <row r="1140" customFormat="false" ht="15" hidden="false" customHeight="false" outlineLevel="0" collapsed="false">
      <c r="A1140" s="0" t="n">
        <v>12</v>
      </c>
      <c r="B1140" s="0" t="s">
        <v>64</v>
      </c>
      <c r="C1140" s="0" t="n">
        <v>2012</v>
      </c>
      <c r="D1140" s="0" t="n">
        <v>7</v>
      </c>
      <c r="E1140" s="38" t="n">
        <v>2699.77</v>
      </c>
    </row>
    <row r="1141" customFormat="false" ht="15" hidden="false" customHeight="false" outlineLevel="0" collapsed="false">
      <c r="A1141" s="0" t="n">
        <v>12</v>
      </c>
      <c r="B1141" s="0" t="s">
        <v>64</v>
      </c>
      <c r="C1141" s="0" t="n">
        <v>2012</v>
      </c>
      <c r="D1141" s="0" t="n">
        <v>8</v>
      </c>
      <c r="E1141" s="38" t="n">
        <v>2518.58</v>
      </c>
    </row>
    <row r="1142" customFormat="false" ht="15" hidden="false" customHeight="false" outlineLevel="0" collapsed="false">
      <c r="A1142" s="0" t="n">
        <v>12</v>
      </c>
      <c r="B1142" s="0" t="s">
        <v>64</v>
      </c>
      <c r="C1142" s="0" t="n">
        <v>2012</v>
      </c>
      <c r="D1142" s="0" t="n">
        <v>9</v>
      </c>
      <c r="E1142" s="38" t="n">
        <v>2912.46</v>
      </c>
    </row>
    <row r="1143" customFormat="false" ht="15" hidden="false" customHeight="false" outlineLevel="0" collapsed="false">
      <c r="A1143" s="0" t="n">
        <v>12</v>
      </c>
      <c r="B1143" s="0" t="s">
        <v>64</v>
      </c>
      <c r="C1143" s="0" t="n">
        <v>2012</v>
      </c>
      <c r="D1143" s="0" t="n">
        <v>10</v>
      </c>
      <c r="E1143" s="38" t="n">
        <v>2633.26</v>
      </c>
    </row>
    <row r="1144" customFormat="false" ht="15" hidden="false" customHeight="false" outlineLevel="0" collapsed="false">
      <c r="A1144" s="0" t="n">
        <v>12</v>
      </c>
      <c r="B1144" s="0" t="s">
        <v>64</v>
      </c>
      <c r="C1144" s="0" t="n">
        <v>2012</v>
      </c>
      <c r="D1144" s="0" t="n">
        <v>11</v>
      </c>
      <c r="E1144" s="38" t="n">
        <v>2908.96</v>
      </c>
    </row>
    <row r="1145" customFormat="false" ht="15" hidden="false" customHeight="false" outlineLevel="0" collapsed="false">
      <c r="A1145" s="0" t="n">
        <v>12</v>
      </c>
      <c r="B1145" s="0" t="s">
        <v>64</v>
      </c>
      <c r="C1145" s="0" t="n">
        <v>2012</v>
      </c>
      <c r="D1145" s="0" t="n">
        <v>12</v>
      </c>
      <c r="E1145" s="38" t="n">
        <v>2851.55</v>
      </c>
    </row>
    <row r="1146" customFormat="false" ht="15" hidden="false" customHeight="false" outlineLevel="0" collapsed="false">
      <c r="A1146" s="0" t="n">
        <v>12</v>
      </c>
      <c r="B1146" s="0" t="s">
        <v>64</v>
      </c>
      <c r="C1146" s="0" t="n">
        <v>2013</v>
      </c>
      <c r="D1146" s="0" t="n">
        <v>1</v>
      </c>
      <c r="E1146" s="38" t="n">
        <v>2735.88</v>
      </c>
    </row>
    <row r="1147" customFormat="false" ht="15" hidden="false" customHeight="false" outlineLevel="0" collapsed="false">
      <c r="A1147" s="0" t="n">
        <v>12</v>
      </c>
      <c r="B1147" s="0" t="s">
        <v>64</v>
      </c>
      <c r="C1147" s="0" t="n">
        <v>2013</v>
      </c>
      <c r="D1147" s="0" t="n">
        <v>2</v>
      </c>
      <c r="E1147" s="38" t="n">
        <v>2809.38</v>
      </c>
    </row>
    <row r="1148" customFormat="false" ht="15" hidden="false" customHeight="false" outlineLevel="0" collapsed="false">
      <c r="A1148" s="0" t="n">
        <v>12</v>
      </c>
      <c r="B1148" s="0" t="s">
        <v>64</v>
      </c>
      <c r="C1148" s="0" t="n">
        <v>2013</v>
      </c>
      <c r="D1148" s="0" t="n">
        <v>3</v>
      </c>
      <c r="E1148" s="38" t="n">
        <v>2437.04</v>
      </c>
    </row>
    <row r="1149" customFormat="false" ht="15" hidden="false" customHeight="false" outlineLevel="0" collapsed="false">
      <c r="A1149" s="0" t="n">
        <v>12</v>
      </c>
      <c r="B1149" s="0" t="s">
        <v>64</v>
      </c>
      <c r="C1149" s="0" t="n">
        <v>2013</v>
      </c>
      <c r="D1149" s="0" t="n">
        <v>4</v>
      </c>
      <c r="E1149" s="38" t="n">
        <v>3242.12</v>
      </c>
    </row>
    <row r="1150" customFormat="false" ht="15" hidden="false" customHeight="false" outlineLevel="0" collapsed="false">
      <c r="A1150" s="0" t="n">
        <v>12</v>
      </c>
      <c r="B1150" s="0" t="s">
        <v>64</v>
      </c>
      <c r="C1150" s="0" t="n">
        <v>2013</v>
      </c>
      <c r="D1150" s="0" t="n">
        <v>5</v>
      </c>
      <c r="E1150" s="38" t="n">
        <v>3097.95</v>
      </c>
    </row>
    <row r="1151" customFormat="false" ht="15" hidden="false" customHeight="false" outlineLevel="0" collapsed="false">
      <c r="A1151" s="0" t="n">
        <v>12</v>
      </c>
      <c r="B1151" s="0" t="s">
        <v>64</v>
      </c>
      <c r="C1151" s="0" t="n">
        <v>2013</v>
      </c>
      <c r="D1151" s="0" t="n">
        <v>6</v>
      </c>
      <c r="E1151" s="38" t="n">
        <v>3310.26</v>
      </c>
    </row>
    <row r="1152" customFormat="false" ht="15" hidden="false" customHeight="false" outlineLevel="0" collapsed="false">
      <c r="A1152" s="0" t="n">
        <v>12</v>
      </c>
      <c r="B1152" s="0" t="s">
        <v>64</v>
      </c>
      <c r="C1152" s="0" t="n">
        <v>2013</v>
      </c>
      <c r="D1152" s="0" t="n">
        <v>7</v>
      </c>
      <c r="E1152" s="38" t="n">
        <v>3178.9</v>
      </c>
    </row>
    <row r="1153" customFormat="false" ht="15" hidden="false" customHeight="false" outlineLevel="0" collapsed="false">
      <c r="A1153" s="0" t="n">
        <v>12</v>
      </c>
      <c r="B1153" s="0" t="s">
        <v>64</v>
      </c>
      <c r="C1153" s="0" t="n">
        <v>2013</v>
      </c>
      <c r="D1153" s="0" t="n">
        <v>8</v>
      </c>
      <c r="E1153" s="38" t="n">
        <v>2662.97</v>
      </c>
    </row>
    <row r="1154" customFormat="false" ht="15" hidden="false" customHeight="false" outlineLevel="0" collapsed="false">
      <c r="A1154" s="0" t="n">
        <v>13</v>
      </c>
      <c r="B1154" s="0" t="s">
        <v>60</v>
      </c>
      <c r="C1154" s="0" t="n">
        <v>2011</v>
      </c>
      <c r="D1154" s="0" t="n">
        <v>1</v>
      </c>
      <c r="E1154" s="38" t="n">
        <v>3329002.61</v>
      </c>
    </row>
    <row r="1155" customFormat="false" ht="15" hidden="false" customHeight="false" outlineLevel="0" collapsed="false">
      <c r="A1155" s="0" t="n">
        <v>13</v>
      </c>
      <c r="B1155" s="0" t="s">
        <v>60</v>
      </c>
      <c r="C1155" s="0" t="n">
        <v>2011</v>
      </c>
      <c r="D1155" s="0" t="n">
        <v>2</v>
      </c>
      <c r="E1155" s="38" t="n">
        <v>3601559.05</v>
      </c>
    </row>
    <row r="1156" customFormat="false" ht="15" hidden="false" customHeight="false" outlineLevel="0" collapsed="false">
      <c r="A1156" s="0" t="n">
        <v>13</v>
      </c>
      <c r="B1156" s="0" t="s">
        <v>60</v>
      </c>
      <c r="C1156" s="0" t="n">
        <v>2011</v>
      </c>
      <c r="D1156" s="0" t="n">
        <v>3</v>
      </c>
      <c r="E1156" s="38" t="n">
        <v>3523164.78</v>
      </c>
    </row>
    <row r="1157" customFormat="false" ht="15" hidden="false" customHeight="false" outlineLevel="0" collapsed="false">
      <c r="A1157" s="0" t="n">
        <v>13</v>
      </c>
      <c r="B1157" s="0" t="s">
        <v>60</v>
      </c>
      <c r="C1157" s="0" t="n">
        <v>2011</v>
      </c>
      <c r="D1157" s="0" t="n">
        <v>4</v>
      </c>
      <c r="E1157" s="38" t="n">
        <v>3621042.84</v>
      </c>
    </row>
    <row r="1158" customFormat="false" ht="15" hidden="false" customHeight="false" outlineLevel="0" collapsed="false">
      <c r="A1158" s="0" t="n">
        <v>13</v>
      </c>
      <c r="B1158" s="0" t="s">
        <v>60</v>
      </c>
      <c r="C1158" s="0" t="n">
        <v>2011</v>
      </c>
      <c r="D1158" s="0" t="n">
        <v>5</v>
      </c>
      <c r="E1158" s="38" t="n">
        <v>3581322.01</v>
      </c>
    </row>
    <row r="1159" customFormat="false" ht="15" hidden="false" customHeight="false" outlineLevel="0" collapsed="false">
      <c r="A1159" s="0" t="n">
        <v>13</v>
      </c>
      <c r="B1159" s="0" t="s">
        <v>60</v>
      </c>
      <c r="C1159" s="0" t="n">
        <v>2011</v>
      </c>
      <c r="D1159" s="0" t="n">
        <v>6</v>
      </c>
      <c r="E1159" s="38" t="n">
        <v>3726931.68</v>
      </c>
    </row>
    <row r="1160" customFormat="false" ht="15" hidden="false" customHeight="false" outlineLevel="0" collapsed="false">
      <c r="A1160" s="0" t="n">
        <v>13</v>
      </c>
      <c r="B1160" s="0" t="s">
        <v>60</v>
      </c>
      <c r="C1160" s="0" t="n">
        <v>2011</v>
      </c>
      <c r="D1160" s="0" t="n">
        <v>7</v>
      </c>
      <c r="E1160" s="38" t="n">
        <v>3881573.1</v>
      </c>
    </row>
    <row r="1161" customFormat="false" ht="15" hidden="false" customHeight="false" outlineLevel="0" collapsed="false">
      <c r="A1161" s="0" t="n">
        <v>13</v>
      </c>
      <c r="B1161" s="0" t="s">
        <v>60</v>
      </c>
      <c r="C1161" s="0" t="n">
        <v>2011</v>
      </c>
      <c r="D1161" s="0" t="n">
        <v>8</v>
      </c>
      <c r="E1161" s="38" t="n">
        <v>3687383.34</v>
      </c>
    </row>
    <row r="1162" customFormat="false" ht="15" hidden="false" customHeight="false" outlineLevel="0" collapsed="false">
      <c r="A1162" s="0" t="n">
        <v>13</v>
      </c>
      <c r="B1162" s="0" t="s">
        <v>60</v>
      </c>
      <c r="C1162" s="0" t="n">
        <v>2011</v>
      </c>
      <c r="D1162" s="0" t="n">
        <v>9</v>
      </c>
      <c r="E1162" s="38" t="n">
        <v>3689142.82</v>
      </c>
    </row>
    <row r="1163" customFormat="false" ht="15" hidden="false" customHeight="false" outlineLevel="0" collapsed="false">
      <c r="A1163" s="0" t="n">
        <v>13</v>
      </c>
      <c r="B1163" s="0" t="s">
        <v>60</v>
      </c>
      <c r="C1163" s="0" t="n">
        <v>2011</v>
      </c>
      <c r="D1163" s="0" t="n">
        <v>10</v>
      </c>
      <c r="E1163" s="38" t="n">
        <v>3492554.83</v>
      </c>
    </row>
    <row r="1164" customFormat="false" ht="15" hidden="false" customHeight="false" outlineLevel="0" collapsed="false">
      <c r="A1164" s="0" t="n">
        <v>13</v>
      </c>
      <c r="B1164" s="0" t="s">
        <v>60</v>
      </c>
      <c r="C1164" s="0" t="n">
        <v>2011</v>
      </c>
      <c r="D1164" s="0" t="n">
        <v>11</v>
      </c>
      <c r="E1164" s="38" t="n">
        <v>3352553.66</v>
      </c>
    </row>
    <row r="1165" customFormat="false" ht="15" hidden="false" customHeight="false" outlineLevel="0" collapsed="false">
      <c r="A1165" s="0" t="n">
        <v>13</v>
      </c>
      <c r="B1165" s="0" t="s">
        <v>60</v>
      </c>
      <c r="C1165" s="0" t="n">
        <v>2011</v>
      </c>
      <c r="D1165" s="0" t="n">
        <v>12</v>
      </c>
      <c r="E1165" s="38" t="n">
        <v>3476340.65</v>
      </c>
    </row>
    <row r="1166" customFormat="false" ht="15" hidden="false" customHeight="false" outlineLevel="0" collapsed="false">
      <c r="A1166" s="0" t="n">
        <v>13</v>
      </c>
      <c r="B1166" s="0" t="s">
        <v>60</v>
      </c>
      <c r="C1166" s="0" t="n">
        <v>2012</v>
      </c>
      <c r="D1166" s="0" t="n">
        <v>1</v>
      </c>
      <c r="E1166" s="38" t="n">
        <v>3327714.1</v>
      </c>
    </row>
    <row r="1167" customFormat="false" ht="15" hidden="false" customHeight="false" outlineLevel="0" collapsed="false">
      <c r="A1167" s="0" t="n">
        <v>13</v>
      </c>
      <c r="B1167" s="0" t="s">
        <v>60</v>
      </c>
      <c r="C1167" s="0" t="n">
        <v>2012</v>
      </c>
      <c r="D1167" s="0" t="n">
        <v>2</v>
      </c>
      <c r="E1167" s="38" t="n">
        <v>3594369.54</v>
      </c>
    </row>
    <row r="1168" customFormat="false" ht="15" hidden="false" customHeight="false" outlineLevel="0" collapsed="false">
      <c r="A1168" s="0" t="n">
        <v>13</v>
      </c>
      <c r="B1168" s="0" t="s">
        <v>60</v>
      </c>
      <c r="C1168" s="0" t="n">
        <v>2012</v>
      </c>
      <c r="D1168" s="0" t="n">
        <v>3</v>
      </c>
      <c r="E1168" s="38" t="n">
        <v>3361668.89</v>
      </c>
    </row>
    <row r="1169" customFormat="false" ht="15" hidden="false" customHeight="false" outlineLevel="0" collapsed="false">
      <c r="A1169" s="0" t="n">
        <v>13</v>
      </c>
      <c r="B1169" s="0" t="s">
        <v>60</v>
      </c>
      <c r="C1169" s="0" t="n">
        <v>2012</v>
      </c>
      <c r="D1169" s="0" t="n">
        <v>4</v>
      </c>
      <c r="E1169" s="38" t="n">
        <v>3504280.73</v>
      </c>
    </row>
    <row r="1170" customFormat="false" ht="15" hidden="false" customHeight="false" outlineLevel="0" collapsed="false">
      <c r="A1170" s="0" t="n">
        <v>13</v>
      </c>
      <c r="B1170" s="0" t="s">
        <v>60</v>
      </c>
      <c r="C1170" s="0" t="n">
        <v>2012</v>
      </c>
      <c r="D1170" s="0" t="n">
        <v>5</v>
      </c>
      <c r="E1170" s="38" t="n">
        <v>3403721.82</v>
      </c>
    </row>
    <row r="1171" customFormat="false" ht="15" hidden="false" customHeight="false" outlineLevel="0" collapsed="false">
      <c r="A1171" s="0" t="n">
        <v>13</v>
      </c>
      <c r="B1171" s="0" t="s">
        <v>60</v>
      </c>
      <c r="C1171" s="0" t="n">
        <v>2012</v>
      </c>
      <c r="D1171" s="0" t="n">
        <v>6</v>
      </c>
      <c r="E1171" s="38" t="n">
        <v>3611721.25</v>
      </c>
    </row>
    <row r="1172" customFormat="false" ht="15" hidden="false" customHeight="false" outlineLevel="0" collapsed="false">
      <c r="A1172" s="0" t="n">
        <v>13</v>
      </c>
      <c r="B1172" s="0" t="s">
        <v>60</v>
      </c>
      <c r="C1172" s="0" t="n">
        <v>2012</v>
      </c>
      <c r="D1172" s="0" t="n">
        <v>7</v>
      </c>
      <c r="E1172" s="38" t="n">
        <v>3858820.54</v>
      </c>
    </row>
    <row r="1173" customFormat="false" ht="15" hidden="false" customHeight="false" outlineLevel="0" collapsed="false">
      <c r="A1173" s="0" t="n">
        <v>13</v>
      </c>
      <c r="B1173" s="0" t="s">
        <v>60</v>
      </c>
      <c r="C1173" s="0" t="n">
        <v>2012</v>
      </c>
      <c r="D1173" s="0" t="n">
        <v>8</v>
      </c>
      <c r="E1173" s="38" t="n">
        <v>3633154.97</v>
      </c>
    </row>
    <row r="1174" customFormat="false" ht="15" hidden="false" customHeight="false" outlineLevel="0" collapsed="false">
      <c r="A1174" s="0" t="n">
        <v>13</v>
      </c>
      <c r="B1174" s="0" t="s">
        <v>60</v>
      </c>
      <c r="C1174" s="0" t="n">
        <v>2012</v>
      </c>
      <c r="D1174" s="0" t="n">
        <v>9</v>
      </c>
      <c r="E1174" s="38" t="n">
        <v>3759184.26</v>
      </c>
    </row>
    <row r="1175" customFormat="false" ht="15" hidden="false" customHeight="false" outlineLevel="0" collapsed="false">
      <c r="A1175" s="0" t="n">
        <v>13</v>
      </c>
      <c r="B1175" s="0" t="s">
        <v>60</v>
      </c>
      <c r="C1175" s="0" t="n">
        <v>2012</v>
      </c>
      <c r="D1175" s="0" t="n">
        <v>10</v>
      </c>
      <c r="E1175" s="38" t="n">
        <v>3494022.72</v>
      </c>
    </row>
    <row r="1176" customFormat="false" ht="15" hidden="false" customHeight="false" outlineLevel="0" collapsed="false">
      <c r="A1176" s="0" t="n">
        <v>13</v>
      </c>
      <c r="B1176" s="0" t="s">
        <v>60</v>
      </c>
      <c r="C1176" s="0" t="n">
        <v>2012</v>
      </c>
      <c r="D1176" s="0" t="n">
        <v>11</v>
      </c>
      <c r="E1176" s="38" t="n">
        <v>3392736.71</v>
      </c>
    </row>
    <row r="1177" customFormat="false" ht="15" hidden="false" customHeight="false" outlineLevel="0" collapsed="false">
      <c r="A1177" s="0" t="n">
        <v>13</v>
      </c>
      <c r="B1177" s="0" t="s">
        <v>60</v>
      </c>
      <c r="C1177" s="0" t="n">
        <v>2012</v>
      </c>
      <c r="D1177" s="0" t="n">
        <v>12</v>
      </c>
      <c r="E1177" s="38" t="n">
        <v>3533347.9</v>
      </c>
    </row>
    <row r="1178" customFormat="false" ht="15" hidden="false" customHeight="false" outlineLevel="0" collapsed="false">
      <c r="A1178" s="0" t="n">
        <v>13</v>
      </c>
      <c r="B1178" s="0" t="s">
        <v>60</v>
      </c>
      <c r="C1178" s="0" t="n">
        <v>2013</v>
      </c>
      <c r="D1178" s="0" t="n">
        <v>1</v>
      </c>
      <c r="E1178" s="38" t="n">
        <v>3454782.5</v>
      </c>
    </row>
    <row r="1179" customFormat="false" ht="15" hidden="false" customHeight="false" outlineLevel="0" collapsed="false">
      <c r="A1179" s="0" t="n">
        <v>13</v>
      </c>
      <c r="B1179" s="0" t="s">
        <v>60</v>
      </c>
      <c r="C1179" s="0" t="n">
        <v>2013</v>
      </c>
      <c r="D1179" s="0" t="n">
        <v>2</v>
      </c>
      <c r="E1179" s="38" t="n">
        <v>3647068.33</v>
      </c>
    </row>
    <row r="1180" customFormat="false" ht="15" hidden="false" customHeight="false" outlineLevel="0" collapsed="false">
      <c r="A1180" s="0" t="n">
        <v>13</v>
      </c>
      <c r="B1180" s="0" t="s">
        <v>60</v>
      </c>
      <c r="C1180" s="0" t="n">
        <v>2013</v>
      </c>
      <c r="D1180" s="0" t="n">
        <v>3</v>
      </c>
      <c r="E1180" s="38" t="n">
        <v>3487678.5</v>
      </c>
    </row>
    <row r="1181" customFormat="false" ht="15" hidden="false" customHeight="false" outlineLevel="0" collapsed="false">
      <c r="A1181" s="0" t="n">
        <v>13</v>
      </c>
      <c r="B1181" s="0" t="s">
        <v>60</v>
      </c>
      <c r="C1181" s="0" t="n">
        <v>2013</v>
      </c>
      <c r="D1181" s="0" t="n">
        <v>4</v>
      </c>
      <c r="E1181" s="38" t="n">
        <v>3589641.26</v>
      </c>
    </row>
    <row r="1182" customFormat="false" ht="15" hidden="false" customHeight="false" outlineLevel="0" collapsed="false">
      <c r="A1182" s="0" t="n">
        <v>13</v>
      </c>
      <c r="B1182" s="0" t="s">
        <v>60</v>
      </c>
      <c r="C1182" s="0" t="n">
        <v>2013</v>
      </c>
      <c r="D1182" s="0" t="n">
        <v>5</v>
      </c>
      <c r="E1182" s="38" t="n">
        <v>3518749.22</v>
      </c>
    </row>
    <row r="1183" customFormat="false" ht="15" hidden="false" customHeight="false" outlineLevel="0" collapsed="false">
      <c r="A1183" s="0" t="n">
        <v>13</v>
      </c>
      <c r="B1183" s="0" t="s">
        <v>60</v>
      </c>
      <c r="C1183" s="0" t="n">
        <v>2013</v>
      </c>
      <c r="D1183" s="0" t="n">
        <v>6</v>
      </c>
      <c r="E1183" s="38" t="n">
        <v>3690143.64</v>
      </c>
    </row>
    <row r="1184" customFormat="false" ht="15" hidden="false" customHeight="false" outlineLevel="0" collapsed="false">
      <c r="A1184" s="0" t="n">
        <v>13</v>
      </c>
      <c r="B1184" s="0" t="s">
        <v>60</v>
      </c>
      <c r="C1184" s="0" t="n">
        <v>2013</v>
      </c>
      <c r="D1184" s="0" t="n">
        <v>7</v>
      </c>
      <c r="E1184" s="38" t="n">
        <v>3891465.62</v>
      </c>
    </row>
    <row r="1185" customFormat="false" ht="15" hidden="false" customHeight="false" outlineLevel="0" collapsed="false">
      <c r="A1185" s="0" t="n">
        <v>13</v>
      </c>
      <c r="B1185" s="0" t="s">
        <v>60</v>
      </c>
      <c r="C1185" s="0" t="n">
        <v>2013</v>
      </c>
      <c r="D1185" s="0" t="n">
        <v>8</v>
      </c>
      <c r="E1185" s="38" t="n">
        <v>3657607.87</v>
      </c>
    </row>
    <row r="1186" customFormat="false" ht="15" hidden="false" customHeight="false" outlineLevel="0" collapsed="false">
      <c r="A1186" s="0" t="n">
        <v>13</v>
      </c>
      <c r="B1186" s="0" t="s">
        <v>62</v>
      </c>
      <c r="C1186" s="0" t="n">
        <v>2011</v>
      </c>
      <c r="D1186" s="0" t="n">
        <v>1</v>
      </c>
      <c r="E1186" s="38" t="n">
        <v>1990065.89</v>
      </c>
    </row>
    <row r="1187" customFormat="false" ht="15" hidden="false" customHeight="false" outlineLevel="0" collapsed="false">
      <c r="A1187" s="0" t="n">
        <v>13</v>
      </c>
      <c r="B1187" s="0" t="s">
        <v>62</v>
      </c>
      <c r="C1187" s="0" t="n">
        <v>2011</v>
      </c>
      <c r="D1187" s="0" t="n">
        <v>2</v>
      </c>
      <c r="E1187" s="38" t="n">
        <v>2199826.13</v>
      </c>
    </row>
    <row r="1188" customFormat="false" ht="15" hidden="false" customHeight="false" outlineLevel="0" collapsed="false">
      <c r="A1188" s="0" t="n">
        <v>13</v>
      </c>
      <c r="B1188" s="0" t="s">
        <v>62</v>
      </c>
      <c r="C1188" s="0" t="n">
        <v>2011</v>
      </c>
      <c r="D1188" s="0" t="n">
        <v>3</v>
      </c>
      <c r="E1188" s="38" t="n">
        <v>2141617.02</v>
      </c>
    </row>
    <row r="1189" customFormat="false" ht="15" hidden="false" customHeight="false" outlineLevel="0" collapsed="false">
      <c r="A1189" s="0" t="n">
        <v>13</v>
      </c>
      <c r="B1189" s="0" t="s">
        <v>62</v>
      </c>
      <c r="C1189" s="0" t="n">
        <v>2011</v>
      </c>
      <c r="D1189" s="0" t="n">
        <v>4</v>
      </c>
      <c r="E1189" s="38" t="n">
        <v>2186923.33</v>
      </c>
    </row>
    <row r="1190" customFormat="false" ht="15" hidden="false" customHeight="false" outlineLevel="0" collapsed="false">
      <c r="A1190" s="0" t="n">
        <v>13</v>
      </c>
      <c r="B1190" s="0" t="s">
        <v>62</v>
      </c>
      <c r="C1190" s="0" t="n">
        <v>2011</v>
      </c>
      <c r="D1190" s="0" t="n">
        <v>5</v>
      </c>
      <c r="E1190" s="38" t="n">
        <v>2170761.86</v>
      </c>
    </row>
    <row r="1191" customFormat="false" ht="15" hidden="false" customHeight="false" outlineLevel="0" collapsed="false">
      <c r="A1191" s="0" t="n">
        <v>13</v>
      </c>
      <c r="B1191" s="0" t="s">
        <v>62</v>
      </c>
      <c r="C1191" s="0" t="n">
        <v>2011</v>
      </c>
      <c r="D1191" s="0" t="n">
        <v>6</v>
      </c>
      <c r="E1191" s="38" t="n">
        <v>2249683.79</v>
      </c>
    </row>
    <row r="1192" customFormat="false" ht="15" hidden="false" customHeight="false" outlineLevel="0" collapsed="false">
      <c r="A1192" s="0" t="n">
        <v>13</v>
      </c>
      <c r="B1192" s="0" t="s">
        <v>62</v>
      </c>
      <c r="C1192" s="0" t="n">
        <v>2011</v>
      </c>
      <c r="D1192" s="0" t="n">
        <v>7</v>
      </c>
      <c r="E1192" s="38" t="n">
        <v>2332888.65</v>
      </c>
    </row>
    <row r="1193" customFormat="false" ht="15" hidden="false" customHeight="false" outlineLevel="0" collapsed="false">
      <c r="A1193" s="0" t="n">
        <v>13</v>
      </c>
      <c r="B1193" s="0" t="s">
        <v>62</v>
      </c>
      <c r="C1193" s="0" t="n">
        <v>2011</v>
      </c>
      <c r="D1193" s="0" t="n">
        <v>8</v>
      </c>
      <c r="E1193" s="38" t="n">
        <v>2201090.82</v>
      </c>
    </row>
    <row r="1194" customFormat="false" ht="15" hidden="false" customHeight="false" outlineLevel="0" collapsed="false">
      <c r="A1194" s="0" t="n">
        <v>13</v>
      </c>
      <c r="B1194" s="0" t="s">
        <v>62</v>
      </c>
      <c r="C1194" s="0" t="n">
        <v>2011</v>
      </c>
      <c r="D1194" s="0" t="n">
        <v>9</v>
      </c>
      <c r="E1194" s="38" t="n">
        <v>2154405.6</v>
      </c>
    </row>
    <row r="1195" customFormat="false" ht="15" hidden="false" customHeight="false" outlineLevel="0" collapsed="false">
      <c r="A1195" s="0" t="n">
        <v>13</v>
      </c>
      <c r="B1195" s="0" t="s">
        <v>62</v>
      </c>
      <c r="C1195" s="0" t="n">
        <v>2011</v>
      </c>
      <c r="D1195" s="0" t="n">
        <v>10</v>
      </c>
      <c r="E1195" s="38" t="n">
        <v>2005251.87</v>
      </c>
    </row>
    <row r="1196" customFormat="false" ht="15" hidden="false" customHeight="false" outlineLevel="0" collapsed="false">
      <c r="A1196" s="0" t="n">
        <v>13</v>
      </c>
      <c r="B1196" s="0" t="s">
        <v>62</v>
      </c>
      <c r="C1196" s="0" t="n">
        <v>2011</v>
      </c>
      <c r="D1196" s="0" t="n">
        <v>11</v>
      </c>
      <c r="E1196" s="38" t="n">
        <v>1930711.39</v>
      </c>
    </row>
    <row r="1197" customFormat="false" ht="15" hidden="false" customHeight="false" outlineLevel="0" collapsed="false">
      <c r="A1197" s="0" t="n">
        <v>13</v>
      </c>
      <c r="B1197" s="0" t="s">
        <v>62</v>
      </c>
      <c r="C1197" s="0" t="n">
        <v>2011</v>
      </c>
      <c r="D1197" s="0" t="n">
        <v>12</v>
      </c>
      <c r="E1197" s="38" t="n">
        <v>1998052.03</v>
      </c>
    </row>
    <row r="1198" customFormat="false" ht="15" hidden="false" customHeight="false" outlineLevel="0" collapsed="false">
      <c r="A1198" s="0" t="n">
        <v>13</v>
      </c>
      <c r="B1198" s="0" t="s">
        <v>62</v>
      </c>
      <c r="C1198" s="0" t="n">
        <v>2012</v>
      </c>
      <c r="D1198" s="0" t="n">
        <v>1</v>
      </c>
      <c r="E1198" s="38" t="n">
        <v>1891365.71</v>
      </c>
    </row>
    <row r="1199" customFormat="false" ht="15" hidden="false" customHeight="false" outlineLevel="0" collapsed="false">
      <c r="A1199" s="0" t="n">
        <v>13</v>
      </c>
      <c r="B1199" s="0" t="s">
        <v>62</v>
      </c>
      <c r="C1199" s="0" t="n">
        <v>2012</v>
      </c>
      <c r="D1199" s="0" t="n">
        <v>2</v>
      </c>
      <c r="E1199" s="38" t="n">
        <v>2084919.97</v>
      </c>
    </row>
    <row r="1200" customFormat="false" ht="15" hidden="false" customHeight="false" outlineLevel="0" collapsed="false">
      <c r="A1200" s="0" t="n">
        <v>13</v>
      </c>
      <c r="B1200" s="0" t="s">
        <v>62</v>
      </c>
      <c r="C1200" s="0" t="n">
        <v>2012</v>
      </c>
      <c r="D1200" s="0" t="n">
        <v>3</v>
      </c>
      <c r="E1200" s="38" t="n">
        <v>1943732.48</v>
      </c>
    </row>
    <row r="1201" customFormat="false" ht="15" hidden="false" customHeight="false" outlineLevel="0" collapsed="false">
      <c r="A1201" s="0" t="n">
        <v>13</v>
      </c>
      <c r="B1201" s="0" t="s">
        <v>62</v>
      </c>
      <c r="C1201" s="0" t="n">
        <v>2012</v>
      </c>
      <c r="D1201" s="0" t="n">
        <v>4</v>
      </c>
      <c r="E1201" s="38" t="n">
        <v>2039384.44</v>
      </c>
    </row>
    <row r="1202" customFormat="false" ht="15" hidden="false" customHeight="false" outlineLevel="0" collapsed="false">
      <c r="A1202" s="0" t="n">
        <v>13</v>
      </c>
      <c r="B1202" s="0" t="s">
        <v>62</v>
      </c>
      <c r="C1202" s="0" t="n">
        <v>2012</v>
      </c>
      <c r="D1202" s="0" t="n">
        <v>5</v>
      </c>
      <c r="E1202" s="38" t="n">
        <v>1998215.86</v>
      </c>
    </row>
    <row r="1203" customFormat="false" ht="15" hidden="false" customHeight="false" outlineLevel="0" collapsed="false">
      <c r="A1203" s="0" t="n">
        <v>13</v>
      </c>
      <c r="B1203" s="0" t="s">
        <v>62</v>
      </c>
      <c r="C1203" s="0" t="n">
        <v>2012</v>
      </c>
      <c r="D1203" s="0" t="n">
        <v>6</v>
      </c>
      <c r="E1203" s="38" t="n">
        <v>2104099.73</v>
      </c>
    </row>
    <row r="1204" customFormat="false" ht="15" hidden="false" customHeight="false" outlineLevel="0" collapsed="false">
      <c r="A1204" s="0" t="n">
        <v>13</v>
      </c>
      <c r="B1204" s="0" t="s">
        <v>62</v>
      </c>
      <c r="C1204" s="0" t="n">
        <v>2012</v>
      </c>
      <c r="D1204" s="0" t="n">
        <v>7</v>
      </c>
      <c r="E1204" s="38" t="n">
        <v>2210183.06</v>
      </c>
    </row>
    <row r="1205" customFormat="false" ht="15" hidden="false" customHeight="false" outlineLevel="0" collapsed="false">
      <c r="A1205" s="0" t="n">
        <v>13</v>
      </c>
      <c r="B1205" s="0" t="s">
        <v>62</v>
      </c>
      <c r="C1205" s="0" t="n">
        <v>2012</v>
      </c>
      <c r="D1205" s="0" t="n">
        <v>8</v>
      </c>
      <c r="E1205" s="38" t="n">
        <v>2098958.36</v>
      </c>
    </row>
    <row r="1206" customFormat="false" ht="15" hidden="false" customHeight="false" outlineLevel="0" collapsed="false">
      <c r="A1206" s="0" t="n">
        <v>13</v>
      </c>
      <c r="B1206" s="0" t="s">
        <v>62</v>
      </c>
      <c r="C1206" s="0" t="n">
        <v>2012</v>
      </c>
      <c r="D1206" s="0" t="n">
        <v>9</v>
      </c>
      <c r="E1206" s="38" t="n">
        <v>2106477.82</v>
      </c>
    </row>
    <row r="1207" customFormat="false" ht="15" hidden="false" customHeight="false" outlineLevel="0" collapsed="false">
      <c r="A1207" s="0" t="n">
        <v>13</v>
      </c>
      <c r="B1207" s="0" t="s">
        <v>62</v>
      </c>
      <c r="C1207" s="0" t="n">
        <v>2012</v>
      </c>
      <c r="D1207" s="0" t="n">
        <v>10</v>
      </c>
      <c r="E1207" s="38" t="n">
        <v>1939487.41</v>
      </c>
    </row>
    <row r="1208" customFormat="false" ht="15" hidden="false" customHeight="false" outlineLevel="0" collapsed="false">
      <c r="A1208" s="0" t="n">
        <v>13</v>
      </c>
      <c r="B1208" s="0" t="s">
        <v>62</v>
      </c>
      <c r="C1208" s="0" t="n">
        <v>2012</v>
      </c>
      <c r="D1208" s="0" t="n">
        <v>11</v>
      </c>
      <c r="E1208" s="38" t="n">
        <v>1930807.57</v>
      </c>
    </row>
    <row r="1209" customFormat="false" ht="15" hidden="false" customHeight="false" outlineLevel="0" collapsed="false">
      <c r="A1209" s="0" t="n">
        <v>13</v>
      </c>
      <c r="B1209" s="0" t="s">
        <v>62</v>
      </c>
      <c r="C1209" s="0" t="n">
        <v>2012</v>
      </c>
      <c r="D1209" s="0" t="n">
        <v>12</v>
      </c>
      <c r="E1209" s="38" t="n">
        <v>1988171.61</v>
      </c>
    </row>
    <row r="1210" customFormat="false" ht="15" hidden="false" customHeight="false" outlineLevel="0" collapsed="false">
      <c r="A1210" s="0" t="n">
        <v>13</v>
      </c>
      <c r="B1210" s="0" t="s">
        <v>62</v>
      </c>
      <c r="C1210" s="0" t="n">
        <v>2013</v>
      </c>
      <c r="D1210" s="0" t="n">
        <v>1</v>
      </c>
      <c r="E1210" s="38" t="n">
        <v>1947817.54</v>
      </c>
    </row>
    <row r="1211" customFormat="false" ht="15" hidden="false" customHeight="false" outlineLevel="0" collapsed="false">
      <c r="A1211" s="0" t="n">
        <v>13</v>
      </c>
      <c r="B1211" s="0" t="s">
        <v>62</v>
      </c>
      <c r="C1211" s="0" t="n">
        <v>2013</v>
      </c>
      <c r="D1211" s="0" t="n">
        <v>2</v>
      </c>
      <c r="E1211" s="38" t="n">
        <v>2088143.15</v>
      </c>
    </row>
    <row r="1212" customFormat="false" ht="15" hidden="false" customHeight="false" outlineLevel="0" collapsed="false">
      <c r="A1212" s="0" t="n">
        <v>13</v>
      </c>
      <c r="B1212" s="0" t="s">
        <v>62</v>
      </c>
      <c r="C1212" s="0" t="n">
        <v>2013</v>
      </c>
      <c r="D1212" s="0" t="n">
        <v>3</v>
      </c>
      <c r="E1212" s="38" t="n">
        <v>1977692.8</v>
      </c>
    </row>
    <row r="1213" customFormat="false" ht="15" hidden="false" customHeight="false" outlineLevel="0" collapsed="false">
      <c r="A1213" s="0" t="n">
        <v>13</v>
      </c>
      <c r="B1213" s="0" t="s">
        <v>62</v>
      </c>
      <c r="C1213" s="0" t="n">
        <v>2013</v>
      </c>
      <c r="D1213" s="0" t="n">
        <v>4</v>
      </c>
      <c r="E1213" s="38" t="n">
        <v>2018969.57</v>
      </c>
    </row>
    <row r="1214" customFormat="false" ht="15" hidden="false" customHeight="false" outlineLevel="0" collapsed="false">
      <c r="A1214" s="0" t="n">
        <v>13</v>
      </c>
      <c r="B1214" s="0" t="s">
        <v>62</v>
      </c>
      <c r="C1214" s="0" t="n">
        <v>2013</v>
      </c>
      <c r="D1214" s="0" t="n">
        <v>5</v>
      </c>
      <c r="E1214" s="38" t="n">
        <v>2015045.23</v>
      </c>
    </row>
    <row r="1215" customFormat="false" ht="15" hidden="false" customHeight="false" outlineLevel="0" collapsed="false">
      <c r="A1215" s="0" t="n">
        <v>13</v>
      </c>
      <c r="B1215" s="0" t="s">
        <v>62</v>
      </c>
      <c r="C1215" s="0" t="n">
        <v>2013</v>
      </c>
      <c r="D1215" s="0" t="n">
        <v>6</v>
      </c>
      <c r="E1215" s="38" t="n">
        <v>2109997.82</v>
      </c>
    </row>
    <row r="1216" customFormat="false" ht="15" hidden="false" customHeight="false" outlineLevel="0" collapsed="false">
      <c r="A1216" s="0" t="n">
        <v>13</v>
      </c>
      <c r="B1216" s="0" t="s">
        <v>62</v>
      </c>
      <c r="C1216" s="0" t="n">
        <v>2013</v>
      </c>
      <c r="D1216" s="0" t="n">
        <v>7</v>
      </c>
      <c r="E1216" s="38" t="n">
        <v>2281141.29</v>
      </c>
    </row>
    <row r="1217" customFormat="false" ht="15" hidden="false" customHeight="false" outlineLevel="0" collapsed="false">
      <c r="A1217" s="0" t="n">
        <v>13</v>
      </c>
      <c r="B1217" s="0" t="s">
        <v>62</v>
      </c>
      <c r="C1217" s="0" t="n">
        <v>2013</v>
      </c>
      <c r="D1217" s="0" t="n">
        <v>8</v>
      </c>
      <c r="E1217" s="38" t="n">
        <v>2125674.93</v>
      </c>
    </row>
    <row r="1218" customFormat="false" ht="15" hidden="false" customHeight="false" outlineLevel="0" collapsed="false">
      <c r="A1218" s="0" t="n">
        <v>13</v>
      </c>
      <c r="B1218" s="0" t="s">
        <v>64</v>
      </c>
      <c r="C1218" s="0" t="n">
        <v>2011</v>
      </c>
      <c r="D1218" s="0" t="n">
        <v>1</v>
      </c>
      <c r="E1218" s="38" t="n">
        <v>316463.04</v>
      </c>
    </row>
    <row r="1219" customFormat="false" ht="15" hidden="false" customHeight="false" outlineLevel="0" collapsed="false">
      <c r="A1219" s="0" t="n">
        <v>13</v>
      </c>
      <c r="B1219" s="0" t="s">
        <v>64</v>
      </c>
      <c r="C1219" s="0" t="n">
        <v>2011</v>
      </c>
      <c r="D1219" s="0" t="n">
        <v>2</v>
      </c>
      <c r="E1219" s="38" t="n">
        <v>352308.51</v>
      </c>
    </row>
    <row r="1220" customFormat="false" ht="15" hidden="false" customHeight="false" outlineLevel="0" collapsed="false">
      <c r="A1220" s="0" t="n">
        <v>13</v>
      </c>
      <c r="B1220" s="0" t="s">
        <v>64</v>
      </c>
      <c r="C1220" s="0" t="n">
        <v>2011</v>
      </c>
      <c r="D1220" s="0" t="n">
        <v>3</v>
      </c>
      <c r="E1220" s="38" t="n">
        <v>347742.61</v>
      </c>
    </row>
    <row r="1221" customFormat="false" ht="15" hidden="false" customHeight="false" outlineLevel="0" collapsed="false">
      <c r="A1221" s="0" t="n">
        <v>13</v>
      </c>
      <c r="B1221" s="0" t="s">
        <v>64</v>
      </c>
      <c r="C1221" s="0" t="n">
        <v>2011</v>
      </c>
      <c r="D1221" s="0" t="n">
        <v>4</v>
      </c>
      <c r="E1221" s="38" t="n">
        <v>351023.3</v>
      </c>
    </row>
    <row r="1222" customFormat="false" ht="15" hidden="false" customHeight="false" outlineLevel="0" collapsed="false">
      <c r="A1222" s="0" t="n">
        <v>13</v>
      </c>
      <c r="B1222" s="0" t="s">
        <v>64</v>
      </c>
      <c r="C1222" s="0" t="n">
        <v>2011</v>
      </c>
      <c r="D1222" s="0" t="n">
        <v>5</v>
      </c>
      <c r="E1222" s="38" t="n">
        <v>340476.35</v>
      </c>
    </row>
    <row r="1223" customFormat="false" ht="15" hidden="false" customHeight="false" outlineLevel="0" collapsed="false">
      <c r="A1223" s="0" t="n">
        <v>13</v>
      </c>
      <c r="B1223" s="0" t="s">
        <v>64</v>
      </c>
      <c r="C1223" s="0" t="n">
        <v>2011</v>
      </c>
      <c r="D1223" s="0" t="n">
        <v>6</v>
      </c>
      <c r="E1223" s="38" t="n">
        <v>358401.66</v>
      </c>
    </row>
    <row r="1224" customFormat="false" ht="15" hidden="false" customHeight="false" outlineLevel="0" collapsed="false">
      <c r="A1224" s="0" t="n">
        <v>13</v>
      </c>
      <c r="B1224" s="0" t="s">
        <v>64</v>
      </c>
      <c r="C1224" s="0" t="n">
        <v>2011</v>
      </c>
      <c r="D1224" s="0" t="n">
        <v>7</v>
      </c>
      <c r="E1224" s="38" t="n">
        <v>361119.61</v>
      </c>
    </row>
    <row r="1225" customFormat="false" ht="15" hidden="false" customHeight="false" outlineLevel="0" collapsed="false">
      <c r="A1225" s="0" t="n">
        <v>13</v>
      </c>
      <c r="B1225" s="0" t="s">
        <v>64</v>
      </c>
      <c r="C1225" s="0" t="n">
        <v>2011</v>
      </c>
      <c r="D1225" s="0" t="n">
        <v>8</v>
      </c>
      <c r="E1225" s="38" t="n">
        <v>358824.1</v>
      </c>
    </row>
    <row r="1226" customFormat="false" ht="15" hidden="false" customHeight="false" outlineLevel="0" collapsed="false">
      <c r="A1226" s="0" t="n">
        <v>13</v>
      </c>
      <c r="B1226" s="0" t="s">
        <v>64</v>
      </c>
      <c r="C1226" s="0" t="n">
        <v>2011</v>
      </c>
      <c r="D1226" s="0" t="n">
        <v>9</v>
      </c>
      <c r="E1226" s="38" t="n">
        <v>356367.4</v>
      </c>
    </row>
    <row r="1227" customFormat="false" ht="15" hidden="false" customHeight="false" outlineLevel="0" collapsed="false">
      <c r="A1227" s="0" t="n">
        <v>13</v>
      </c>
      <c r="B1227" s="0" t="s">
        <v>64</v>
      </c>
      <c r="C1227" s="0" t="n">
        <v>2011</v>
      </c>
      <c r="D1227" s="0" t="n">
        <v>10</v>
      </c>
      <c r="E1227" s="38" t="n">
        <v>333676.17</v>
      </c>
    </row>
    <row r="1228" customFormat="false" ht="15" hidden="false" customHeight="false" outlineLevel="0" collapsed="false">
      <c r="A1228" s="0" t="n">
        <v>13</v>
      </c>
      <c r="B1228" s="0" t="s">
        <v>64</v>
      </c>
      <c r="C1228" s="0" t="n">
        <v>2011</v>
      </c>
      <c r="D1228" s="0" t="n">
        <v>11</v>
      </c>
      <c r="E1228" s="38" t="n">
        <v>321615.36</v>
      </c>
    </row>
    <row r="1229" customFormat="false" ht="15" hidden="false" customHeight="false" outlineLevel="0" collapsed="false">
      <c r="A1229" s="0" t="n">
        <v>13</v>
      </c>
      <c r="B1229" s="0" t="s">
        <v>64</v>
      </c>
      <c r="C1229" s="0" t="n">
        <v>2011</v>
      </c>
      <c r="D1229" s="0" t="n">
        <v>12</v>
      </c>
      <c r="E1229" s="38" t="n">
        <v>345009.17</v>
      </c>
    </row>
    <row r="1230" customFormat="false" ht="15" hidden="false" customHeight="false" outlineLevel="0" collapsed="false">
      <c r="A1230" s="0" t="n">
        <v>13</v>
      </c>
      <c r="B1230" s="0" t="s">
        <v>64</v>
      </c>
      <c r="C1230" s="0" t="n">
        <v>2012</v>
      </c>
      <c r="D1230" s="0" t="n">
        <v>1</v>
      </c>
      <c r="E1230" s="38" t="n">
        <v>313491.72</v>
      </c>
    </row>
    <row r="1231" customFormat="false" ht="15" hidden="false" customHeight="false" outlineLevel="0" collapsed="false">
      <c r="A1231" s="0" t="n">
        <v>13</v>
      </c>
      <c r="B1231" s="0" t="s">
        <v>64</v>
      </c>
      <c r="C1231" s="0" t="n">
        <v>2012</v>
      </c>
      <c r="D1231" s="0" t="n">
        <v>2</v>
      </c>
      <c r="E1231" s="38" t="n">
        <v>341178</v>
      </c>
    </row>
    <row r="1232" customFormat="false" ht="15" hidden="false" customHeight="false" outlineLevel="0" collapsed="false">
      <c r="A1232" s="0" t="n">
        <v>13</v>
      </c>
      <c r="B1232" s="0" t="s">
        <v>64</v>
      </c>
      <c r="C1232" s="0" t="n">
        <v>2012</v>
      </c>
      <c r="D1232" s="0" t="n">
        <v>3</v>
      </c>
      <c r="E1232" s="38" t="n">
        <v>323802.94</v>
      </c>
    </row>
    <row r="1233" customFormat="false" ht="15" hidden="false" customHeight="false" outlineLevel="0" collapsed="false">
      <c r="A1233" s="0" t="n">
        <v>13</v>
      </c>
      <c r="B1233" s="0" t="s">
        <v>64</v>
      </c>
      <c r="C1233" s="0" t="n">
        <v>2012</v>
      </c>
      <c r="D1233" s="0" t="n">
        <v>4</v>
      </c>
      <c r="E1233" s="38" t="n">
        <v>337435.83</v>
      </c>
    </row>
    <row r="1234" customFormat="false" ht="15" hidden="false" customHeight="false" outlineLevel="0" collapsed="false">
      <c r="A1234" s="0" t="n">
        <v>13</v>
      </c>
      <c r="B1234" s="0" t="s">
        <v>64</v>
      </c>
      <c r="C1234" s="0" t="n">
        <v>2012</v>
      </c>
      <c r="D1234" s="0" t="n">
        <v>5</v>
      </c>
      <c r="E1234" s="38" t="n">
        <v>318422.29</v>
      </c>
    </row>
    <row r="1235" customFormat="false" ht="15" hidden="false" customHeight="false" outlineLevel="0" collapsed="false">
      <c r="A1235" s="0" t="n">
        <v>13</v>
      </c>
      <c r="B1235" s="0" t="s">
        <v>64</v>
      </c>
      <c r="C1235" s="0" t="n">
        <v>2012</v>
      </c>
      <c r="D1235" s="0" t="n">
        <v>6</v>
      </c>
      <c r="E1235" s="38" t="n">
        <v>327777.43</v>
      </c>
    </row>
    <row r="1236" customFormat="false" ht="15" hidden="false" customHeight="false" outlineLevel="0" collapsed="false">
      <c r="A1236" s="0" t="n">
        <v>13</v>
      </c>
      <c r="B1236" s="0" t="s">
        <v>64</v>
      </c>
      <c r="C1236" s="0" t="n">
        <v>2012</v>
      </c>
      <c r="D1236" s="0" t="n">
        <v>7</v>
      </c>
      <c r="E1236" s="38" t="n">
        <v>338719.44</v>
      </c>
    </row>
    <row r="1237" customFormat="false" ht="15" hidden="false" customHeight="false" outlineLevel="0" collapsed="false">
      <c r="A1237" s="0" t="n">
        <v>13</v>
      </c>
      <c r="B1237" s="0" t="s">
        <v>64</v>
      </c>
      <c r="C1237" s="0" t="n">
        <v>2012</v>
      </c>
      <c r="D1237" s="0" t="n">
        <v>8</v>
      </c>
      <c r="E1237" s="38" t="n">
        <v>328386.01</v>
      </c>
    </row>
    <row r="1238" customFormat="false" ht="15" hidden="false" customHeight="false" outlineLevel="0" collapsed="false">
      <c r="A1238" s="0" t="n">
        <v>13</v>
      </c>
      <c r="B1238" s="0" t="s">
        <v>64</v>
      </c>
      <c r="C1238" s="0" t="n">
        <v>2012</v>
      </c>
      <c r="D1238" s="0" t="n">
        <v>9</v>
      </c>
      <c r="E1238" s="38" t="n">
        <v>346615.1</v>
      </c>
    </row>
    <row r="1239" customFormat="false" ht="15" hidden="false" customHeight="false" outlineLevel="0" collapsed="false">
      <c r="A1239" s="0" t="n">
        <v>13</v>
      </c>
      <c r="B1239" s="0" t="s">
        <v>64</v>
      </c>
      <c r="C1239" s="0" t="n">
        <v>2012</v>
      </c>
      <c r="D1239" s="0" t="n">
        <v>10</v>
      </c>
      <c r="E1239" s="38" t="n">
        <v>330222.36</v>
      </c>
    </row>
    <row r="1240" customFormat="false" ht="15" hidden="false" customHeight="false" outlineLevel="0" collapsed="false">
      <c r="A1240" s="0" t="n">
        <v>13</v>
      </c>
      <c r="B1240" s="0" t="s">
        <v>64</v>
      </c>
      <c r="C1240" s="0" t="n">
        <v>2012</v>
      </c>
      <c r="D1240" s="0" t="n">
        <v>11</v>
      </c>
      <c r="E1240" s="38" t="n">
        <v>318993.19</v>
      </c>
    </row>
    <row r="1241" customFormat="false" ht="15" hidden="false" customHeight="false" outlineLevel="0" collapsed="false">
      <c r="A1241" s="0" t="n">
        <v>13</v>
      </c>
      <c r="B1241" s="0" t="s">
        <v>64</v>
      </c>
      <c r="C1241" s="0" t="n">
        <v>2012</v>
      </c>
      <c r="D1241" s="0" t="n">
        <v>12</v>
      </c>
      <c r="E1241" s="38" t="n">
        <v>346700.77</v>
      </c>
    </row>
    <row r="1242" customFormat="false" ht="15" hidden="false" customHeight="false" outlineLevel="0" collapsed="false">
      <c r="A1242" s="0" t="n">
        <v>13</v>
      </c>
      <c r="B1242" s="0" t="s">
        <v>64</v>
      </c>
      <c r="C1242" s="0" t="n">
        <v>2013</v>
      </c>
      <c r="D1242" s="0" t="n">
        <v>1</v>
      </c>
      <c r="E1242" s="38" t="n">
        <v>331886.22</v>
      </c>
    </row>
    <row r="1243" customFormat="false" ht="15" hidden="false" customHeight="false" outlineLevel="0" collapsed="false">
      <c r="A1243" s="0" t="n">
        <v>13</v>
      </c>
      <c r="B1243" s="0" t="s">
        <v>64</v>
      </c>
      <c r="C1243" s="0" t="n">
        <v>2013</v>
      </c>
      <c r="D1243" s="0" t="n">
        <v>2</v>
      </c>
      <c r="E1243" s="38" t="n">
        <v>355879.77</v>
      </c>
    </row>
    <row r="1244" customFormat="false" ht="15" hidden="false" customHeight="false" outlineLevel="0" collapsed="false">
      <c r="A1244" s="0" t="n">
        <v>13</v>
      </c>
      <c r="B1244" s="0" t="s">
        <v>64</v>
      </c>
      <c r="C1244" s="0" t="n">
        <v>2013</v>
      </c>
      <c r="D1244" s="0" t="n">
        <v>3</v>
      </c>
      <c r="E1244" s="38" t="n">
        <v>341683.44</v>
      </c>
    </row>
    <row r="1245" customFormat="false" ht="15" hidden="false" customHeight="false" outlineLevel="0" collapsed="false">
      <c r="A1245" s="0" t="n">
        <v>13</v>
      </c>
      <c r="B1245" s="0" t="s">
        <v>64</v>
      </c>
      <c r="C1245" s="0" t="n">
        <v>2013</v>
      </c>
      <c r="D1245" s="0" t="n">
        <v>4</v>
      </c>
      <c r="E1245" s="38" t="n">
        <v>352221.57</v>
      </c>
    </row>
    <row r="1246" customFormat="false" ht="15" hidden="false" customHeight="false" outlineLevel="0" collapsed="false">
      <c r="A1246" s="0" t="n">
        <v>13</v>
      </c>
      <c r="B1246" s="0" t="s">
        <v>64</v>
      </c>
      <c r="C1246" s="0" t="n">
        <v>2013</v>
      </c>
      <c r="D1246" s="0" t="n">
        <v>5</v>
      </c>
      <c r="E1246" s="38" t="n">
        <v>337522.77</v>
      </c>
    </row>
    <row r="1247" customFormat="false" ht="15" hidden="false" customHeight="false" outlineLevel="0" collapsed="false">
      <c r="A1247" s="0" t="n">
        <v>13</v>
      </c>
      <c r="B1247" s="0" t="s">
        <v>64</v>
      </c>
      <c r="C1247" s="0" t="n">
        <v>2013</v>
      </c>
      <c r="D1247" s="0" t="n">
        <v>6</v>
      </c>
      <c r="E1247" s="38" t="n">
        <v>349886.97</v>
      </c>
    </row>
    <row r="1248" customFormat="false" ht="15" hidden="false" customHeight="false" outlineLevel="0" collapsed="false">
      <c r="A1248" s="0" t="n">
        <v>13</v>
      </c>
      <c r="B1248" s="0" t="s">
        <v>64</v>
      </c>
      <c r="C1248" s="0" t="n">
        <v>2013</v>
      </c>
      <c r="D1248" s="0" t="n">
        <v>7</v>
      </c>
      <c r="E1248" s="38" t="n">
        <v>360486.15</v>
      </c>
    </row>
    <row r="1249" customFormat="false" ht="15" hidden="false" customHeight="false" outlineLevel="0" collapsed="false">
      <c r="A1249" s="0" t="n">
        <v>13</v>
      </c>
      <c r="B1249" s="0" t="s">
        <v>64</v>
      </c>
      <c r="C1249" s="0" t="n">
        <v>2013</v>
      </c>
      <c r="D1249" s="0" t="n">
        <v>8</v>
      </c>
      <c r="E1249" s="38" t="n">
        <v>346037.84</v>
      </c>
    </row>
    <row r="1250" customFormat="false" ht="15" hidden="false" customHeight="false" outlineLevel="0" collapsed="false">
      <c r="A1250" s="0" t="n">
        <v>14</v>
      </c>
      <c r="B1250" s="0" t="s">
        <v>60</v>
      </c>
      <c r="C1250" s="0" t="n">
        <v>2011</v>
      </c>
      <c r="D1250" s="0" t="n">
        <v>1</v>
      </c>
      <c r="E1250" s="38" t="n">
        <v>1631063.01</v>
      </c>
    </row>
    <row r="1251" customFormat="false" ht="15" hidden="false" customHeight="false" outlineLevel="0" collapsed="false">
      <c r="A1251" s="0" t="n">
        <v>14</v>
      </c>
      <c r="B1251" s="0" t="s">
        <v>60</v>
      </c>
      <c r="C1251" s="0" t="n">
        <v>2011</v>
      </c>
      <c r="D1251" s="0" t="n">
        <v>2</v>
      </c>
      <c r="E1251" s="38" t="n">
        <v>1663768.42</v>
      </c>
    </row>
    <row r="1252" customFormat="false" ht="15" hidden="false" customHeight="false" outlineLevel="0" collapsed="false">
      <c r="A1252" s="0" t="n">
        <v>14</v>
      </c>
      <c r="B1252" s="0" t="s">
        <v>60</v>
      </c>
      <c r="C1252" s="0" t="n">
        <v>2011</v>
      </c>
      <c r="D1252" s="0" t="n">
        <v>3</v>
      </c>
      <c r="E1252" s="38" t="n">
        <v>1446849.6</v>
      </c>
    </row>
    <row r="1253" customFormat="false" ht="15" hidden="false" customHeight="false" outlineLevel="0" collapsed="false">
      <c r="A1253" s="0" t="n">
        <v>14</v>
      </c>
      <c r="B1253" s="0" t="s">
        <v>60</v>
      </c>
      <c r="C1253" s="0" t="n">
        <v>2011</v>
      </c>
      <c r="D1253" s="0" t="n">
        <v>4</v>
      </c>
      <c r="E1253" s="38" t="n">
        <v>1600835.31</v>
      </c>
    </row>
    <row r="1254" customFormat="false" ht="15" hidden="false" customHeight="false" outlineLevel="0" collapsed="false">
      <c r="A1254" s="0" t="n">
        <v>14</v>
      </c>
      <c r="B1254" s="0" t="s">
        <v>60</v>
      </c>
      <c r="C1254" s="0" t="n">
        <v>2011</v>
      </c>
      <c r="D1254" s="0" t="n">
        <v>5</v>
      </c>
      <c r="E1254" s="38" t="n">
        <v>1483236.88</v>
      </c>
    </row>
    <row r="1255" customFormat="false" ht="15" hidden="false" customHeight="false" outlineLevel="0" collapsed="false">
      <c r="A1255" s="0" t="n">
        <v>14</v>
      </c>
      <c r="B1255" s="0" t="s">
        <v>60</v>
      </c>
      <c r="C1255" s="0" t="n">
        <v>2011</v>
      </c>
      <c r="D1255" s="0" t="n">
        <v>6</v>
      </c>
      <c r="E1255" s="38" t="n">
        <v>1486326.43</v>
      </c>
    </row>
    <row r="1256" customFormat="false" ht="15" hidden="false" customHeight="false" outlineLevel="0" collapsed="false">
      <c r="A1256" s="0" t="n">
        <v>14</v>
      </c>
      <c r="B1256" s="0" t="s">
        <v>60</v>
      </c>
      <c r="C1256" s="0" t="n">
        <v>2011</v>
      </c>
      <c r="D1256" s="0" t="n">
        <v>7</v>
      </c>
      <c r="E1256" s="38" t="n">
        <v>1621186.66</v>
      </c>
    </row>
    <row r="1257" customFormat="false" ht="15" hidden="false" customHeight="false" outlineLevel="0" collapsed="false">
      <c r="A1257" s="0" t="n">
        <v>14</v>
      </c>
      <c r="B1257" s="0" t="s">
        <v>60</v>
      </c>
      <c r="C1257" s="0" t="n">
        <v>2011</v>
      </c>
      <c r="D1257" s="0" t="n">
        <v>8</v>
      </c>
      <c r="E1257" s="38" t="n">
        <v>1462094.74</v>
      </c>
    </row>
    <row r="1258" customFormat="false" ht="15" hidden="false" customHeight="false" outlineLevel="0" collapsed="false">
      <c r="A1258" s="0" t="n">
        <v>14</v>
      </c>
      <c r="B1258" s="0" t="s">
        <v>60</v>
      </c>
      <c r="C1258" s="0" t="n">
        <v>2011</v>
      </c>
      <c r="D1258" s="0" t="n">
        <v>9</v>
      </c>
      <c r="E1258" s="38" t="n">
        <v>1528404.46</v>
      </c>
    </row>
    <row r="1259" customFormat="false" ht="15" hidden="false" customHeight="false" outlineLevel="0" collapsed="false">
      <c r="A1259" s="0" t="n">
        <v>14</v>
      </c>
      <c r="B1259" s="0" t="s">
        <v>60</v>
      </c>
      <c r="C1259" s="0" t="n">
        <v>2011</v>
      </c>
      <c r="D1259" s="0" t="n">
        <v>10</v>
      </c>
      <c r="E1259" s="38" t="n">
        <v>2434616.85</v>
      </c>
    </row>
    <row r="1260" customFormat="false" ht="15" hidden="false" customHeight="false" outlineLevel="0" collapsed="false">
      <c r="A1260" s="0" t="n">
        <v>14</v>
      </c>
      <c r="B1260" s="0" t="s">
        <v>60</v>
      </c>
      <c r="C1260" s="0" t="n">
        <v>2011</v>
      </c>
      <c r="D1260" s="0" t="n">
        <v>11</v>
      </c>
      <c r="E1260" s="38" t="n">
        <v>3249638.76</v>
      </c>
    </row>
    <row r="1261" customFormat="false" ht="15" hidden="false" customHeight="false" outlineLevel="0" collapsed="false">
      <c r="A1261" s="0" t="n">
        <v>14</v>
      </c>
      <c r="B1261" s="0" t="s">
        <v>60</v>
      </c>
      <c r="C1261" s="0" t="n">
        <v>2011</v>
      </c>
      <c r="D1261" s="0" t="n">
        <v>12</v>
      </c>
      <c r="E1261" s="38" t="n">
        <v>1418646.26</v>
      </c>
    </row>
    <row r="1262" customFormat="false" ht="15" hidden="false" customHeight="false" outlineLevel="0" collapsed="false">
      <c r="A1262" s="0" t="n">
        <v>14</v>
      </c>
      <c r="B1262" s="0" t="s">
        <v>60</v>
      </c>
      <c r="C1262" s="0" t="n">
        <v>2012</v>
      </c>
      <c r="D1262" s="0" t="n">
        <v>1</v>
      </c>
      <c r="E1262" s="38" t="n">
        <v>1522163.04</v>
      </c>
    </row>
    <row r="1263" customFormat="false" ht="15" hidden="false" customHeight="false" outlineLevel="0" collapsed="false">
      <c r="A1263" s="0" t="n">
        <v>14</v>
      </c>
      <c r="B1263" s="0" t="s">
        <v>60</v>
      </c>
      <c r="C1263" s="0" t="n">
        <v>2012</v>
      </c>
      <c r="D1263" s="0" t="n">
        <v>2</v>
      </c>
      <c r="E1263" s="38" t="n">
        <v>1519861.58</v>
      </c>
    </row>
    <row r="1264" customFormat="false" ht="15" hidden="false" customHeight="false" outlineLevel="0" collapsed="false">
      <c r="A1264" s="0" t="n">
        <v>14</v>
      </c>
      <c r="B1264" s="0" t="s">
        <v>60</v>
      </c>
      <c r="C1264" s="0" t="n">
        <v>2012</v>
      </c>
      <c r="D1264" s="0" t="n">
        <v>3</v>
      </c>
      <c r="E1264" s="38" t="n">
        <v>1476653.2</v>
      </c>
    </row>
    <row r="1265" customFormat="false" ht="15" hidden="false" customHeight="false" outlineLevel="0" collapsed="false">
      <c r="A1265" s="0" t="n">
        <v>14</v>
      </c>
      <c r="B1265" s="0" t="s">
        <v>60</v>
      </c>
      <c r="C1265" s="0" t="n">
        <v>2012</v>
      </c>
      <c r="D1265" s="0" t="n">
        <v>4</v>
      </c>
      <c r="E1265" s="38" t="n">
        <v>1543176.68</v>
      </c>
    </row>
    <row r="1266" customFormat="false" ht="15" hidden="false" customHeight="false" outlineLevel="0" collapsed="false">
      <c r="A1266" s="0" t="n">
        <v>14</v>
      </c>
      <c r="B1266" s="0" t="s">
        <v>60</v>
      </c>
      <c r="C1266" s="0" t="n">
        <v>2012</v>
      </c>
      <c r="D1266" s="0" t="n">
        <v>5</v>
      </c>
      <c r="E1266" s="38" t="n">
        <v>1420066.77</v>
      </c>
    </row>
    <row r="1267" customFormat="false" ht="15" hidden="false" customHeight="false" outlineLevel="0" collapsed="false">
      <c r="A1267" s="0" t="n">
        <v>14</v>
      </c>
      <c r="B1267" s="0" t="s">
        <v>60</v>
      </c>
      <c r="C1267" s="0" t="n">
        <v>2012</v>
      </c>
      <c r="D1267" s="0" t="n">
        <v>6</v>
      </c>
      <c r="E1267" s="38" t="n">
        <v>1442104.64</v>
      </c>
    </row>
    <row r="1268" customFormat="false" ht="15" hidden="false" customHeight="false" outlineLevel="0" collapsed="false">
      <c r="A1268" s="0" t="n">
        <v>14</v>
      </c>
      <c r="B1268" s="0" t="s">
        <v>60</v>
      </c>
      <c r="C1268" s="0" t="n">
        <v>2012</v>
      </c>
      <c r="D1268" s="0" t="n">
        <v>7</v>
      </c>
      <c r="E1268" s="38" t="n">
        <v>1561177.08</v>
      </c>
    </row>
    <row r="1269" customFormat="false" ht="15" hidden="false" customHeight="false" outlineLevel="0" collapsed="false">
      <c r="A1269" s="0" t="n">
        <v>14</v>
      </c>
      <c r="B1269" s="0" t="s">
        <v>60</v>
      </c>
      <c r="C1269" s="0" t="n">
        <v>2012</v>
      </c>
      <c r="D1269" s="0" t="n">
        <v>8</v>
      </c>
      <c r="E1269" s="38" t="n">
        <v>1408959</v>
      </c>
    </row>
    <row r="1270" customFormat="false" ht="15" hidden="false" customHeight="false" outlineLevel="0" collapsed="false">
      <c r="A1270" s="0" t="n">
        <v>14</v>
      </c>
      <c r="B1270" s="0" t="s">
        <v>60</v>
      </c>
      <c r="C1270" s="0" t="n">
        <v>2012</v>
      </c>
      <c r="D1270" s="0" t="n">
        <v>9</v>
      </c>
      <c r="E1270" s="38" t="n">
        <v>1551681.88</v>
      </c>
    </row>
    <row r="1271" customFormat="false" ht="15" hidden="false" customHeight="false" outlineLevel="0" collapsed="false">
      <c r="A1271" s="0" t="n">
        <v>14</v>
      </c>
      <c r="B1271" s="0" t="s">
        <v>60</v>
      </c>
      <c r="C1271" s="0" t="n">
        <v>2012</v>
      </c>
      <c r="D1271" s="0" t="n">
        <v>10</v>
      </c>
      <c r="E1271" s="38" t="n">
        <v>2432990.61</v>
      </c>
    </row>
    <row r="1272" customFormat="false" ht="15" hidden="false" customHeight="false" outlineLevel="0" collapsed="false">
      <c r="A1272" s="0" t="n">
        <v>14</v>
      </c>
      <c r="B1272" s="0" t="s">
        <v>60</v>
      </c>
      <c r="C1272" s="0" t="n">
        <v>2012</v>
      </c>
      <c r="D1272" s="0" t="n">
        <v>11</v>
      </c>
      <c r="E1272" s="38" t="n">
        <v>3278184.74</v>
      </c>
    </row>
    <row r="1273" customFormat="false" ht="15" hidden="false" customHeight="false" outlineLevel="0" collapsed="false">
      <c r="A1273" s="0" t="n">
        <v>14</v>
      </c>
      <c r="B1273" s="0" t="s">
        <v>60</v>
      </c>
      <c r="C1273" s="0" t="n">
        <v>2012</v>
      </c>
      <c r="D1273" s="0" t="n">
        <v>12</v>
      </c>
      <c r="E1273" s="38" t="n">
        <v>1479763.02</v>
      </c>
    </row>
    <row r="1274" customFormat="false" ht="15" hidden="false" customHeight="false" outlineLevel="0" collapsed="false">
      <c r="A1274" s="0" t="n">
        <v>14</v>
      </c>
      <c r="B1274" s="0" t="s">
        <v>60</v>
      </c>
      <c r="C1274" s="0" t="n">
        <v>2013</v>
      </c>
      <c r="D1274" s="0" t="n">
        <v>1</v>
      </c>
      <c r="E1274" s="38" t="n">
        <v>1636819.92</v>
      </c>
    </row>
    <row r="1275" customFormat="false" ht="15" hidden="false" customHeight="false" outlineLevel="0" collapsed="false">
      <c r="A1275" s="0" t="n">
        <v>14</v>
      </c>
      <c r="B1275" s="0" t="s">
        <v>60</v>
      </c>
      <c r="C1275" s="0" t="n">
        <v>2013</v>
      </c>
      <c r="D1275" s="0" t="n">
        <v>2</v>
      </c>
      <c r="E1275" s="38" t="n">
        <v>1584543.28</v>
      </c>
    </row>
    <row r="1276" customFormat="false" ht="15" hidden="false" customHeight="false" outlineLevel="0" collapsed="false">
      <c r="A1276" s="0" t="n">
        <v>14</v>
      </c>
      <c r="B1276" s="0" t="s">
        <v>60</v>
      </c>
      <c r="C1276" s="0" t="n">
        <v>2013</v>
      </c>
      <c r="D1276" s="0" t="n">
        <v>3</v>
      </c>
      <c r="E1276" s="38" t="n">
        <v>1566653.43</v>
      </c>
    </row>
    <row r="1277" customFormat="false" ht="15" hidden="false" customHeight="false" outlineLevel="0" collapsed="false">
      <c r="A1277" s="0" t="n">
        <v>14</v>
      </c>
      <c r="B1277" s="0" t="s">
        <v>60</v>
      </c>
      <c r="C1277" s="0" t="n">
        <v>2013</v>
      </c>
      <c r="D1277" s="0" t="n">
        <v>4</v>
      </c>
      <c r="E1277" s="38" t="n">
        <v>1697264.31</v>
      </c>
    </row>
    <row r="1278" customFormat="false" ht="15" hidden="false" customHeight="false" outlineLevel="0" collapsed="false">
      <c r="A1278" s="0" t="n">
        <v>14</v>
      </c>
      <c r="B1278" s="0" t="s">
        <v>60</v>
      </c>
      <c r="C1278" s="0" t="n">
        <v>2013</v>
      </c>
      <c r="D1278" s="0" t="n">
        <v>5</v>
      </c>
      <c r="E1278" s="38" t="n">
        <v>1541912.71</v>
      </c>
    </row>
    <row r="1279" customFormat="false" ht="15" hidden="false" customHeight="false" outlineLevel="0" collapsed="false">
      <c r="A1279" s="0" t="n">
        <v>14</v>
      </c>
      <c r="B1279" s="0" t="s">
        <v>60</v>
      </c>
      <c r="C1279" s="0" t="n">
        <v>2013</v>
      </c>
      <c r="D1279" s="0" t="n">
        <v>6</v>
      </c>
      <c r="E1279" s="38" t="n">
        <v>1571533.94</v>
      </c>
    </row>
    <row r="1280" customFormat="false" ht="15" hidden="false" customHeight="false" outlineLevel="0" collapsed="false">
      <c r="A1280" s="0" t="n">
        <v>14</v>
      </c>
      <c r="B1280" s="0" t="s">
        <v>60</v>
      </c>
      <c r="C1280" s="0" t="n">
        <v>2013</v>
      </c>
      <c r="D1280" s="0" t="n">
        <v>7</v>
      </c>
      <c r="E1280" s="38" t="n">
        <v>1626165.86</v>
      </c>
    </row>
    <row r="1281" customFormat="false" ht="15" hidden="false" customHeight="false" outlineLevel="0" collapsed="false">
      <c r="A1281" s="0" t="n">
        <v>14</v>
      </c>
      <c r="B1281" s="0" t="s">
        <v>60</v>
      </c>
      <c r="C1281" s="0" t="n">
        <v>2013</v>
      </c>
      <c r="D1281" s="0" t="n">
        <v>8</v>
      </c>
      <c r="E1281" s="38" t="n">
        <v>1493088.38</v>
      </c>
    </row>
    <row r="1282" customFormat="false" ht="15" hidden="false" customHeight="false" outlineLevel="0" collapsed="false">
      <c r="A1282" s="0" t="n">
        <v>14</v>
      </c>
      <c r="B1282" s="0" t="s">
        <v>62</v>
      </c>
      <c r="C1282" s="0" t="n">
        <v>2011</v>
      </c>
      <c r="D1282" s="0" t="n">
        <v>1</v>
      </c>
      <c r="E1282" s="38" t="n">
        <v>1204992.34</v>
      </c>
    </row>
    <row r="1283" customFormat="false" ht="15" hidden="false" customHeight="false" outlineLevel="0" collapsed="false">
      <c r="A1283" s="0" t="n">
        <v>14</v>
      </c>
      <c r="B1283" s="0" t="s">
        <v>62</v>
      </c>
      <c r="C1283" s="0" t="n">
        <v>2011</v>
      </c>
      <c r="D1283" s="0" t="n">
        <v>2</v>
      </c>
      <c r="E1283" s="38" t="n">
        <v>1252026.41</v>
      </c>
    </row>
    <row r="1284" customFormat="false" ht="15" hidden="false" customHeight="false" outlineLevel="0" collapsed="false">
      <c r="A1284" s="0" t="n">
        <v>14</v>
      </c>
      <c r="B1284" s="0" t="s">
        <v>62</v>
      </c>
      <c r="C1284" s="0" t="n">
        <v>2011</v>
      </c>
      <c r="D1284" s="0" t="n">
        <v>3</v>
      </c>
      <c r="E1284" s="38" t="n">
        <v>1086050.74</v>
      </c>
    </row>
    <row r="1285" customFormat="false" ht="15" hidden="false" customHeight="false" outlineLevel="0" collapsed="false">
      <c r="A1285" s="0" t="n">
        <v>14</v>
      </c>
      <c r="B1285" s="0" t="s">
        <v>62</v>
      </c>
      <c r="C1285" s="0" t="n">
        <v>2011</v>
      </c>
      <c r="D1285" s="0" t="n">
        <v>4</v>
      </c>
      <c r="E1285" s="38" t="n">
        <v>1138213.51</v>
      </c>
    </row>
    <row r="1286" customFormat="false" ht="15" hidden="false" customHeight="false" outlineLevel="0" collapsed="false">
      <c r="A1286" s="0" t="n">
        <v>14</v>
      </c>
      <c r="B1286" s="0" t="s">
        <v>62</v>
      </c>
      <c r="C1286" s="0" t="n">
        <v>2011</v>
      </c>
      <c r="D1286" s="0" t="n">
        <v>5</v>
      </c>
      <c r="E1286" s="38" t="n">
        <v>1098553.12</v>
      </c>
    </row>
    <row r="1287" customFormat="false" ht="15" hidden="false" customHeight="false" outlineLevel="0" collapsed="false">
      <c r="A1287" s="0" t="n">
        <v>14</v>
      </c>
      <c r="B1287" s="0" t="s">
        <v>62</v>
      </c>
      <c r="C1287" s="0" t="n">
        <v>2011</v>
      </c>
      <c r="D1287" s="0" t="n">
        <v>6</v>
      </c>
      <c r="E1287" s="38" t="n">
        <v>1107649.37</v>
      </c>
    </row>
    <row r="1288" customFormat="false" ht="15" hidden="false" customHeight="false" outlineLevel="0" collapsed="false">
      <c r="A1288" s="0" t="n">
        <v>14</v>
      </c>
      <c r="B1288" s="0" t="s">
        <v>62</v>
      </c>
      <c r="C1288" s="0" t="n">
        <v>2011</v>
      </c>
      <c r="D1288" s="0" t="n">
        <v>7</v>
      </c>
      <c r="E1288" s="38" t="n">
        <v>1205520.2</v>
      </c>
    </row>
    <row r="1289" customFormat="false" ht="15" hidden="false" customHeight="false" outlineLevel="0" collapsed="false">
      <c r="A1289" s="0" t="n">
        <v>14</v>
      </c>
      <c r="B1289" s="0" t="s">
        <v>62</v>
      </c>
      <c r="C1289" s="0" t="n">
        <v>2011</v>
      </c>
      <c r="D1289" s="0" t="n">
        <v>8</v>
      </c>
      <c r="E1289" s="38" t="n">
        <v>1060812.73</v>
      </c>
    </row>
    <row r="1290" customFormat="false" ht="15" hidden="false" customHeight="false" outlineLevel="0" collapsed="false">
      <c r="A1290" s="0" t="n">
        <v>14</v>
      </c>
      <c r="B1290" s="0" t="s">
        <v>62</v>
      </c>
      <c r="C1290" s="0" t="n">
        <v>2011</v>
      </c>
      <c r="D1290" s="0" t="n">
        <v>9</v>
      </c>
      <c r="E1290" s="38" t="n">
        <v>1067021.49</v>
      </c>
    </row>
    <row r="1291" customFormat="false" ht="15" hidden="false" customHeight="false" outlineLevel="0" collapsed="false">
      <c r="A1291" s="0" t="n">
        <v>14</v>
      </c>
      <c r="B1291" s="0" t="s">
        <v>62</v>
      </c>
      <c r="C1291" s="0" t="n">
        <v>2011</v>
      </c>
      <c r="D1291" s="0" t="n">
        <v>10</v>
      </c>
      <c r="E1291" s="38" t="n">
        <v>1596337</v>
      </c>
    </row>
    <row r="1292" customFormat="false" ht="15" hidden="false" customHeight="false" outlineLevel="0" collapsed="false">
      <c r="A1292" s="0" t="n">
        <v>14</v>
      </c>
      <c r="B1292" s="0" t="s">
        <v>62</v>
      </c>
      <c r="C1292" s="0" t="n">
        <v>2011</v>
      </c>
      <c r="D1292" s="0" t="n">
        <v>11</v>
      </c>
      <c r="E1292" s="38" t="n">
        <v>2117974.42</v>
      </c>
    </row>
    <row r="1293" customFormat="false" ht="15" hidden="false" customHeight="false" outlineLevel="0" collapsed="false">
      <c r="A1293" s="0" t="n">
        <v>14</v>
      </c>
      <c r="B1293" s="0" t="s">
        <v>62</v>
      </c>
      <c r="C1293" s="0" t="n">
        <v>2011</v>
      </c>
      <c r="D1293" s="0" t="n">
        <v>12</v>
      </c>
      <c r="E1293" s="38" t="n">
        <v>1047876.64</v>
      </c>
    </row>
    <row r="1294" customFormat="false" ht="15" hidden="false" customHeight="false" outlineLevel="0" collapsed="false">
      <c r="A1294" s="0" t="n">
        <v>14</v>
      </c>
      <c r="B1294" s="0" t="s">
        <v>62</v>
      </c>
      <c r="C1294" s="0" t="n">
        <v>2012</v>
      </c>
      <c r="D1294" s="0" t="n">
        <v>1</v>
      </c>
      <c r="E1294" s="38" t="n">
        <v>1075879.9</v>
      </c>
    </row>
    <row r="1295" customFormat="false" ht="15" hidden="false" customHeight="false" outlineLevel="0" collapsed="false">
      <c r="A1295" s="0" t="n">
        <v>14</v>
      </c>
      <c r="B1295" s="0" t="s">
        <v>62</v>
      </c>
      <c r="C1295" s="0" t="n">
        <v>2012</v>
      </c>
      <c r="D1295" s="0" t="n">
        <v>2</v>
      </c>
      <c r="E1295" s="38" t="n">
        <v>1119119.7</v>
      </c>
    </row>
    <row r="1296" customFormat="false" ht="15" hidden="false" customHeight="false" outlineLevel="0" collapsed="false">
      <c r="A1296" s="0" t="n">
        <v>14</v>
      </c>
      <c r="B1296" s="0" t="s">
        <v>62</v>
      </c>
      <c r="C1296" s="0" t="n">
        <v>2012</v>
      </c>
      <c r="D1296" s="0" t="n">
        <v>3</v>
      </c>
      <c r="E1296" s="38" t="n">
        <v>1062150.24</v>
      </c>
    </row>
    <row r="1297" customFormat="false" ht="15" hidden="false" customHeight="false" outlineLevel="0" collapsed="false">
      <c r="A1297" s="0" t="n">
        <v>14</v>
      </c>
      <c r="B1297" s="0" t="s">
        <v>62</v>
      </c>
      <c r="C1297" s="0" t="n">
        <v>2012</v>
      </c>
      <c r="D1297" s="0" t="n">
        <v>4</v>
      </c>
      <c r="E1297" s="38" t="n">
        <v>1053605.15</v>
      </c>
    </row>
    <row r="1298" customFormat="false" ht="15" hidden="false" customHeight="false" outlineLevel="0" collapsed="false">
      <c r="A1298" s="0" t="n">
        <v>14</v>
      </c>
      <c r="B1298" s="0" t="s">
        <v>62</v>
      </c>
      <c r="C1298" s="0" t="n">
        <v>2012</v>
      </c>
      <c r="D1298" s="0" t="n">
        <v>5</v>
      </c>
      <c r="E1298" s="38" t="n">
        <v>995763.95</v>
      </c>
    </row>
    <row r="1299" customFormat="false" ht="15" hidden="false" customHeight="false" outlineLevel="0" collapsed="false">
      <c r="A1299" s="0" t="n">
        <v>14</v>
      </c>
      <c r="B1299" s="0" t="s">
        <v>62</v>
      </c>
      <c r="C1299" s="0" t="n">
        <v>2012</v>
      </c>
      <c r="D1299" s="0" t="n">
        <v>6</v>
      </c>
      <c r="E1299" s="38" t="n">
        <v>1022410.77</v>
      </c>
    </row>
    <row r="1300" customFormat="false" ht="15" hidden="false" customHeight="false" outlineLevel="0" collapsed="false">
      <c r="A1300" s="0" t="n">
        <v>14</v>
      </c>
      <c r="B1300" s="0" t="s">
        <v>62</v>
      </c>
      <c r="C1300" s="0" t="n">
        <v>2012</v>
      </c>
      <c r="D1300" s="0" t="n">
        <v>7</v>
      </c>
      <c r="E1300" s="38" t="n">
        <v>1112355.92</v>
      </c>
    </row>
    <row r="1301" customFormat="false" ht="15" hidden="false" customHeight="false" outlineLevel="0" collapsed="false">
      <c r="A1301" s="0" t="n">
        <v>14</v>
      </c>
      <c r="B1301" s="0" t="s">
        <v>62</v>
      </c>
      <c r="C1301" s="0" t="n">
        <v>2012</v>
      </c>
      <c r="D1301" s="0" t="n">
        <v>8</v>
      </c>
      <c r="E1301" s="38" t="n">
        <v>1014348.43</v>
      </c>
    </row>
    <row r="1302" customFormat="false" ht="15" hidden="false" customHeight="false" outlineLevel="0" collapsed="false">
      <c r="A1302" s="0" t="n">
        <v>14</v>
      </c>
      <c r="B1302" s="0" t="s">
        <v>62</v>
      </c>
      <c r="C1302" s="0" t="n">
        <v>2012</v>
      </c>
      <c r="D1302" s="0" t="n">
        <v>9</v>
      </c>
      <c r="E1302" s="38" t="n">
        <v>1058201.42</v>
      </c>
    </row>
    <row r="1303" customFormat="false" ht="15" hidden="false" customHeight="false" outlineLevel="0" collapsed="false">
      <c r="A1303" s="0" t="n">
        <v>14</v>
      </c>
      <c r="B1303" s="0" t="s">
        <v>62</v>
      </c>
      <c r="C1303" s="0" t="n">
        <v>2012</v>
      </c>
      <c r="D1303" s="0" t="n">
        <v>10</v>
      </c>
      <c r="E1303" s="38" t="n">
        <v>1557671.8</v>
      </c>
    </row>
    <row r="1304" customFormat="false" ht="15" hidden="false" customHeight="false" outlineLevel="0" collapsed="false">
      <c r="A1304" s="0" t="n">
        <v>14</v>
      </c>
      <c r="B1304" s="0" t="s">
        <v>62</v>
      </c>
      <c r="C1304" s="0" t="n">
        <v>2012</v>
      </c>
      <c r="D1304" s="0" t="n">
        <v>11</v>
      </c>
      <c r="E1304" s="38" t="n">
        <v>2060440.48</v>
      </c>
    </row>
    <row r="1305" customFormat="false" ht="15" hidden="false" customHeight="false" outlineLevel="0" collapsed="false">
      <c r="A1305" s="0" t="n">
        <v>14</v>
      </c>
      <c r="B1305" s="0" t="s">
        <v>62</v>
      </c>
      <c r="C1305" s="0" t="n">
        <v>2012</v>
      </c>
      <c r="D1305" s="0" t="n">
        <v>12</v>
      </c>
      <c r="E1305" s="38" t="n">
        <v>1055100.04</v>
      </c>
    </row>
    <row r="1306" customFormat="false" ht="15" hidden="false" customHeight="false" outlineLevel="0" collapsed="false">
      <c r="A1306" s="0" t="n">
        <v>14</v>
      </c>
      <c r="B1306" s="0" t="s">
        <v>62</v>
      </c>
      <c r="C1306" s="0" t="n">
        <v>2013</v>
      </c>
      <c r="D1306" s="0" t="n">
        <v>1</v>
      </c>
      <c r="E1306" s="38" t="n">
        <v>1118729.04</v>
      </c>
    </row>
    <row r="1307" customFormat="false" ht="15" hidden="false" customHeight="false" outlineLevel="0" collapsed="false">
      <c r="A1307" s="0" t="n">
        <v>14</v>
      </c>
      <c r="B1307" s="0" t="s">
        <v>62</v>
      </c>
      <c r="C1307" s="0" t="n">
        <v>2013</v>
      </c>
      <c r="D1307" s="0" t="n">
        <v>2</v>
      </c>
      <c r="E1307" s="38" t="n">
        <v>1094113.99</v>
      </c>
    </row>
    <row r="1308" customFormat="false" ht="15" hidden="false" customHeight="false" outlineLevel="0" collapsed="false">
      <c r="A1308" s="0" t="n">
        <v>14</v>
      </c>
      <c r="B1308" s="0" t="s">
        <v>62</v>
      </c>
      <c r="C1308" s="0" t="n">
        <v>2013</v>
      </c>
      <c r="D1308" s="0" t="n">
        <v>3</v>
      </c>
      <c r="E1308" s="38" t="n">
        <v>1058418.44</v>
      </c>
    </row>
    <row r="1309" customFormat="false" ht="15" hidden="false" customHeight="false" outlineLevel="0" collapsed="false">
      <c r="A1309" s="0" t="n">
        <v>14</v>
      </c>
      <c r="B1309" s="0" t="s">
        <v>62</v>
      </c>
      <c r="C1309" s="0" t="n">
        <v>2013</v>
      </c>
      <c r="D1309" s="0" t="n">
        <v>4</v>
      </c>
      <c r="E1309" s="38" t="n">
        <v>1092304.27</v>
      </c>
    </row>
    <row r="1310" customFormat="false" ht="15" hidden="false" customHeight="false" outlineLevel="0" collapsed="false">
      <c r="A1310" s="0" t="n">
        <v>14</v>
      </c>
      <c r="B1310" s="0" t="s">
        <v>62</v>
      </c>
      <c r="C1310" s="0" t="n">
        <v>2013</v>
      </c>
      <c r="D1310" s="0" t="n">
        <v>5</v>
      </c>
      <c r="E1310" s="38" t="n">
        <v>1051082.96</v>
      </c>
    </row>
    <row r="1311" customFormat="false" ht="15" hidden="false" customHeight="false" outlineLevel="0" collapsed="false">
      <c r="A1311" s="0" t="n">
        <v>14</v>
      </c>
      <c r="B1311" s="0" t="s">
        <v>62</v>
      </c>
      <c r="C1311" s="0" t="n">
        <v>2013</v>
      </c>
      <c r="D1311" s="0" t="n">
        <v>6</v>
      </c>
      <c r="E1311" s="38" t="n">
        <v>1073107.69</v>
      </c>
    </row>
    <row r="1312" customFormat="false" ht="15" hidden="false" customHeight="false" outlineLevel="0" collapsed="false">
      <c r="A1312" s="0" t="n">
        <v>14</v>
      </c>
      <c r="B1312" s="0" t="s">
        <v>62</v>
      </c>
      <c r="C1312" s="0" t="n">
        <v>2013</v>
      </c>
      <c r="D1312" s="0" t="n">
        <v>7</v>
      </c>
      <c r="E1312" s="38" t="n">
        <v>1139811.44</v>
      </c>
    </row>
    <row r="1313" customFormat="false" ht="15" hidden="false" customHeight="false" outlineLevel="0" collapsed="false">
      <c r="A1313" s="0" t="n">
        <v>14</v>
      </c>
      <c r="B1313" s="0" t="s">
        <v>62</v>
      </c>
      <c r="C1313" s="0" t="n">
        <v>2013</v>
      </c>
      <c r="D1313" s="0" t="n">
        <v>8</v>
      </c>
      <c r="E1313" s="38" t="n">
        <v>1057586.7</v>
      </c>
    </row>
    <row r="1314" customFormat="false" ht="15" hidden="false" customHeight="false" outlineLevel="0" collapsed="false">
      <c r="A1314" s="0" t="n">
        <v>14</v>
      </c>
      <c r="B1314" s="0" t="s">
        <v>64</v>
      </c>
      <c r="C1314" s="0" t="n">
        <v>2011</v>
      </c>
      <c r="D1314" s="0" t="n">
        <v>1</v>
      </c>
      <c r="E1314" s="38" t="n">
        <v>28257.7</v>
      </c>
    </row>
    <row r="1315" customFormat="false" ht="15" hidden="false" customHeight="false" outlineLevel="0" collapsed="false">
      <c r="A1315" s="0" t="n">
        <v>14</v>
      </c>
      <c r="B1315" s="0" t="s">
        <v>64</v>
      </c>
      <c r="C1315" s="0" t="n">
        <v>2011</v>
      </c>
      <c r="D1315" s="0" t="n">
        <v>2</v>
      </c>
      <c r="E1315" s="38" t="n">
        <v>34090.71</v>
      </c>
    </row>
    <row r="1316" customFormat="false" ht="15" hidden="false" customHeight="false" outlineLevel="0" collapsed="false">
      <c r="A1316" s="0" t="n">
        <v>14</v>
      </c>
      <c r="B1316" s="0" t="s">
        <v>64</v>
      </c>
      <c r="C1316" s="0" t="n">
        <v>2011</v>
      </c>
      <c r="D1316" s="0" t="n">
        <v>3</v>
      </c>
      <c r="E1316" s="38" t="n">
        <v>32428.62</v>
      </c>
    </row>
    <row r="1317" customFormat="false" ht="15" hidden="false" customHeight="false" outlineLevel="0" collapsed="false">
      <c r="A1317" s="0" t="n">
        <v>14</v>
      </c>
      <c r="B1317" s="0" t="s">
        <v>64</v>
      </c>
      <c r="C1317" s="0" t="n">
        <v>2011</v>
      </c>
      <c r="D1317" s="0" t="n">
        <v>4</v>
      </c>
      <c r="E1317" s="38" t="n">
        <v>34409.87</v>
      </c>
    </row>
    <row r="1318" customFormat="false" ht="15" hidden="false" customHeight="false" outlineLevel="0" collapsed="false">
      <c r="A1318" s="0" t="n">
        <v>14</v>
      </c>
      <c r="B1318" s="0" t="s">
        <v>64</v>
      </c>
      <c r="C1318" s="0" t="n">
        <v>2011</v>
      </c>
      <c r="D1318" s="0" t="n">
        <v>5</v>
      </c>
      <c r="E1318" s="38" t="n">
        <v>31106.34</v>
      </c>
    </row>
    <row r="1319" customFormat="false" ht="15" hidden="false" customHeight="false" outlineLevel="0" collapsed="false">
      <c r="A1319" s="0" t="n">
        <v>14</v>
      </c>
      <c r="B1319" s="0" t="s">
        <v>64</v>
      </c>
      <c r="C1319" s="0" t="n">
        <v>2011</v>
      </c>
      <c r="D1319" s="0" t="n">
        <v>6</v>
      </c>
      <c r="E1319" s="38" t="n">
        <v>38980.27</v>
      </c>
    </row>
    <row r="1320" customFormat="false" ht="15" hidden="false" customHeight="false" outlineLevel="0" collapsed="false">
      <c r="A1320" s="0" t="n">
        <v>14</v>
      </c>
      <c r="B1320" s="0" t="s">
        <v>64</v>
      </c>
      <c r="C1320" s="0" t="n">
        <v>2011</v>
      </c>
      <c r="D1320" s="0" t="n">
        <v>7</v>
      </c>
      <c r="E1320" s="38" t="n">
        <v>34624.88</v>
      </c>
    </row>
    <row r="1321" customFormat="false" ht="15" hidden="false" customHeight="false" outlineLevel="0" collapsed="false">
      <c r="A1321" s="0" t="n">
        <v>14</v>
      </c>
      <c r="B1321" s="0" t="s">
        <v>64</v>
      </c>
      <c r="C1321" s="0" t="n">
        <v>2011</v>
      </c>
      <c r="D1321" s="0" t="n">
        <v>8</v>
      </c>
      <c r="E1321" s="38" t="n">
        <v>25835.56</v>
      </c>
    </row>
    <row r="1322" customFormat="false" ht="15" hidden="false" customHeight="false" outlineLevel="0" collapsed="false">
      <c r="A1322" s="0" t="n">
        <v>14</v>
      </c>
      <c r="B1322" s="0" t="s">
        <v>64</v>
      </c>
      <c r="C1322" s="0" t="n">
        <v>2011</v>
      </c>
      <c r="D1322" s="0" t="n">
        <v>9</v>
      </c>
      <c r="E1322" s="38" t="n">
        <v>27302.8</v>
      </c>
    </row>
    <row r="1323" customFormat="false" ht="15" hidden="false" customHeight="false" outlineLevel="0" collapsed="false">
      <c r="A1323" s="0" t="n">
        <v>14</v>
      </c>
      <c r="B1323" s="0" t="s">
        <v>64</v>
      </c>
      <c r="C1323" s="0" t="n">
        <v>2011</v>
      </c>
      <c r="D1323" s="0" t="n">
        <v>10</v>
      </c>
      <c r="E1323" s="38" t="n">
        <v>49383.35</v>
      </c>
    </row>
    <row r="1324" customFormat="false" ht="15" hidden="false" customHeight="false" outlineLevel="0" collapsed="false">
      <c r="A1324" s="0" t="n">
        <v>14</v>
      </c>
      <c r="B1324" s="0" t="s">
        <v>64</v>
      </c>
      <c r="C1324" s="0" t="n">
        <v>2011</v>
      </c>
      <c r="D1324" s="0" t="n">
        <v>11</v>
      </c>
      <c r="E1324" s="38" t="n">
        <v>43966.14</v>
      </c>
    </row>
    <row r="1325" customFormat="false" ht="15" hidden="false" customHeight="false" outlineLevel="0" collapsed="false">
      <c r="A1325" s="0" t="n">
        <v>14</v>
      </c>
      <c r="B1325" s="0" t="s">
        <v>64</v>
      </c>
      <c r="C1325" s="0" t="n">
        <v>2011</v>
      </c>
      <c r="D1325" s="0" t="n">
        <v>12</v>
      </c>
      <c r="E1325" s="38" t="n">
        <v>27934.55</v>
      </c>
    </row>
    <row r="1326" customFormat="false" ht="15" hidden="false" customHeight="false" outlineLevel="0" collapsed="false">
      <c r="A1326" s="0" t="n">
        <v>14</v>
      </c>
      <c r="B1326" s="0" t="s">
        <v>64</v>
      </c>
      <c r="C1326" s="0" t="n">
        <v>2012</v>
      </c>
      <c r="D1326" s="0" t="n">
        <v>1</v>
      </c>
      <c r="E1326" s="38" t="n">
        <v>25682.96</v>
      </c>
    </row>
    <row r="1327" customFormat="false" ht="15" hidden="false" customHeight="false" outlineLevel="0" collapsed="false">
      <c r="A1327" s="0" t="n">
        <v>14</v>
      </c>
      <c r="B1327" s="0" t="s">
        <v>64</v>
      </c>
      <c r="C1327" s="0" t="n">
        <v>2012</v>
      </c>
      <c r="D1327" s="0" t="n">
        <v>2</v>
      </c>
      <c r="E1327" s="38" t="n">
        <v>30158.68</v>
      </c>
    </row>
    <row r="1328" customFormat="false" ht="15" hidden="false" customHeight="false" outlineLevel="0" collapsed="false">
      <c r="A1328" s="0" t="n">
        <v>14</v>
      </c>
      <c r="B1328" s="0" t="s">
        <v>64</v>
      </c>
      <c r="C1328" s="0" t="n">
        <v>2012</v>
      </c>
      <c r="D1328" s="0" t="n">
        <v>3</v>
      </c>
      <c r="E1328" s="38" t="n">
        <v>31556.76</v>
      </c>
    </row>
    <row r="1329" customFormat="false" ht="15" hidden="false" customHeight="false" outlineLevel="0" collapsed="false">
      <c r="A1329" s="0" t="n">
        <v>14</v>
      </c>
      <c r="B1329" s="0" t="s">
        <v>64</v>
      </c>
      <c r="C1329" s="0" t="n">
        <v>2012</v>
      </c>
      <c r="D1329" s="0" t="n">
        <v>4</v>
      </c>
      <c r="E1329" s="38" t="n">
        <v>32657.17</v>
      </c>
    </row>
    <row r="1330" customFormat="false" ht="15" hidden="false" customHeight="false" outlineLevel="0" collapsed="false">
      <c r="A1330" s="0" t="n">
        <v>14</v>
      </c>
      <c r="B1330" s="0" t="s">
        <v>64</v>
      </c>
      <c r="C1330" s="0" t="n">
        <v>2012</v>
      </c>
      <c r="D1330" s="0" t="n">
        <v>5</v>
      </c>
      <c r="E1330" s="38" t="n">
        <v>23639.01</v>
      </c>
    </row>
    <row r="1331" customFormat="false" ht="15" hidden="false" customHeight="false" outlineLevel="0" collapsed="false">
      <c r="A1331" s="0" t="n">
        <v>14</v>
      </c>
      <c r="B1331" s="0" t="s">
        <v>64</v>
      </c>
      <c r="C1331" s="0" t="n">
        <v>2012</v>
      </c>
      <c r="D1331" s="0" t="n">
        <v>6</v>
      </c>
      <c r="E1331" s="38" t="n">
        <v>23631.41</v>
      </c>
    </row>
    <row r="1332" customFormat="false" ht="15" hidden="false" customHeight="false" outlineLevel="0" collapsed="false">
      <c r="A1332" s="0" t="n">
        <v>14</v>
      </c>
      <c r="B1332" s="0" t="s">
        <v>64</v>
      </c>
      <c r="C1332" s="0" t="n">
        <v>2012</v>
      </c>
      <c r="D1332" s="0" t="n">
        <v>7</v>
      </c>
      <c r="E1332" s="38" t="n">
        <v>23355.81</v>
      </c>
    </row>
    <row r="1333" customFormat="false" ht="15" hidden="false" customHeight="false" outlineLevel="0" collapsed="false">
      <c r="A1333" s="0" t="n">
        <v>14</v>
      </c>
      <c r="B1333" s="0" t="s">
        <v>64</v>
      </c>
      <c r="C1333" s="0" t="n">
        <v>2012</v>
      </c>
      <c r="D1333" s="0" t="n">
        <v>8</v>
      </c>
      <c r="E1333" s="38" t="n">
        <v>23068.46</v>
      </c>
    </row>
    <row r="1334" customFormat="false" ht="15" hidden="false" customHeight="false" outlineLevel="0" collapsed="false">
      <c r="A1334" s="0" t="n">
        <v>14</v>
      </c>
      <c r="B1334" s="0" t="s">
        <v>64</v>
      </c>
      <c r="C1334" s="0" t="n">
        <v>2012</v>
      </c>
      <c r="D1334" s="0" t="n">
        <v>9</v>
      </c>
      <c r="E1334" s="38" t="n">
        <v>27591.23</v>
      </c>
    </row>
    <row r="1335" customFormat="false" ht="15" hidden="false" customHeight="false" outlineLevel="0" collapsed="false">
      <c r="A1335" s="0" t="n">
        <v>14</v>
      </c>
      <c r="B1335" s="0" t="s">
        <v>64</v>
      </c>
      <c r="C1335" s="0" t="n">
        <v>2012</v>
      </c>
      <c r="D1335" s="0" t="n">
        <v>10</v>
      </c>
      <c r="E1335" s="38" t="n">
        <v>50200.65</v>
      </c>
    </row>
    <row r="1336" customFormat="false" ht="15" hidden="false" customHeight="false" outlineLevel="0" collapsed="false">
      <c r="A1336" s="0" t="n">
        <v>14</v>
      </c>
      <c r="B1336" s="0" t="s">
        <v>64</v>
      </c>
      <c r="C1336" s="0" t="n">
        <v>2012</v>
      </c>
      <c r="D1336" s="0" t="n">
        <v>11</v>
      </c>
      <c r="E1336" s="38" t="n">
        <v>41363.79</v>
      </c>
    </row>
    <row r="1337" customFormat="false" ht="15" hidden="false" customHeight="false" outlineLevel="0" collapsed="false">
      <c r="A1337" s="0" t="n">
        <v>14</v>
      </c>
      <c r="B1337" s="0" t="s">
        <v>64</v>
      </c>
      <c r="C1337" s="0" t="n">
        <v>2012</v>
      </c>
      <c r="D1337" s="0" t="n">
        <v>12</v>
      </c>
      <c r="E1337" s="38" t="n">
        <v>28184.06</v>
      </c>
    </row>
    <row r="1338" customFormat="false" ht="15" hidden="false" customHeight="false" outlineLevel="0" collapsed="false">
      <c r="A1338" s="0" t="n">
        <v>14</v>
      </c>
      <c r="B1338" s="0" t="s">
        <v>64</v>
      </c>
      <c r="C1338" s="0" t="n">
        <v>2013</v>
      </c>
      <c r="D1338" s="0" t="n">
        <v>1</v>
      </c>
      <c r="E1338" s="38" t="n">
        <v>30282.72</v>
      </c>
    </row>
    <row r="1339" customFormat="false" ht="15" hidden="false" customHeight="false" outlineLevel="0" collapsed="false">
      <c r="A1339" s="0" t="n">
        <v>14</v>
      </c>
      <c r="B1339" s="0" t="s">
        <v>64</v>
      </c>
      <c r="C1339" s="0" t="n">
        <v>2013</v>
      </c>
      <c r="D1339" s="0" t="n">
        <v>2</v>
      </c>
      <c r="E1339" s="38" t="n">
        <v>31172.67</v>
      </c>
    </row>
    <row r="1340" customFormat="false" ht="15" hidden="false" customHeight="false" outlineLevel="0" collapsed="false">
      <c r="A1340" s="0" t="n">
        <v>14</v>
      </c>
      <c r="B1340" s="0" t="s">
        <v>64</v>
      </c>
      <c r="C1340" s="0" t="n">
        <v>2013</v>
      </c>
      <c r="D1340" s="0" t="n">
        <v>3</v>
      </c>
      <c r="E1340" s="38" t="n">
        <v>31620.04</v>
      </c>
    </row>
    <row r="1341" customFormat="false" ht="15" hidden="false" customHeight="false" outlineLevel="0" collapsed="false">
      <c r="A1341" s="0" t="n">
        <v>14</v>
      </c>
      <c r="B1341" s="0" t="s">
        <v>64</v>
      </c>
      <c r="C1341" s="0" t="n">
        <v>2013</v>
      </c>
      <c r="D1341" s="0" t="n">
        <v>4</v>
      </c>
      <c r="E1341" s="38" t="n">
        <v>31987.58</v>
      </c>
    </row>
    <row r="1342" customFormat="false" ht="15" hidden="false" customHeight="false" outlineLevel="0" collapsed="false">
      <c r="A1342" s="0" t="n">
        <v>14</v>
      </c>
      <c r="B1342" s="0" t="s">
        <v>64</v>
      </c>
      <c r="C1342" s="0" t="n">
        <v>2013</v>
      </c>
      <c r="D1342" s="0" t="n">
        <v>5</v>
      </c>
      <c r="E1342" s="38" t="n">
        <v>31430</v>
      </c>
    </row>
    <row r="1343" customFormat="false" ht="15" hidden="false" customHeight="false" outlineLevel="0" collapsed="false">
      <c r="A1343" s="0" t="n">
        <v>14</v>
      </c>
      <c r="B1343" s="0" t="s">
        <v>64</v>
      </c>
      <c r="C1343" s="0" t="n">
        <v>2013</v>
      </c>
      <c r="D1343" s="0" t="n">
        <v>6</v>
      </c>
      <c r="E1343" s="38" t="n">
        <v>32017.8</v>
      </c>
    </row>
    <row r="1344" customFormat="false" ht="15" hidden="false" customHeight="false" outlineLevel="0" collapsed="false">
      <c r="A1344" s="0" t="n">
        <v>14</v>
      </c>
      <c r="B1344" s="0" t="s">
        <v>64</v>
      </c>
      <c r="C1344" s="0" t="n">
        <v>2013</v>
      </c>
      <c r="D1344" s="0" t="n">
        <v>7</v>
      </c>
      <c r="E1344" s="38" t="n">
        <v>28642.28</v>
      </c>
    </row>
    <row r="1345" customFormat="false" ht="15" hidden="false" customHeight="false" outlineLevel="0" collapsed="false">
      <c r="A1345" s="0" t="n">
        <v>14</v>
      </c>
      <c r="B1345" s="0" t="s">
        <v>64</v>
      </c>
      <c r="C1345" s="0" t="n">
        <v>2013</v>
      </c>
      <c r="D1345" s="0" t="n">
        <v>8</v>
      </c>
      <c r="E1345" s="38" t="n">
        <v>28075.73</v>
      </c>
    </row>
    <row r="1346" customFormat="false" ht="15" hidden="false" customHeight="false" outlineLevel="0" collapsed="false">
      <c r="A1346" s="0" t="n">
        <v>16</v>
      </c>
      <c r="B1346" s="0" t="s">
        <v>60</v>
      </c>
      <c r="C1346" s="0" t="n">
        <v>2011</v>
      </c>
      <c r="D1346" s="0" t="n">
        <v>1</v>
      </c>
      <c r="E1346" s="38" t="n">
        <v>656585.62</v>
      </c>
    </row>
    <row r="1347" customFormat="false" ht="15" hidden="false" customHeight="false" outlineLevel="0" collapsed="false">
      <c r="A1347" s="0" t="n">
        <v>16</v>
      </c>
      <c r="B1347" s="0" t="s">
        <v>60</v>
      </c>
      <c r="C1347" s="0" t="n">
        <v>2011</v>
      </c>
      <c r="D1347" s="0" t="n">
        <v>2</v>
      </c>
      <c r="E1347" s="38" t="n">
        <v>1792502.39</v>
      </c>
    </row>
    <row r="1348" customFormat="false" ht="15" hidden="false" customHeight="false" outlineLevel="0" collapsed="false">
      <c r="A1348" s="0" t="n">
        <v>16</v>
      </c>
      <c r="B1348" s="0" t="s">
        <v>60</v>
      </c>
      <c r="C1348" s="0" t="n">
        <v>2011</v>
      </c>
      <c r="D1348" s="0" t="n">
        <v>3</v>
      </c>
      <c r="E1348" s="38" t="n">
        <v>3356618.28</v>
      </c>
    </row>
    <row r="1349" customFormat="false" ht="15" hidden="false" customHeight="false" outlineLevel="0" collapsed="false">
      <c r="A1349" s="0" t="n">
        <v>16</v>
      </c>
      <c r="B1349" s="0" t="s">
        <v>60</v>
      </c>
      <c r="C1349" s="0" t="n">
        <v>2011</v>
      </c>
      <c r="D1349" s="0" t="n">
        <v>4</v>
      </c>
      <c r="E1349" s="38" t="n">
        <v>4018461.69</v>
      </c>
    </row>
    <row r="1350" customFormat="false" ht="15" hidden="false" customHeight="false" outlineLevel="0" collapsed="false">
      <c r="A1350" s="0" t="n">
        <v>16</v>
      </c>
      <c r="B1350" s="0" t="s">
        <v>60</v>
      </c>
      <c r="C1350" s="0" t="n">
        <v>2011</v>
      </c>
      <c r="D1350" s="0" t="n">
        <v>5</v>
      </c>
      <c r="E1350" s="38" t="n">
        <v>3556957.49</v>
      </c>
    </row>
    <row r="1351" customFormat="false" ht="15" hidden="false" customHeight="false" outlineLevel="0" collapsed="false">
      <c r="A1351" s="0" t="n">
        <v>16</v>
      </c>
      <c r="B1351" s="0" t="s">
        <v>60</v>
      </c>
      <c r="C1351" s="0" t="n">
        <v>2011</v>
      </c>
      <c r="D1351" s="0" t="n">
        <v>6</v>
      </c>
      <c r="E1351" s="38" t="n">
        <v>2636388.46</v>
      </c>
    </row>
    <row r="1352" customFormat="false" ht="15" hidden="false" customHeight="false" outlineLevel="0" collapsed="false">
      <c r="A1352" s="0" t="n">
        <v>16</v>
      </c>
      <c r="B1352" s="0" t="s">
        <v>60</v>
      </c>
      <c r="C1352" s="0" t="n">
        <v>2011</v>
      </c>
      <c r="D1352" s="0" t="n">
        <v>7</v>
      </c>
      <c r="E1352" s="38" t="n">
        <v>1654568.28</v>
      </c>
    </row>
    <row r="1353" customFormat="false" ht="15" hidden="false" customHeight="false" outlineLevel="0" collapsed="false">
      <c r="A1353" s="0" t="n">
        <v>16</v>
      </c>
      <c r="B1353" s="0" t="s">
        <v>60</v>
      </c>
      <c r="C1353" s="0" t="n">
        <v>2011</v>
      </c>
      <c r="D1353" s="0" t="n">
        <v>8</v>
      </c>
      <c r="E1353" s="38" t="n">
        <v>1030716.3</v>
      </c>
    </row>
    <row r="1354" customFormat="false" ht="15" hidden="false" customHeight="false" outlineLevel="0" collapsed="false">
      <c r="A1354" s="0" t="n">
        <v>16</v>
      </c>
      <c r="B1354" s="0" t="s">
        <v>60</v>
      </c>
      <c r="C1354" s="0" t="n">
        <v>2011</v>
      </c>
      <c r="D1354" s="0" t="n">
        <v>9</v>
      </c>
      <c r="E1354" s="38" t="n">
        <v>621925.68</v>
      </c>
    </row>
    <row r="1355" customFormat="false" ht="15" hidden="false" customHeight="false" outlineLevel="0" collapsed="false">
      <c r="A1355" s="0" t="n">
        <v>16</v>
      </c>
      <c r="B1355" s="0" t="s">
        <v>60</v>
      </c>
      <c r="C1355" s="0" t="n">
        <v>2011</v>
      </c>
      <c r="D1355" s="0" t="n">
        <v>10</v>
      </c>
      <c r="E1355" s="38" t="n">
        <v>409541.63</v>
      </c>
    </row>
    <row r="1356" customFormat="false" ht="15" hidden="false" customHeight="false" outlineLevel="0" collapsed="false">
      <c r="A1356" s="0" t="n">
        <v>16</v>
      </c>
      <c r="B1356" s="0" t="s">
        <v>60</v>
      </c>
      <c r="C1356" s="0" t="n">
        <v>2011</v>
      </c>
      <c r="D1356" s="0" t="n">
        <v>11</v>
      </c>
      <c r="E1356" s="38" t="n">
        <v>403955.91</v>
      </c>
    </row>
    <row r="1357" customFormat="false" ht="15" hidden="false" customHeight="false" outlineLevel="0" collapsed="false">
      <c r="A1357" s="0" t="n">
        <v>16</v>
      </c>
      <c r="B1357" s="0" t="s">
        <v>60</v>
      </c>
      <c r="C1357" s="0" t="n">
        <v>2011</v>
      </c>
      <c r="D1357" s="0" t="n">
        <v>12</v>
      </c>
      <c r="E1357" s="38" t="n">
        <v>439244.92</v>
      </c>
    </row>
    <row r="1358" customFormat="false" ht="15" hidden="false" customHeight="false" outlineLevel="0" collapsed="false">
      <c r="A1358" s="0" t="n">
        <v>16</v>
      </c>
      <c r="B1358" s="0" t="s">
        <v>60</v>
      </c>
      <c r="C1358" s="0" t="n">
        <v>2012</v>
      </c>
      <c r="D1358" s="0" t="n">
        <v>1</v>
      </c>
      <c r="E1358" s="38" t="n">
        <v>718275.16</v>
      </c>
    </row>
    <row r="1359" customFormat="false" ht="15" hidden="false" customHeight="false" outlineLevel="0" collapsed="false">
      <c r="A1359" s="0" t="n">
        <v>16</v>
      </c>
      <c r="B1359" s="0" t="s">
        <v>60</v>
      </c>
      <c r="C1359" s="0" t="n">
        <v>2012</v>
      </c>
      <c r="D1359" s="0" t="n">
        <v>2</v>
      </c>
      <c r="E1359" s="38" t="n">
        <v>1803849.06</v>
      </c>
    </row>
    <row r="1360" customFormat="false" ht="15" hidden="false" customHeight="false" outlineLevel="0" collapsed="false">
      <c r="A1360" s="0" t="n">
        <v>16</v>
      </c>
      <c r="B1360" s="0" t="s">
        <v>60</v>
      </c>
      <c r="C1360" s="0" t="n">
        <v>2012</v>
      </c>
      <c r="D1360" s="0" t="n">
        <v>3</v>
      </c>
      <c r="E1360" s="38" t="n">
        <v>2455230.62</v>
      </c>
    </row>
    <row r="1361" customFormat="false" ht="15" hidden="false" customHeight="false" outlineLevel="0" collapsed="false">
      <c r="A1361" s="0" t="n">
        <v>16</v>
      </c>
      <c r="B1361" s="0" t="s">
        <v>60</v>
      </c>
      <c r="C1361" s="0" t="n">
        <v>2012</v>
      </c>
      <c r="D1361" s="0" t="n">
        <v>4</v>
      </c>
      <c r="E1361" s="38" t="n">
        <v>3704549.35</v>
      </c>
    </row>
    <row r="1362" customFormat="false" ht="15" hidden="false" customHeight="false" outlineLevel="0" collapsed="false">
      <c r="A1362" s="0" t="n">
        <v>16</v>
      </c>
      <c r="B1362" s="0" t="s">
        <v>60</v>
      </c>
      <c r="C1362" s="0" t="n">
        <v>2012</v>
      </c>
      <c r="D1362" s="0" t="n">
        <v>5</v>
      </c>
      <c r="E1362" s="38" t="n">
        <v>3506266.17</v>
      </c>
    </row>
    <row r="1363" customFormat="false" ht="15" hidden="false" customHeight="false" outlineLevel="0" collapsed="false">
      <c r="A1363" s="0" t="n">
        <v>16</v>
      </c>
      <c r="B1363" s="0" t="s">
        <v>60</v>
      </c>
      <c r="C1363" s="0" t="n">
        <v>2012</v>
      </c>
      <c r="D1363" s="0" t="n">
        <v>6</v>
      </c>
      <c r="E1363" s="38" t="n">
        <v>2580301.37</v>
      </c>
    </row>
    <row r="1364" customFormat="false" ht="15" hidden="false" customHeight="false" outlineLevel="0" collapsed="false">
      <c r="A1364" s="0" t="n">
        <v>16</v>
      </c>
      <c r="B1364" s="0" t="s">
        <v>60</v>
      </c>
      <c r="C1364" s="0" t="n">
        <v>2012</v>
      </c>
      <c r="D1364" s="0" t="n">
        <v>7</v>
      </c>
      <c r="E1364" s="38" t="n">
        <v>1503275.9</v>
      </c>
    </row>
    <row r="1365" customFormat="false" ht="15" hidden="false" customHeight="false" outlineLevel="0" collapsed="false">
      <c r="A1365" s="0" t="n">
        <v>16</v>
      </c>
      <c r="B1365" s="0" t="s">
        <v>60</v>
      </c>
      <c r="C1365" s="0" t="n">
        <v>2012</v>
      </c>
      <c r="D1365" s="0" t="n">
        <v>8</v>
      </c>
      <c r="E1365" s="38" t="n">
        <v>966670.72</v>
      </c>
    </row>
    <row r="1366" customFormat="false" ht="15" hidden="false" customHeight="false" outlineLevel="0" collapsed="false">
      <c r="A1366" s="0" t="n">
        <v>16</v>
      </c>
      <c r="B1366" s="0" t="s">
        <v>60</v>
      </c>
      <c r="C1366" s="0" t="n">
        <v>2012</v>
      </c>
      <c r="D1366" s="0" t="n">
        <v>9</v>
      </c>
      <c r="E1366" s="38" t="n">
        <v>615000.02</v>
      </c>
    </row>
    <row r="1367" customFormat="false" ht="15" hidden="false" customHeight="false" outlineLevel="0" collapsed="false">
      <c r="A1367" s="0" t="n">
        <v>16</v>
      </c>
      <c r="B1367" s="0" t="s">
        <v>60</v>
      </c>
      <c r="C1367" s="0" t="n">
        <v>2012</v>
      </c>
      <c r="D1367" s="0" t="n">
        <v>10</v>
      </c>
      <c r="E1367" s="38" t="n">
        <v>423402.63</v>
      </c>
    </row>
    <row r="1368" customFormat="false" ht="15" hidden="false" customHeight="false" outlineLevel="0" collapsed="false">
      <c r="A1368" s="0" t="n">
        <v>16</v>
      </c>
      <c r="B1368" s="0" t="s">
        <v>60</v>
      </c>
      <c r="C1368" s="0" t="n">
        <v>2012</v>
      </c>
      <c r="D1368" s="0" t="n">
        <v>11</v>
      </c>
      <c r="E1368" s="38" t="n">
        <v>372252.25</v>
      </c>
    </row>
    <row r="1369" customFormat="false" ht="15" hidden="false" customHeight="false" outlineLevel="0" collapsed="false">
      <c r="A1369" s="0" t="n">
        <v>16</v>
      </c>
      <c r="B1369" s="0" t="s">
        <v>60</v>
      </c>
      <c r="C1369" s="0" t="n">
        <v>2012</v>
      </c>
      <c r="D1369" s="0" t="n">
        <v>12</v>
      </c>
      <c r="E1369" s="38" t="n">
        <v>466184.86</v>
      </c>
    </row>
    <row r="1370" customFormat="false" ht="15" hidden="false" customHeight="false" outlineLevel="0" collapsed="false">
      <c r="A1370" s="0" t="n">
        <v>16</v>
      </c>
      <c r="B1370" s="0" t="s">
        <v>60</v>
      </c>
      <c r="C1370" s="0" t="n">
        <v>2013</v>
      </c>
      <c r="D1370" s="0" t="n">
        <v>1</v>
      </c>
      <c r="E1370" s="38" t="n">
        <v>711913.54</v>
      </c>
    </row>
    <row r="1371" customFormat="false" ht="15" hidden="false" customHeight="false" outlineLevel="0" collapsed="false">
      <c r="A1371" s="0" t="n">
        <v>16</v>
      </c>
      <c r="B1371" s="0" t="s">
        <v>60</v>
      </c>
      <c r="C1371" s="0" t="n">
        <v>2013</v>
      </c>
      <c r="D1371" s="0" t="n">
        <v>2</v>
      </c>
      <c r="E1371" s="38" t="n">
        <v>2150333.95</v>
      </c>
    </row>
    <row r="1372" customFormat="false" ht="15" hidden="false" customHeight="false" outlineLevel="0" collapsed="false">
      <c r="A1372" s="0" t="n">
        <v>16</v>
      </c>
      <c r="B1372" s="0" t="s">
        <v>60</v>
      </c>
      <c r="C1372" s="0" t="n">
        <v>2013</v>
      </c>
      <c r="D1372" s="0" t="n">
        <v>3</v>
      </c>
      <c r="E1372" s="38" t="n">
        <v>2957259.24</v>
      </c>
    </row>
    <row r="1373" customFormat="false" ht="15" hidden="false" customHeight="false" outlineLevel="0" collapsed="false">
      <c r="A1373" s="0" t="n">
        <v>16</v>
      </c>
      <c r="B1373" s="0" t="s">
        <v>60</v>
      </c>
      <c r="C1373" s="0" t="n">
        <v>2013</v>
      </c>
      <c r="D1373" s="0" t="n">
        <v>4</v>
      </c>
      <c r="E1373" s="38" t="n">
        <v>3812683.21</v>
      </c>
    </row>
    <row r="1374" customFormat="false" ht="15" hidden="false" customHeight="false" outlineLevel="0" collapsed="false">
      <c r="A1374" s="0" t="n">
        <v>16</v>
      </c>
      <c r="B1374" s="0" t="s">
        <v>60</v>
      </c>
      <c r="C1374" s="0" t="n">
        <v>2013</v>
      </c>
      <c r="D1374" s="0" t="n">
        <v>5</v>
      </c>
      <c r="E1374" s="38" t="n">
        <v>3257319.71</v>
      </c>
    </row>
    <row r="1375" customFormat="false" ht="15" hidden="false" customHeight="false" outlineLevel="0" collapsed="false">
      <c r="A1375" s="0" t="n">
        <v>16</v>
      </c>
      <c r="B1375" s="0" t="s">
        <v>60</v>
      </c>
      <c r="C1375" s="0" t="n">
        <v>2013</v>
      </c>
      <c r="D1375" s="0" t="n">
        <v>6</v>
      </c>
      <c r="E1375" s="38" t="n">
        <v>2350474.59</v>
      </c>
    </row>
    <row r="1376" customFormat="false" ht="15" hidden="false" customHeight="false" outlineLevel="0" collapsed="false">
      <c r="A1376" s="0" t="n">
        <v>16</v>
      </c>
      <c r="B1376" s="0" t="s">
        <v>60</v>
      </c>
      <c r="C1376" s="0" t="n">
        <v>2013</v>
      </c>
      <c r="D1376" s="0" t="n">
        <v>7</v>
      </c>
      <c r="E1376" s="38" t="n">
        <v>1476673.66</v>
      </c>
    </row>
    <row r="1377" customFormat="false" ht="15" hidden="false" customHeight="false" outlineLevel="0" collapsed="false">
      <c r="A1377" s="0" t="n">
        <v>16</v>
      </c>
      <c r="B1377" s="0" t="s">
        <v>60</v>
      </c>
      <c r="C1377" s="0" t="n">
        <v>2013</v>
      </c>
      <c r="D1377" s="0" t="n">
        <v>8</v>
      </c>
      <c r="E1377" s="38" t="n">
        <v>902671.59</v>
      </c>
    </row>
    <row r="1378" customFormat="false" ht="15" hidden="false" customHeight="false" outlineLevel="0" collapsed="false">
      <c r="A1378" s="0" t="n">
        <v>16</v>
      </c>
      <c r="B1378" s="0" t="s">
        <v>62</v>
      </c>
      <c r="C1378" s="0" t="n">
        <v>2011</v>
      </c>
      <c r="D1378" s="0" t="n">
        <v>1</v>
      </c>
      <c r="E1378" s="38" t="n">
        <v>391247.62</v>
      </c>
    </row>
    <row r="1379" customFormat="false" ht="15" hidden="false" customHeight="false" outlineLevel="0" collapsed="false">
      <c r="A1379" s="0" t="n">
        <v>16</v>
      </c>
      <c r="B1379" s="0" t="s">
        <v>62</v>
      </c>
      <c r="C1379" s="0" t="n">
        <v>2011</v>
      </c>
      <c r="D1379" s="0" t="n">
        <v>2</v>
      </c>
      <c r="E1379" s="38" t="n">
        <v>892378.12</v>
      </c>
    </row>
    <row r="1380" customFormat="false" ht="15" hidden="false" customHeight="false" outlineLevel="0" collapsed="false">
      <c r="A1380" s="0" t="n">
        <v>16</v>
      </c>
      <c r="B1380" s="0" t="s">
        <v>62</v>
      </c>
      <c r="C1380" s="0" t="n">
        <v>2011</v>
      </c>
      <c r="D1380" s="0" t="n">
        <v>3</v>
      </c>
      <c r="E1380" s="38" t="n">
        <v>1678451.45</v>
      </c>
    </row>
    <row r="1381" customFormat="false" ht="15" hidden="false" customHeight="false" outlineLevel="0" collapsed="false">
      <c r="A1381" s="0" t="n">
        <v>16</v>
      </c>
      <c r="B1381" s="0" t="s">
        <v>62</v>
      </c>
      <c r="C1381" s="0" t="n">
        <v>2011</v>
      </c>
      <c r="D1381" s="0" t="n">
        <v>4</v>
      </c>
      <c r="E1381" s="38" t="n">
        <v>2284915.78</v>
      </c>
    </row>
    <row r="1382" customFormat="false" ht="15" hidden="false" customHeight="false" outlineLevel="0" collapsed="false">
      <c r="A1382" s="0" t="n">
        <v>16</v>
      </c>
      <c r="B1382" s="0" t="s">
        <v>62</v>
      </c>
      <c r="C1382" s="0" t="n">
        <v>2011</v>
      </c>
      <c r="D1382" s="0" t="n">
        <v>5</v>
      </c>
      <c r="E1382" s="38" t="n">
        <v>2154662.23</v>
      </c>
    </row>
    <row r="1383" customFormat="false" ht="15" hidden="false" customHeight="false" outlineLevel="0" collapsed="false">
      <c r="A1383" s="0" t="n">
        <v>16</v>
      </c>
      <c r="B1383" s="0" t="s">
        <v>62</v>
      </c>
      <c r="C1383" s="0" t="n">
        <v>2011</v>
      </c>
      <c r="D1383" s="0" t="n">
        <v>6</v>
      </c>
      <c r="E1383" s="38" t="n">
        <v>1537148.81</v>
      </c>
    </row>
    <row r="1384" customFormat="false" ht="15" hidden="false" customHeight="false" outlineLevel="0" collapsed="false">
      <c r="A1384" s="0" t="n">
        <v>16</v>
      </c>
      <c r="B1384" s="0" t="s">
        <v>62</v>
      </c>
      <c r="C1384" s="0" t="n">
        <v>2011</v>
      </c>
      <c r="D1384" s="0" t="n">
        <v>7</v>
      </c>
      <c r="E1384" s="38" t="n">
        <v>911277.4</v>
      </c>
    </row>
    <row r="1385" customFormat="false" ht="15" hidden="false" customHeight="false" outlineLevel="0" collapsed="false">
      <c r="A1385" s="0" t="n">
        <v>16</v>
      </c>
      <c r="B1385" s="0" t="s">
        <v>62</v>
      </c>
      <c r="C1385" s="0" t="n">
        <v>2011</v>
      </c>
      <c r="D1385" s="0" t="n">
        <v>8</v>
      </c>
      <c r="E1385" s="38" t="n">
        <v>529850.55</v>
      </c>
    </row>
    <row r="1386" customFormat="false" ht="15" hidden="false" customHeight="false" outlineLevel="0" collapsed="false">
      <c r="A1386" s="0" t="n">
        <v>16</v>
      </c>
      <c r="B1386" s="0" t="s">
        <v>62</v>
      </c>
      <c r="C1386" s="0" t="n">
        <v>2011</v>
      </c>
      <c r="D1386" s="0" t="n">
        <v>9</v>
      </c>
      <c r="E1386" s="38" t="n">
        <v>341712.69</v>
      </c>
    </row>
    <row r="1387" customFormat="false" ht="15" hidden="false" customHeight="false" outlineLevel="0" collapsed="false">
      <c r="A1387" s="0" t="n">
        <v>16</v>
      </c>
      <c r="B1387" s="0" t="s">
        <v>62</v>
      </c>
      <c r="C1387" s="0" t="n">
        <v>2011</v>
      </c>
      <c r="D1387" s="0" t="n">
        <v>10</v>
      </c>
      <c r="E1387" s="38" t="n">
        <v>240645.27</v>
      </c>
    </row>
    <row r="1388" customFormat="false" ht="15" hidden="false" customHeight="false" outlineLevel="0" collapsed="false">
      <c r="A1388" s="0" t="n">
        <v>16</v>
      </c>
      <c r="B1388" s="0" t="s">
        <v>62</v>
      </c>
      <c r="C1388" s="0" t="n">
        <v>2011</v>
      </c>
      <c r="D1388" s="0" t="n">
        <v>11</v>
      </c>
      <c r="E1388" s="38" t="n">
        <v>270976.32</v>
      </c>
    </row>
    <row r="1389" customFormat="false" ht="15" hidden="false" customHeight="false" outlineLevel="0" collapsed="false">
      <c r="A1389" s="0" t="n">
        <v>16</v>
      </c>
      <c r="B1389" s="0" t="s">
        <v>62</v>
      </c>
      <c r="C1389" s="0" t="n">
        <v>2011</v>
      </c>
      <c r="D1389" s="0" t="n">
        <v>12</v>
      </c>
      <c r="E1389" s="38" t="n">
        <v>329210.73</v>
      </c>
    </row>
    <row r="1390" customFormat="false" ht="15" hidden="false" customHeight="false" outlineLevel="0" collapsed="false">
      <c r="A1390" s="0" t="n">
        <v>16</v>
      </c>
      <c r="B1390" s="0" t="s">
        <v>62</v>
      </c>
      <c r="C1390" s="0" t="n">
        <v>2012</v>
      </c>
      <c r="D1390" s="0" t="n">
        <v>1</v>
      </c>
      <c r="E1390" s="38" t="n">
        <v>355370.03</v>
      </c>
    </row>
    <row r="1391" customFormat="false" ht="15" hidden="false" customHeight="false" outlineLevel="0" collapsed="false">
      <c r="A1391" s="0" t="n">
        <v>16</v>
      </c>
      <c r="B1391" s="0" t="s">
        <v>62</v>
      </c>
      <c r="C1391" s="0" t="n">
        <v>2012</v>
      </c>
      <c r="D1391" s="0" t="n">
        <v>2</v>
      </c>
      <c r="E1391" s="38" t="n">
        <v>733611.98</v>
      </c>
    </row>
    <row r="1392" customFormat="false" ht="15" hidden="false" customHeight="false" outlineLevel="0" collapsed="false">
      <c r="A1392" s="0" t="n">
        <v>16</v>
      </c>
      <c r="B1392" s="0" t="s">
        <v>62</v>
      </c>
      <c r="C1392" s="0" t="n">
        <v>2012</v>
      </c>
      <c r="D1392" s="0" t="n">
        <v>3</v>
      </c>
      <c r="E1392" s="38" t="n">
        <v>1179369.68</v>
      </c>
    </row>
    <row r="1393" customFormat="false" ht="15" hidden="false" customHeight="false" outlineLevel="0" collapsed="false">
      <c r="A1393" s="0" t="n">
        <v>16</v>
      </c>
      <c r="B1393" s="0" t="s">
        <v>62</v>
      </c>
      <c r="C1393" s="0" t="n">
        <v>2012</v>
      </c>
      <c r="D1393" s="0" t="n">
        <v>4</v>
      </c>
      <c r="E1393" s="38" t="n">
        <v>2170825.21</v>
      </c>
    </row>
    <row r="1394" customFormat="false" ht="15" hidden="false" customHeight="false" outlineLevel="0" collapsed="false">
      <c r="A1394" s="0" t="n">
        <v>16</v>
      </c>
      <c r="B1394" s="0" t="s">
        <v>62</v>
      </c>
      <c r="C1394" s="0" t="n">
        <v>2012</v>
      </c>
      <c r="D1394" s="0" t="n">
        <v>5</v>
      </c>
      <c r="E1394" s="38" t="n">
        <v>2223065.41</v>
      </c>
    </row>
    <row r="1395" customFormat="false" ht="15" hidden="false" customHeight="false" outlineLevel="0" collapsed="false">
      <c r="A1395" s="0" t="n">
        <v>16</v>
      </c>
      <c r="B1395" s="0" t="s">
        <v>62</v>
      </c>
      <c r="C1395" s="0" t="n">
        <v>2012</v>
      </c>
      <c r="D1395" s="0" t="n">
        <v>6</v>
      </c>
      <c r="E1395" s="38" t="n">
        <v>1594382.98</v>
      </c>
    </row>
    <row r="1396" customFormat="false" ht="15" hidden="false" customHeight="false" outlineLevel="0" collapsed="false">
      <c r="A1396" s="0" t="n">
        <v>16</v>
      </c>
      <c r="B1396" s="0" t="s">
        <v>62</v>
      </c>
      <c r="C1396" s="0" t="n">
        <v>2012</v>
      </c>
      <c r="D1396" s="0" t="n">
        <v>7</v>
      </c>
      <c r="E1396" s="38" t="n">
        <v>882092.25</v>
      </c>
    </row>
    <row r="1397" customFormat="false" ht="15" hidden="false" customHeight="false" outlineLevel="0" collapsed="false">
      <c r="A1397" s="0" t="n">
        <v>16</v>
      </c>
      <c r="B1397" s="0" t="s">
        <v>62</v>
      </c>
      <c r="C1397" s="0" t="n">
        <v>2012</v>
      </c>
      <c r="D1397" s="0" t="n">
        <v>8</v>
      </c>
      <c r="E1397" s="38" t="n">
        <v>536591.23</v>
      </c>
    </row>
    <row r="1398" customFormat="false" ht="15" hidden="false" customHeight="false" outlineLevel="0" collapsed="false">
      <c r="A1398" s="0" t="n">
        <v>16</v>
      </c>
      <c r="B1398" s="0" t="s">
        <v>62</v>
      </c>
      <c r="C1398" s="0" t="n">
        <v>2012</v>
      </c>
      <c r="D1398" s="0" t="n">
        <v>9</v>
      </c>
      <c r="E1398" s="38" t="n">
        <v>326157.69</v>
      </c>
    </row>
    <row r="1399" customFormat="false" ht="15" hidden="false" customHeight="false" outlineLevel="0" collapsed="false">
      <c r="A1399" s="0" t="n">
        <v>16</v>
      </c>
      <c r="B1399" s="0" t="s">
        <v>62</v>
      </c>
      <c r="C1399" s="0" t="n">
        <v>2012</v>
      </c>
      <c r="D1399" s="0" t="n">
        <v>10</v>
      </c>
      <c r="E1399" s="38" t="n">
        <v>257561.69</v>
      </c>
    </row>
    <row r="1400" customFormat="false" ht="15" hidden="false" customHeight="false" outlineLevel="0" collapsed="false">
      <c r="A1400" s="0" t="n">
        <v>16</v>
      </c>
      <c r="B1400" s="0" t="s">
        <v>62</v>
      </c>
      <c r="C1400" s="0" t="n">
        <v>2012</v>
      </c>
      <c r="D1400" s="0" t="n">
        <v>11</v>
      </c>
      <c r="E1400" s="38" t="n">
        <v>201387.12</v>
      </c>
    </row>
    <row r="1401" customFormat="false" ht="15" hidden="false" customHeight="false" outlineLevel="0" collapsed="false">
      <c r="A1401" s="0" t="n">
        <v>16</v>
      </c>
      <c r="B1401" s="0" t="s">
        <v>62</v>
      </c>
      <c r="C1401" s="0" t="n">
        <v>2012</v>
      </c>
      <c r="D1401" s="0" t="n">
        <v>12</v>
      </c>
      <c r="E1401" s="38" t="n">
        <v>278260.3</v>
      </c>
    </row>
    <row r="1402" customFormat="false" ht="15" hidden="false" customHeight="false" outlineLevel="0" collapsed="false">
      <c r="A1402" s="0" t="n">
        <v>16</v>
      </c>
      <c r="B1402" s="0" t="s">
        <v>62</v>
      </c>
      <c r="C1402" s="0" t="n">
        <v>2013</v>
      </c>
      <c r="D1402" s="0" t="n">
        <v>1</v>
      </c>
      <c r="E1402" s="38" t="n">
        <v>380743.59</v>
      </c>
    </row>
    <row r="1403" customFormat="false" ht="15" hidden="false" customHeight="false" outlineLevel="0" collapsed="false">
      <c r="A1403" s="0" t="n">
        <v>16</v>
      </c>
      <c r="B1403" s="0" t="s">
        <v>62</v>
      </c>
      <c r="C1403" s="0" t="n">
        <v>2013</v>
      </c>
      <c r="D1403" s="0" t="n">
        <v>2</v>
      </c>
      <c r="E1403" s="38" t="n">
        <v>986855.66</v>
      </c>
    </row>
    <row r="1404" customFormat="false" ht="15" hidden="false" customHeight="false" outlineLevel="0" collapsed="false">
      <c r="A1404" s="0" t="n">
        <v>16</v>
      </c>
      <c r="B1404" s="0" t="s">
        <v>62</v>
      </c>
      <c r="C1404" s="0" t="n">
        <v>2013</v>
      </c>
      <c r="D1404" s="0" t="n">
        <v>3</v>
      </c>
      <c r="E1404" s="38" t="n">
        <v>1454109.04</v>
      </c>
    </row>
    <row r="1405" customFormat="false" ht="15" hidden="false" customHeight="false" outlineLevel="0" collapsed="false">
      <c r="A1405" s="0" t="n">
        <v>16</v>
      </c>
      <c r="B1405" s="0" t="s">
        <v>62</v>
      </c>
      <c r="C1405" s="0" t="n">
        <v>2013</v>
      </c>
      <c r="D1405" s="0" t="n">
        <v>4</v>
      </c>
      <c r="E1405" s="38" t="n">
        <v>2293301.54</v>
      </c>
    </row>
    <row r="1406" customFormat="false" ht="15" hidden="false" customHeight="false" outlineLevel="0" collapsed="false">
      <c r="A1406" s="0" t="n">
        <v>16</v>
      </c>
      <c r="B1406" s="0" t="s">
        <v>62</v>
      </c>
      <c r="C1406" s="0" t="n">
        <v>2013</v>
      </c>
      <c r="D1406" s="0" t="n">
        <v>5</v>
      </c>
      <c r="E1406" s="38" t="n">
        <v>2034342.05</v>
      </c>
    </row>
    <row r="1407" customFormat="false" ht="15" hidden="false" customHeight="false" outlineLevel="0" collapsed="false">
      <c r="A1407" s="0" t="n">
        <v>16</v>
      </c>
      <c r="B1407" s="0" t="s">
        <v>62</v>
      </c>
      <c r="C1407" s="0" t="n">
        <v>2013</v>
      </c>
      <c r="D1407" s="0" t="n">
        <v>6</v>
      </c>
      <c r="E1407" s="38" t="n">
        <v>1402100.24</v>
      </c>
    </row>
    <row r="1408" customFormat="false" ht="15" hidden="false" customHeight="false" outlineLevel="0" collapsed="false">
      <c r="A1408" s="0" t="n">
        <v>16</v>
      </c>
      <c r="B1408" s="0" t="s">
        <v>62</v>
      </c>
      <c r="C1408" s="0" t="n">
        <v>2013</v>
      </c>
      <c r="D1408" s="0" t="n">
        <v>7</v>
      </c>
      <c r="E1408" s="38" t="n">
        <v>865595.52</v>
      </c>
    </row>
    <row r="1409" customFormat="false" ht="15" hidden="false" customHeight="false" outlineLevel="0" collapsed="false">
      <c r="A1409" s="0" t="n">
        <v>16</v>
      </c>
      <c r="B1409" s="0" t="s">
        <v>62</v>
      </c>
      <c r="C1409" s="0" t="n">
        <v>2013</v>
      </c>
      <c r="D1409" s="0" t="n">
        <v>8</v>
      </c>
      <c r="E1409" s="38" t="n">
        <v>531014.96</v>
      </c>
    </row>
    <row r="1410" customFormat="false" ht="15" hidden="false" customHeight="false" outlineLevel="0" collapsed="false">
      <c r="A1410" s="0" t="n">
        <v>16</v>
      </c>
      <c r="B1410" s="0" t="s">
        <v>64</v>
      </c>
      <c r="C1410" s="0" t="n">
        <v>2011</v>
      </c>
      <c r="D1410" s="0" t="n">
        <v>1</v>
      </c>
      <c r="E1410" s="38" t="n">
        <v>32067.88</v>
      </c>
    </row>
    <row r="1411" customFormat="false" ht="15" hidden="false" customHeight="false" outlineLevel="0" collapsed="false">
      <c r="A1411" s="0" t="n">
        <v>16</v>
      </c>
      <c r="B1411" s="0" t="s">
        <v>64</v>
      </c>
      <c r="C1411" s="0" t="n">
        <v>2011</v>
      </c>
      <c r="D1411" s="0" t="n">
        <v>2</v>
      </c>
      <c r="E1411" s="38" t="n">
        <v>43399.35</v>
      </c>
    </row>
    <row r="1412" customFormat="false" ht="15" hidden="false" customHeight="false" outlineLevel="0" collapsed="false">
      <c r="A1412" s="0" t="n">
        <v>16</v>
      </c>
      <c r="B1412" s="0" t="s">
        <v>64</v>
      </c>
      <c r="C1412" s="0" t="n">
        <v>2011</v>
      </c>
      <c r="D1412" s="0" t="n">
        <v>3</v>
      </c>
      <c r="E1412" s="38" t="n">
        <v>53600.57</v>
      </c>
    </row>
    <row r="1413" customFormat="false" ht="15" hidden="false" customHeight="false" outlineLevel="0" collapsed="false">
      <c r="A1413" s="0" t="n">
        <v>16</v>
      </c>
      <c r="B1413" s="0" t="s">
        <v>64</v>
      </c>
      <c r="C1413" s="0" t="n">
        <v>2011</v>
      </c>
      <c r="D1413" s="0" t="n">
        <v>4</v>
      </c>
      <c r="E1413" s="38" t="n">
        <v>62903.57</v>
      </c>
    </row>
    <row r="1414" customFormat="false" ht="15" hidden="false" customHeight="false" outlineLevel="0" collapsed="false">
      <c r="A1414" s="0" t="n">
        <v>16</v>
      </c>
      <c r="B1414" s="0" t="s">
        <v>64</v>
      </c>
      <c r="C1414" s="0" t="n">
        <v>2011</v>
      </c>
      <c r="D1414" s="0" t="n">
        <v>5</v>
      </c>
      <c r="E1414" s="38" t="n">
        <v>61840.46</v>
      </c>
    </row>
    <row r="1415" customFormat="false" ht="15" hidden="false" customHeight="false" outlineLevel="0" collapsed="false">
      <c r="A1415" s="0" t="n">
        <v>16</v>
      </c>
      <c r="B1415" s="0" t="s">
        <v>64</v>
      </c>
      <c r="C1415" s="0" t="n">
        <v>2011</v>
      </c>
      <c r="D1415" s="0" t="n">
        <v>6</v>
      </c>
      <c r="E1415" s="38" t="n">
        <v>54166.18</v>
      </c>
    </row>
    <row r="1416" customFormat="false" ht="15" hidden="false" customHeight="false" outlineLevel="0" collapsed="false">
      <c r="A1416" s="0" t="n">
        <v>16</v>
      </c>
      <c r="B1416" s="0" t="s">
        <v>64</v>
      </c>
      <c r="C1416" s="0" t="n">
        <v>2011</v>
      </c>
      <c r="D1416" s="0" t="n">
        <v>7</v>
      </c>
      <c r="E1416" s="38" t="n">
        <v>46653.67</v>
      </c>
    </row>
    <row r="1417" customFormat="false" ht="15" hidden="false" customHeight="false" outlineLevel="0" collapsed="false">
      <c r="A1417" s="0" t="n">
        <v>16</v>
      </c>
      <c r="B1417" s="0" t="s">
        <v>64</v>
      </c>
      <c r="C1417" s="0" t="n">
        <v>2011</v>
      </c>
      <c r="D1417" s="0" t="n">
        <v>8</v>
      </c>
      <c r="E1417" s="38" t="n">
        <v>41055.19</v>
      </c>
    </row>
    <row r="1418" customFormat="false" ht="15" hidden="false" customHeight="false" outlineLevel="0" collapsed="false">
      <c r="A1418" s="0" t="n">
        <v>16</v>
      </c>
      <c r="B1418" s="0" t="s">
        <v>64</v>
      </c>
      <c r="C1418" s="0" t="n">
        <v>2011</v>
      </c>
      <c r="D1418" s="0" t="n">
        <v>9</v>
      </c>
      <c r="E1418" s="38" t="n">
        <v>35278.94</v>
      </c>
    </row>
    <row r="1419" customFormat="false" ht="15" hidden="false" customHeight="false" outlineLevel="0" collapsed="false">
      <c r="A1419" s="0" t="n">
        <v>16</v>
      </c>
      <c r="B1419" s="0" t="s">
        <v>64</v>
      </c>
      <c r="C1419" s="0" t="n">
        <v>2011</v>
      </c>
      <c r="D1419" s="0" t="n">
        <v>10</v>
      </c>
      <c r="E1419" s="38" t="n">
        <v>32819.71</v>
      </c>
    </row>
    <row r="1420" customFormat="false" ht="15" hidden="false" customHeight="false" outlineLevel="0" collapsed="false">
      <c r="A1420" s="0" t="n">
        <v>16</v>
      </c>
      <c r="B1420" s="0" t="s">
        <v>64</v>
      </c>
      <c r="C1420" s="0" t="n">
        <v>2011</v>
      </c>
      <c r="D1420" s="0" t="n">
        <v>11</v>
      </c>
      <c r="E1420" s="38" t="n">
        <v>26936.94</v>
      </c>
    </row>
    <row r="1421" customFormat="false" ht="15" hidden="false" customHeight="false" outlineLevel="0" collapsed="false">
      <c r="A1421" s="0" t="n">
        <v>16</v>
      </c>
      <c r="B1421" s="0" t="s">
        <v>64</v>
      </c>
      <c r="C1421" s="0" t="n">
        <v>2011</v>
      </c>
      <c r="D1421" s="0" t="n">
        <v>12</v>
      </c>
      <c r="E1421" s="38" t="n">
        <v>28732.37</v>
      </c>
    </row>
    <row r="1422" customFormat="false" ht="15" hidden="false" customHeight="false" outlineLevel="0" collapsed="false">
      <c r="A1422" s="0" t="n">
        <v>16</v>
      </c>
      <c r="B1422" s="0" t="s">
        <v>64</v>
      </c>
      <c r="C1422" s="0" t="n">
        <v>2012</v>
      </c>
      <c r="D1422" s="0" t="n">
        <v>1</v>
      </c>
      <c r="E1422" s="38" t="n">
        <v>32289.01</v>
      </c>
    </row>
    <row r="1423" customFormat="false" ht="15" hidden="false" customHeight="false" outlineLevel="0" collapsed="false">
      <c r="A1423" s="0" t="n">
        <v>16</v>
      </c>
      <c r="B1423" s="0" t="s">
        <v>64</v>
      </c>
      <c r="C1423" s="0" t="n">
        <v>2012</v>
      </c>
      <c r="D1423" s="0" t="n">
        <v>2</v>
      </c>
      <c r="E1423" s="38" t="n">
        <v>42488</v>
      </c>
    </row>
    <row r="1424" customFormat="false" ht="15" hidden="false" customHeight="false" outlineLevel="0" collapsed="false">
      <c r="A1424" s="0" t="n">
        <v>16</v>
      </c>
      <c r="B1424" s="0" t="s">
        <v>64</v>
      </c>
      <c r="C1424" s="0" t="n">
        <v>2012</v>
      </c>
      <c r="D1424" s="0" t="n">
        <v>3</v>
      </c>
      <c r="E1424" s="38" t="n">
        <v>47917.72</v>
      </c>
    </row>
    <row r="1425" customFormat="false" ht="15" hidden="false" customHeight="false" outlineLevel="0" collapsed="false">
      <c r="A1425" s="0" t="n">
        <v>16</v>
      </c>
      <c r="B1425" s="0" t="s">
        <v>64</v>
      </c>
      <c r="C1425" s="0" t="n">
        <v>2012</v>
      </c>
      <c r="D1425" s="0" t="n">
        <v>4</v>
      </c>
      <c r="E1425" s="38" t="n">
        <v>56258.73</v>
      </c>
    </row>
    <row r="1426" customFormat="false" ht="15" hidden="false" customHeight="false" outlineLevel="0" collapsed="false">
      <c r="A1426" s="0" t="n">
        <v>16</v>
      </c>
      <c r="B1426" s="0" t="s">
        <v>64</v>
      </c>
      <c r="C1426" s="0" t="n">
        <v>2012</v>
      </c>
      <c r="D1426" s="0" t="n">
        <v>5</v>
      </c>
      <c r="E1426" s="38" t="n">
        <v>56359.33</v>
      </c>
    </row>
    <row r="1427" customFormat="false" ht="15" hidden="false" customHeight="false" outlineLevel="0" collapsed="false">
      <c r="A1427" s="0" t="n">
        <v>16</v>
      </c>
      <c r="B1427" s="0" t="s">
        <v>64</v>
      </c>
      <c r="C1427" s="0" t="n">
        <v>2012</v>
      </c>
      <c r="D1427" s="0" t="n">
        <v>6</v>
      </c>
      <c r="E1427" s="38" t="n">
        <v>48474.51</v>
      </c>
    </row>
    <row r="1428" customFormat="false" ht="15" hidden="false" customHeight="false" outlineLevel="0" collapsed="false">
      <c r="A1428" s="0" t="n">
        <v>16</v>
      </c>
      <c r="B1428" s="0" t="s">
        <v>64</v>
      </c>
      <c r="C1428" s="0" t="n">
        <v>2012</v>
      </c>
      <c r="D1428" s="0" t="n">
        <v>7</v>
      </c>
      <c r="E1428" s="38" t="n">
        <v>37594.67</v>
      </c>
    </row>
    <row r="1429" customFormat="false" ht="15" hidden="false" customHeight="false" outlineLevel="0" collapsed="false">
      <c r="A1429" s="0" t="n">
        <v>16</v>
      </c>
      <c r="B1429" s="0" t="s">
        <v>64</v>
      </c>
      <c r="C1429" s="0" t="n">
        <v>2012</v>
      </c>
      <c r="D1429" s="0" t="n">
        <v>8</v>
      </c>
      <c r="E1429" s="38" t="n">
        <v>37031.71</v>
      </c>
    </row>
    <row r="1430" customFormat="false" ht="15" hidden="false" customHeight="false" outlineLevel="0" collapsed="false">
      <c r="A1430" s="0" t="n">
        <v>16</v>
      </c>
      <c r="B1430" s="0" t="s">
        <v>64</v>
      </c>
      <c r="C1430" s="0" t="n">
        <v>2012</v>
      </c>
      <c r="D1430" s="0" t="n">
        <v>9</v>
      </c>
      <c r="E1430" s="38" t="n">
        <v>28551.1</v>
      </c>
    </row>
    <row r="1431" customFormat="false" ht="15" hidden="false" customHeight="false" outlineLevel="0" collapsed="false">
      <c r="A1431" s="0" t="n">
        <v>16</v>
      </c>
      <c r="B1431" s="0" t="s">
        <v>64</v>
      </c>
      <c r="C1431" s="0" t="n">
        <v>2012</v>
      </c>
      <c r="D1431" s="0" t="n">
        <v>10</v>
      </c>
      <c r="E1431" s="38" t="n">
        <v>24919.35</v>
      </c>
    </row>
    <row r="1432" customFormat="false" ht="15" hidden="false" customHeight="false" outlineLevel="0" collapsed="false">
      <c r="A1432" s="0" t="n">
        <v>16</v>
      </c>
      <c r="B1432" s="0" t="s">
        <v>64</v>
      </c>
      <c r="C1432" s="0" t="n">
        <v>2012</v>
      </c>
      <c r="D1432" s="0" t="n">
        <v>11</v>
      </c>
      <c r="E1432" s="38" t="n">
        <v>22467.96</v>
      </c>
    </row>
    <row r="1433" customFormat="false" ht="15" hidden="false" customHeight="false" outlineLevel="0" collapsed="false">
      <c r="A1433" s="0" t="n">
        <v>16</v>
      </c>
      <c r="B1433" s="0" t="s">
        <v>64</v>
      </c>
      <c r="C1433" s="0" t="n">
        <v>2012</v>
      </c>
      <c r="D1433" s="0" t="n">
        <v>12</v>
      </c>
      <c r="E1433" s="38" t="n">
        <v>26457.98</v>
      </c>
    </row>
    <row r="1434" customFormat="false" ht="15" hidden="false" customHeight="false" outlineLevel="0" collapsed="false">
      <c r="A1434" s="0" t="n">
        <v>16</v>
      </c>
      <c r="B1434" s="0" t="s">
        <v>64</v>
      </c>
      <c r="C1434" s="0" t="n">
        <v>2013</v>
      </c>
      <c r="D1434" s="0" t="n">
        <v>1</v>
      </c>
      <c r="E1434" s="38" t="n">
        <v>27962.19</v>
      </c>
    </row>
    <row r="1435" customFormat="false" ht="15" hidden="false" customHeight="false" outlineLevel="0" collapsed="false">
      <c r="A1435" s="0" t="n">
        <v>16</v>
      </c>
      <c r="B1435" s="0" t="s">
        <v>64</v>
      </c>
      <c r="C1435" s="0" t="n">
        <v>2013</v>
      </c>
      <c r="D1435" s="0" t="n">
        <v>2</v>
      </c>
      <c r="E1435" s="38" t="n">
        <v>37049.27</v>
      </c>
    </row>
    <row r="1436" customFormat="false" ht="15" hidden="false" customHeight="false" outlineLevel="0" collapsed="false">
      <c r="A1436" s="0" t="n">
        <v>16</v>
      </c>
      <c r="B1436" s="0" t="s">
        <v>64</v>
      </c>
      <c r="C1436" s="0" t="n">
        <v>2013</v>
      </c>
      <c r="D1436" s="0" t="n">
        <v>3</v>
      </c>
      <c r="E1436" s="38" t="n">
        <v>43852.63</v>
      </c>
    </row>
    <row r="1437" customFormat="false" ht="15" hidden="false" customHeight="false" outlineLevel="0" collapsed="false">
      <c r="A1437" s="0" t="n">
        <v>16</v>
      </c>
      <c r="B1437" s="0" t="s">
        <v>64</v>
      </c>
      <c r="C1437" s="0" t="n">
        <v>2013</v>
      </c>
      <c r="D1437" s="0" t="n">
        <v>4</v>
      </c>
      <c r="E1437" s="38" t="n">
        <v>54669.79</v>
      </c>
    </row>
    <row r="1438" customFormat="false" ht="15" hidden="false" customHeight="false" outlineLevel="0" collapsed="false">
      <c r="A1438" s="0" t="n">
        <v>16</v>
      </c>
      <c r="B1438" s="0" t="s">
        <v>64</v>
      </c>
      <c r="C1438" s="0" t="n">
        <v>2013</v>
      </c>
      <c r="D1438" s="0" t="n">
        <v>5</v>
      </c>
      <c r="E1438" s="38" t="n">
        <v>47428</v>
      </c>
    </row>
    <row r="1439" customFormat="false" ht="15" hidden="false" customHeight="false" outlineLevel="0" collapsed="false">
      <c r="A1439" s="0" t="n">
        <v>16</v>
      </c>
      <c r="B1439" s="0" t="s">
        <v>64</v>
      </c>
      <c r="C1439" s="0" t="n">
        <v>2013</v>
      </c>
      <c r="D1439" s="0" t="n">
        <v>6</v>
      </c>
      <c r="E1439" s="38" t="n">
        <v>46082.69</v>
      </c>
    </row>
    <row r="1440" customFormat="false" ht="15" hidden="false" customHeight="false" outlineLevel="0" collapsed="false">
      <c r="A1440" s="0" t="n">
        <v>16</v>
      </c>
      <c r="B1440" s="0" t="s">
        <v>64</v>
      </c>
      <c r="C1440" s="0" t="n">
        <v>2013</v>
      </c>
      <c r="D1440" s="0" t="n">
        <v>7</v>
      </c>
      <c r="E1440" s="38" t="n">
        <v>38271.14</v>
      </c>
    </row>
    <row r="1441" customFormat="false" ht="15" hidden="false" customHeight="false" outlineLevel="0" collapsed="false">
      <c r="A1441" s="0" t="n">
        <v>16</v>
      </c>
      <c r="B1441" s="0" t="s">
        <v>64</v>
      </c>
      <c r="C1441" s="0" t="n">
        <v>2013</v>
      </c>
      <c r="D1441" s="0" t="n">
        <v>8</v>
      </c>
      <c r="E1441" s="38" t="n">
        <v>34892.59</v>
      </c>
    </row>
    <row r="1442" customFormat="false" ht="15" hidden="false" customHeight="false" outlineLevel="0" collapsed="false">
      <c r="A1442" s="0" t="n">
        <v>17</v>
      </c>
      <c r="B1442" s="0" t="s">
        <v>60</v>
      </c>
      <c r="C1442" s="0" t="n">
        <v>2011</v>
      </c>
      <c r="D1442" s="0" t="n">
        <v>1</v>
      </c>
      <c r="E1442" s="38" t="n">
        <v>1238994.99</v>
      </c>
    </row>
    <row r="1443" customFormat="false" ht="15" hidden="false" customHeight="false" outlineLevel="0" collapsed="false">
      <c r="A1443" s="0" t="n">
        <v>17</v>
      </c>
      <c r="B1443" s="0" t="s">
        <v>60</v>
      </c>
      <c r="C1443" s="0" t="n">
        <v>2011</v>
      </c>
      <c r="D1443" s="0" t="n">
        <v>2</v>
      </c>
      <c r="E1443" s="38" t="n">
        <v>1288133.43</v>
      </c>
    </row>
    <row r="1444" customFormat="false" ht="15" hidden="false" customHeight="false" outlineLevel="0" collapsed="false">
      <c r="A1444" s="0" t="n">
        <v>17</v>
      </c>
      <c r="B1444" s="0" t="s">
        <v>60</v>
      </c>
      <c r="C1444" s="0" t="n">
        <v>2011</v>
      </c>
      <c r="D1444" s="0" t="n">
        <v>3</v>
      </c>
      <c r="E1444" s="38" t="n">
        <v>1032194.11</v>
      </c>
    </row>
    <row r="1445" customFormat="false" ht="15" hidden="false" customHeight="false" outlineLevel="0" collapsed="false">
      <c r="A1445" s="0" t="n">
        <v>17</v>
      </c>
      <c r="B1445" s="0" t="s">
        <v>60</v>
      </c>
      <c r="C1445" s="0" t="n">
        <v>2011</v>
      </c>
      <c r="D1445" s="0" t="n">
        <v>4</v>
      </c>
      <c r="E1445" s="38" t="n">
        <v>1109825.76</v>
      </c>
    </row>
    <row r="1446" customFormat="false" ht="15" hidden="false" customHeight="false" outlineLevel="0" collapsed="false">
      <c r="A1446" s="0" t="n">
        <v>17</v>
      </c>
      <c r="B1446" s="0" t="s">
        <v>60</v>
      </c>
      <c r="C1446" s="0" t="n">
        <v>2011</v>
      </c>
      <c r="D1446" s="0" t="n">
        <v>5</v>
      </c>
      <c r="E1446" s="38" t="n">
        <v>1022196.98</v>
      </c>
    </row>
    <row r="1447" customFormat="false" ht="15" hidden="false" customHeight="false" outlineLevel="0" collapsed="false">
      <c r="A1447" s="0" t="n">
        <v>17</v>
      </c>
      <c r="B1447" s="0" t="s">
        <v>60</v>
      </c>
      <c r="C1447" s="0" t="n">
        <v>2011</v>
      </c>
      <c r="D1447" s="0" t="n">
        <v>6</v>
      </c>
      <c r="E1447" s="38" t="n">
        <v>1082849.01</v>
      </c>
    </row>
    <row r="1448" customFormat="false" ht="15" hidden="false" customHeight="false" outlineLevel="0" collapsed="false">
      <c r="A1448" s="0" t="n">
        <v>17</v>
      </c>
      <c r="B1448" s="0" t="s">
        <v>60</v>
      </c>
      <c r="C1448" s="0" t="n">
        <v>2011</v>
      </c>
      <c r="D1448" s="0" t="n">
        <v>7</v>
      </c>
      <c r="E1448" s="38" t="n">
        <v>1230338.19</v>
      </c>
    </row>
    <row r="1449" customFormat="false" ht="15" hidden="false" customHeight="false" outlineLevel="0" collapsed="false">
      <c r="A1449" s="0" t="n">
        <v>17</v>
      </c>
      <c r="B1449" s="0" t="s">
        <v>60</v>
      </c>
      <c r="C1449" s="0" t="n">
        <v>2011</v>
      </c>
      <c r="D1449" s="0" t="n">
        <v>8</v>
      </c>
      <c r="E1449" s="38" t="n">
        <v>1135513.13</v>
      </c>
    </row>
    <row r="1450" customFormat="false" ht="15" hidden="false" customHeight="false" outlineLevel="0" collapsed="false">
      <c r="A1450" s="0" t="n">
        <v>17</v>
      </c>
      <c r="B1450" s="0" t="s">
        <v>60</v>
      </c>
      <c r="C1450" s="0" t="n">
        <v>2011</v>
      </c>
      <c r="D1450" s="0" t="n">
        <v>9</v>
      </c>
      <c r="E1450" s="38" t="n">
        <v>1130921.7</v>
      </c>
    </row>
    <row r="1451" customFormat="false" ht="15" hidden="false" customHeight="false" outlineLevel="0" collapsed="false">
      <c r="A1451" s="0" t="n">
        <v>17</v>
      </c>
      <c r="B1451" s="0" t="s">
        <v>60</v>
      </c>
      <c r="C1451" s="0" t="n">
        <v>2011</v>
      </c>
      <c r="D1451" s="0" t="n">
        <v>10</v>
      </c>
      <c r="E1451" s="38" t="n">
        <v>1298971.03</v>
      </c>
    </row>
    <row r="1452" customFormat="false" ht="15" hidden="false" customHeight="false" outlineLevel="0" collapsed="false">
      <c r="A1452" s="0" t="n">
        <v>17</v>
      </c>
      <c r="B1452" s="0" t="s">
        <v>60</v>
      </c>
      <c r="C1452" s="0" t="n">
        <v>2011</v>
      </c>
      <c r="D1452" s="0" t="n">
        <v>11</v>
      </c>
      <c r="E1452" s="38" t="n">
        <v>1655830.34</v>
      </c>
    </row>
    <row r="1453" customFormat="false" ht="15" hidden="false" customHeight="false" outlineLevel="0" collapsed="false">
      <c r="A1453" s="0" t="n">
        <v>17</v>
      </c>
      <c r="B1453" s="0" t="s">
        <v>60</v>
      </c>
      <c r="C1453" s="0" t="n">
        <v>2011</v>
      </c>
      <c r="D1453" s="0" t="n">
        <v>12</v>
      </c>
      <c r="E1453" s="38" t="n">
        <v>1017587.63</v>
      </c>
    </row>
    <row r="1454" customFormat="false" ht="15" hidden="false" customHeight="false" outlineLevel="0" collapsed="false">
      <c r="A1454" s="0" t="n">
        <v>17</v>
      </c>
      <c r="B1454" s="0" t="s">
        <v>60</v>
      </c>
      <c r="C1454" s="0" t="n">
        <v>2012</v>
      </c>
      <c r="D1454" s="0" t="n">
        <v>1</v>
      </c>
      <c r="E1454" s="38" t="n">
        <v>1121393.84</v>
      </c>
    </row>
    <row r="1455" customFormat="false" ht="15" hidden="false" customHeight="false" outlineLevel="0" collapsed="false">
      <c r="A1455" s="0" t="n">
        <v>17</v>
      </c>
      <c r="B1455" s="0" t="s">
        <v>60</v>
      </c>
      <c r="C1455" s="0" t="n">
        <v>2012</v>
      </c>
      <c r="D1455" s="0" t="n">
        <v>2</v>
      </c>
      <c r="E1455" s="38" t="n">
        <v>1148314.7</v>
      </c>
    </row>
    <row r="1456" customFormat="false" ht="15" hidden="false" customHeight="false" outlineLevel="0" collapsed="false">
      <c r="A1456" s="0" t="n">
        <v>17</v>
      </c>
      <c r="B1456" s="0" t="s">
        <v>60</v>
      </c>
      <c r="C1456" s="0" t="n">
        <v>2012</v>
      </c>
      <c r="D1456" s="0" t="n">
        <v>3</v>
      </c>
      <c r="E1456" s="38" t="n">
        <v>1006434.57</v>
      </c>
    </row>
    <row r="1457" customFormat="false" ht="15" hidden="false" customHeight="false" outlineLevel="0" collapsed="false">
      <c r="A1457" s="0" t="n">
        <v>17</v>
      </c>
      <c r="B1457" s="0" t="s">
        <v>60</v>
      </c>
      <c r="C1457" s="0" t="n">
        <v>2012</v>
      </c>
      <c r="D1457" s="0" t="n">
        <v>4</v>
      </c>
      <c r="E1457" s="38" t="n">
        <v>1037725.75</v>
      </c>
    </row>
    <row r="1458" customFormat="false" ht="15" hidden="false" customHeight="false" outlineLevel="0" collapsed="false">
      <c r="A1458" s="0" t="n">
        <v>17</v>
      </c>
      <c r="B1458" s="0" t="s">
        <v>60</v>
      </c>
      <c r="C1458" s="0" t="n">
        <v>2012</v>
      </c>
      <c r="D1458" s="0" t="n">
        <v>5</v>
      </c>
      <c r="E1458" s="38" t="n">
        <v>956443.1</v>
      </c>
    </row>
    <row r="1459" customFormat="false" ht="15" hidden="false" customHeight="false" outlineLevel="0" collapsed="false">
      <c r="A1459" s="0" t="n">
        <v>17</v>
      </c>
      <c r="B1459" s="0" t="s">
        <v>60</v>
      </c>
      <c r="C1459" s="0" t="n">
        <v>2012</v>
      </c>
      <c r="D1459" s="0" t="n">
        <v>6</v>
      </c>
      <c r="E1459" s="38" t="n">
        <v>1017010.44</v>
      </c>
    </row>
    <row r="1460" customFormat="false" ht="15" hidden="false" customHeight="false" outlineLevel="0" collapsed="false">
      <c r="A1460" s="0" t="n">
        <v>17</v>
      </c>
      <c r="B1460" s="0" t="s">
        <v>60</v>
      </c>
      <c r="C1460" s="0" t="n">
        <v>2012</v>
      </c>
      <c r="D1460" s="0" t="n">
        <v>7</v>
      </c>
      <c r="E1460" s="38" t="n">
        <v>1145902.33</v>
      </c>
    </row>
    <row r="1461" customFormat="false" ht="15" hidden="false" customHeight="false" outlineLevel="0" collapsed="false">
      <c r="A1461" s="0" t="n">
        <v>17</v>
      </c>
      <c r="B1461" s="0" t="s">
        <v>60</v>
      </c>
      <c r="C1461" s="0" t="n">
        <v>2012</v>
      </c>
      <c r="D1461" s="0" t="n">
        <v>8</v>
      </c>
      <c r="E1461" s="38" t="n">
        <v>1040951.92</v>
      </c>
    </row>
    <row r="1462" customFormat="false" ht="15" hidden="false" customHeight="false" outlineLevel="0" collapsed="false">
      <c r="A1462" s="0" t="n">
        <v>17</v>
      </c>
      <c r="B1462" s="0" t="s">
        <v>60</v>
      </c>
      <c r="C1462" s="0" t="n">
        <v>2012</v>
      </c>
      <c r="D1462" s="0" t="n">
        <v>9</v>
      </c>
      <c r="E1462" s="38" t="n">
        <v>1107229.66</v>
      </c>
    </row>
    <row r="1463" customFormat="false" ht="15" hidden="false" customHeight="false" outlineLevel="0" collapsed="false">
      <c r="A1463" s="0" t="n">
        <v>17</v>
      </c>
      <c r="B1463" s="0" t="s">
        <v>60</v>
      </c>
      <c r="C1463" s="0" t="n">
        <v>2012</v>
      </c>
      <c r="D1463" s="0" t="n">
        <v>10</v>
      </c>
      <c r="E1463" s="38" t="n">
        <v>1320167.38</v>
      </c>
    </row>
    <row r="1464" customFormat="false" ht="15" hidden="false" customHeight="false" outlineLevel="0" collapsed="false">
      <c r="A1464" s="0" t="n">
        <v>17</v>
      </c>
      <c r="B1464" s="0" t="s">
        <v>60</v>
      </c>
      <c r="C1464" s="0" t="n">
        <v>2012</v>
      </c>
      <c r="D1464" s="0" t="n">
        <v>11</v>
      </c>
      <c r="E1464" s="38" t="n">
        <v>1636951.46</v>
      </c>
    </row>
    <row r="1465" customFormat="false" ht="15" hidden="false" customHeight="false" outlineLevel="0" collapsed="false">
      <c r="A1465" s="0" t="n">
        <v>17</v>
      </c>
      <c r="B1465" s="0" t="s">
        <v>60</v>
      </c>
      <c r="C1465" s="0" t="n">
        <v>2012</v>
      </c>
      <c r="D1465" s="0" t="n">
        <v>12</v>
      </c>
      <c r="E1465" s="38" t="n">
        <v>1028575.25</v>
      </c>
    </row>
    <row r="1466" customFormat="false" ht="15" hidden="false" customHeight="false" outlineLevel="0" collapsed="false">
      <c r="A1466" s="0" t="n">
        <v>17</v>
      </c>
      <c r="B1466" s="0" t="s">
        <v>60</v>
      </c>
      <c r="C1466" s="0" t="n">
        <v>2013</v>
      </c>
      <c r="D1466" s="0" t="n">
        <v>1</v>
      </c>
      <c r="E1466" s="38" t="n">
        <v>1158075.48</v>
      </c>
    </row>
    <row r="1467" customFormat="false" ht="15" hidden="false" customHeight="false" outlineLevel="0" collapsed="false">
      <c r="A1467" s="0" t="n">
        <v>17</v>
      </c>
      <c r="B1467" s="0" t="s">
        <v>60</v>
      </c>
      <c r="C1467" s="0" t="n">
        <v>2013</v>
      </c>
      <c r="D1467" s="0" t="n">
        <v>2</v>
      </c>
      <c r="E1467" s="38" t="n">
        <v>1115458.37</v>
      </c>
    </row>
    <row r="1468" customFormat="false" ht="15" hidden="false" customHeight="false" outlineLevel="0" collapsed="false">
      <c r="A1468" s="0" t="n">
        <v>17</v>
      </c>
      <c r="B1468" s="0" t="s">
        <v>60</v>
      </c>
      <c r="C1468" s="0" t="n">
        <v>2013</v>
      </c>
      <c r="D1468" s="0" t="n">
        <v>3</v>
      </c>
      <c r="E1468" s="38" t="n">
        <v>962125.6</v>
      </c>
    </row>
    <row r="1469" customFormat="false" ht="15" hidden="false" customHeight="false" outlineLevel="0" collapsed="false">
      <c r="A1469" s="0" t="n">
        <v>17</v>
      </c>
      <c r="B1469" s="0" t="s">
        <v>60</v>
      </c>
      <c r="C1469" s="0" t="n">
        <v>2013</v>
      </c>
      <c r="D1469" s="0" t="n">
        <v>4</v>
      </c>
      <c r="E1469" s="38" t="n">
        <v>1031038.4</v>
      </c>
    </row>
    <row r="1470" customFormat="false" ht="15" hidden="false" customHeight="false" outlineLevel="0" collapsed="false">
      <c r="A1470" s="0" t="n">
        <v>17</v>
      </c>
      <c r="B1470" s="0" t="s">
        <v>60</v>
      </c>
      <c r="C1470" s="0" t="n">
        <v>2013</v>
      </c>
      <c r="D1470" s="0" t="n">
        <v>5</v>
      </c>
      <c r="E1470" s="38" t="n">
        <v>966697.25</v>
      </c>
    </row>
    <row r="1471" customFormat="false" ht="15" hidden="false" customHeight="false" outlineLevel="0" collapsed="false">
      <c r="A1471" s="0" t="n">
        <v>17</v>
      </c>
      <c r="B1471" s="0" t="s">
        <v>60</v>
      </c>
      <c r="C1471" s="0" t="n">
        <v>2013</v>
      </c>
      <c r="D1471" s="0" t="n">
        <v>6</v>
      </c>
      <c r="E1471" s="38" t="n">
        <v>1019363.3</v>
      </c>
    </row>
    <row r="1472" customFormat="false" ht="15" hidden="false" customHeight="false" outlineLevel="0" collapsed="false">
      <c r="A1472" s="0" t="n">
        <v>17</v>
      </c>
      <c r="B1472" s="0" t="s">
        <v>60</v>
      </c>
      <c r="C1472" s="0" t="n">
        <v>2013</v>
      </c>
      <c r="D1472" s="0" t="n">
        <v>7</v>
      </c>
      <c r="E1472" s="38" t="n">
        <v>1154608.11</v>
      </c>
    </row>
    <row r="1473" customFormat="false" ht="15" hidden="false" customHeight="false" outlineLevel="0" collapsed="false">
      <c r="A1473" s="0" t="n">
        <v>17</v>
      </c>
      <c r="B1473" s="0" t="s">
        <v>60</v>
      </c>
      <c r="C1473" s="0" t="n">
        <v>2013</v>
      </c>
      <c r="D1473" s="0" t="n">
        <v>8</v>
      </c>
      <c r="E1473" s="38" t="n">
        <v>1076468.88</v>
      </c>
    </row>
    <row r="1474" customFormat="false" ht="15" hidden="false" customHeight="false" outlineLevel="0" collapsed="false">
      <c r="A1474" s="0" t="n">
        <v>17</v>
      </c>
      <c r="B1474" s="0" t="s">
        <v>62</v>
      </c>
      <c r="C1474" s="0" t="n">
        <v>2011</v>
      </c>
      <c r="D1474" s="0" t="n">
        <v>1</v>
      </c>
      <c r="E1474" s="38" t="n">
        <v>932244.3</v>
      </c>
    </row>
    <row r="1475" customFormat="false" ht="15" hidden="false" customHeight="false" outlineLevel="0" collapsed="false">
      <c r="A1475" s="0" t="n">
        <v>17</v>
      </c>
      <c r="B1475" s="0" t="s">
        <v>62</v>
      </c>
      <c r="C1475" s="0" t="n">
        <v>2011</v>
      </c>
      <c r="D1475" s="0" t="n">
        <v>2</v>
      </c>
      <c r="E1475" s="38" t="n">
        <v>970534.06</v>
      </c>
    </row>
    <row r="1476" customFormat="false" ht="15" hidden="false" customHeight="false" outlineLevel="0" collapsed="false">
      <c r="A1476" s="0" t="n">
        <v>17</v>
      </c>
      <c r="B1476" s="0" t="s">
        <v>62</v>
      </c>
      <c r="C1476" s="0" t="n">
        <v>2011</v>
      </c>
      <c r="D1476" s="0" t="n">
        <v>3</v>
      </c>
      <c r="E1476" s="38" t="n">
        <v>812000.44</v>
      </c>
    </row>
    <row r="1477" customFormat="false" ht="15" hidden="false" customHeight="false" outlineLevel="0" collapsed="false">
      <c r="A1477" s="0" t="n">
        <v>17</v>
      </c>
      <c r="B1477" s="0" t="s">
        <v>62</v>
      </c>
      <c r="C1477" s="0" t="n">
        <v>2011</v>
      </c>
      <c r="D1477" s="0" t="n">
        <v>4</v>
      </c>
      <c r="E1477" s="38" t="n">
        <v>850723.05</v>
      </c>
    </row>
    <row r="1478" customFormat="false" ht="15" hidden="false" customHeight="false" outlineLevel="0" collapsed="false">
      <c r="A1478" s="0" t="n">
        <v>17</v>
      </c>
      <c r="B1478" s="0" t="s">
        <v>62</v>
      </c>
      <c r="C1478" s="0" t="n">
        <v>2011</v>
      </c>
      <c r="D1478" s="0" t="n">
        <v>5</v>
      </c>
      <c r="E1478" s="38" t="n">
        <v>800939.36</v>
      </c>
    </row>
    <row r="1479" customFormat="false" ht="15" hidden="false" customHeight="false" outlineLevel="0" collapsed="false">
      <c r="A1479" s="0" t="n">
        <v>17</v>
      </c>
      <c r="B1479" s="0" t="s">
        <v>62</v>
      </c>
      <c r="C1479" s="0" t="n">
        <v>2011</v>
      </c>
      <c r="D1479" s="0" t="n">
        <v>6</v>
      </c>
      <c r="E1479" s="38" t="n">
        <v>817339.13</v>
      </c>
    </row>
    <row r="1480" customFormat="false" ht="15" hidden="false" customHeight="false" outlineLevel="0" collapsed="false">
      <c r="A1480" s="0" t="n">
        <v>17</v>
      </c>
      <c r="B1480" s="0" t="s">
        <v>62</v>
      </c>
      <c r="C1480" s="0" t="n">
        <v>2011</v>
      </c>
      <c r="D1480" s="0" t="n">
        <v>7</v>
      </c>
      <c r="E1480" s="38" t="n">
        <v>922010.88</v>
      </c>
    </row>
    <row r="1481" customFormat="false" ht="15" hidden="false" customHeight="false" outlineLevel="0" collapsed="false">
      <c r="A1481" s="0" t="n">
        <v>17</v>
      </c>
      <c r="B1481" s="0" t="s">
        <v>62</v>
      </c>
      <c r="C1481" s="0" t="n">
        <v>2011</v>
      </c>
      <c r="D1481" s="0" t="n">
        <v>8</v>
      </c>
      <c r="E1481" s="38" t="n">
        <v>840315.87</v>
      </c>
    </row>
    <row r="1482" customFormat="false" ht="15" hidden="false" customHeight="false" outlineLevel="0" collapsed="false">
      <c r="A1482" s="0" t="n">
        <v>17</v>
      </c>
      <c r="B1482" s="0" t="s">
        <v>62</v>
      </c>
      <c r="C1482" s="0" t="n">
        <v>2011</v>
      </c>
      <c r="D1482" s="0" t="n">
        <v>9</v>
      </c>
      <c r="E1482" s="38" t="n">
        <v>848419.03</v>
      </c>
    </row>
    <row r="1483" customFormat="false" ht="15" hidden="false" customHeight="false" outlineLevel="0" collapsed="false">
      <c r="A1483" s="0" t="n">
        <v>17</v>
      </c>
      <c r="B1483" s="0" t="s">
        <v>62</v>
      </c>
      <c r="C1483" s="0" t="n">
        <v>2011</v>
      </c>
      <c r="D1483" s="0" t="n">
        <v>10</v>
      </c>
      <c r="E1483" s="38" t="n">
        <v>956526.11</v>
      </c>
    </row>
    <row r="1484" customFormat="false" ht="15" hidden="false" customHeight="false" outlineLevel="0" collapsed="false">
      <c r="A1484" s="0" t="n">
        <v>17</v>
      </c>
      <c r="B1484" s="0" t="s">
        <v>62</v>
      </c>
      <c r="C1484" s="0" t="n">
        <v>2011</v>
      </c>
      <c r="D1484" s="0" t="n">
        <v>11</v>
      </c>
      <c r="E1484" s="38" t="n">
        <v>1188265.66</v>
      </c>
    </row>
    <row r="1485" customFormat="false" ht="15" hidden="false" customHeight="false" outlineLevel="0" collapsed="false">
      <c r="A1485" s="0" t="n">
        <v>17</v>
      </c>
      <c r="B1485" s="0" t="s">
        <v>62</v>
      </c>
      <c r="C1485" s="0" t="n">
        <v>2011</v>
      </c>
      <c r="D1485" s="0" t="n">
        <v>12</v>
      </c>
      <c r="E1485" s="38" t="n">
        <v>772858.17</v>
      </c>
    </row>
    <row r="1486" customFormat="false" ht="15" hidden="false" customHeight="false" outlineLevel="0" collapsed="false">
      <c r="A1486" s="0" t="n">
        <v>17</v>
      </c>
      <c r="B1486" s="0" t="s">
        <v>62</v>
      </c>
      <c r="C1486" s="0" t="n">
        <v>2012</v>
      </c>
      <c r="D1486" s="0" t="n">
        <v>1</v>
      </c>
      <c r="E1486" s="38" t="n">
        <v>792943.45</v>
      </c>
    </row>
    <row r="1487" customFormat="false" ht="15" hidden="false" customHeight="false" outlineLevel="0" collapsed="false">
      <c r="A1487" s="0" t="n">
        <v>17</v>
      </c>
      <c r="B1487" s="0" t="s">
        <v>62</v>
      </c>
      <c r="C1487" s="0" t="n">
        <v>2012</v>
      </c>
      <c r="D1487" s="0" t="n">
        <v>2</v>
      </c>
      <c r="E1487" s="38" t="n">
        <v>827039.76</v>
      </c>
    </row>
    <row r="1488" customFormat="false" ht="15" hidden="false" customHeight="false" outlineLevel="0" collapsed="false">
      <c r="A1488" s="0" t="n">
        <v>17</v>
      </c>
      <c r="B1488" s="0" t="s">
        <v>62</v>
      </c>
      <c r="C1488" s="0" t="n">
        <v>2012</v>
      </c>
      <c r="D1488" s="0" t="n">
        <v>3</v>
      </c>
      <c r="E1488" s="38" t="n">
        <v>736510.14</v>
      </c>
    </row>
    <row r="1489" customFormat="false" ht="15" hidden="false" customHeight="false" outlineLevel="0" collapsed="false">
      <c r="A1489" s="0" t="n">
        <v>17</v>
      </c>
      <c r="B1489" s="0" t="s">
        <v>62</v>
      </c>
      <c r="C1489" s="0" t="n">
        <v>2012</v>
      </c>
      <c r="D1489" s="0" t="n">
        <v>4</v>
      </c>
      <c r="E1489" s="38" t="n">
        <v>746314.28</v>
      </c>
    </row>
    <row r="1490" customFormat="false" ht="15" hidden="false" customHeight="false" outlineLevel="0" collapsed="false">
      <c r="A1490" s="0" t="n">
        <v>17</v>
      </c>
      <c r="B1490" s="0" t="s">
        <v>62</v>
      </c>
      <c r="C1490" s="0" t="n">
        <v>2012</v>
      </c>
      <c r="D1490" s="0" t="n">
        <v>5</v>
      </c>
      <c r="E1490" s="38" t="n">
        <v>706277.59</v>
      </c>
    </row>
    <row r="1491" customFormat="false" ht="15" hidden="false" customHeight="false" outlineLevel="0" collapsed="false">
      <c r="A1491" s="0" t="n">
        <v>17</v>
      </c>
      <c r="B1491" s="0" t="s">
        <v>62</v>
      </c>
      <c r="C1491" s="0" t="n">
        <v>2012</v>
      </c>
      <c r="D1491" s="0" t="n">
        <v>6</v>
      </c>
      <c r="E1491" s="38" t="n">
        <v>729242.12</v>
      </c>
    </row>
    <row r="1492" customFormat="false" ht="15" hidden="false" customHeight="false" outlineLevel="0" collapsed="false">
      <c r="A1492" s="0" t="n">
        <v>17</v>
      </c>
      <c r="B1492" s="0" t="s">
        <v>62</v>
      </c>
      <c r="C1492" s="0" t="n">
        <v>2012</v>
      </c>
      <c r="D1492" s="0" t="n">
        <v>7</v>
      </c>
      <c r="E1492" s="38" t="n">
        <v>851875.32</v>
      </c>
    </row>
    <row r="1493" customFormat="false" ht="15" hidden="false" customHeight="false" outlineLevel="0" collapsed="false">
      <c r="A1493" s="0" t="n">
        <v>17</v>
      </c>
      <c r="B1493" s="0" t="s">
        <v>62</v>
      </c>
      <c r="C1493" s="0" t="n">
        <v>2012</v>
      </c>
      <c r="D1493" s="0" t="n">
        <v>8</v>
      </c>
      <c r="E1493" s="38" t="n">
        <v>787715.16</v>
      </c>
    </row>
    <row r="1494" customFormat="false" ht="15" hidden="false" customHeight="false" outlineLevel="0" collapsed="false">
      <c r="A1494" s="0" t="n">
        <v>17</v>
      </c>
      <c r="B1494" s="0" t="s">
        <v>62</v>
      </c>
      <c r="C1494" s="0" t="n">
        <v>2012</v>
      </c>
      <c r="D1494" s="0" t="n">
        <v>9</v>
      </c>
      <c r="E1494" s="38" t="n">
        <v>826407.33</v>
      </c>
    </row>
    <row r="1495" customFormat="false" ht="15" hidden="false" customHeight="false" outlineLevel="0" collapsed="false">
      <c r="A1495" s="0" t="n">
        <v>17</v>
      </c>
      <c r="B1495" s="0" t="s">
        <v>62</v>
      </c>
      <c r="C1495" s="0" t="n">
        <v>2012</v>
      </c>
      <c r="D1495" s="0" t="n">
        <v>10</v>
      </c>
      <c r="E1495" s="38" t="n">
        <v>968640.67</v>
      </c>
    </row>
    <row r="1496" customFormat="false" ht="15" hidden="false" customHeight="false" outlineLevel="0" collapsed="false">
      <c r="A1496" s="0" t="n">
        <v>17</v>
      </c>
      <c r="B1496" s="0" t="s">
        <v>62</v>
      </c>
      <c r="C1496" s="0" t="n">
        <v>2012</v>
      </c>
      <c r="D1496" s="0" t="n">
        <v>11</v>
      </c>
      <c r="E1496" s="38" t="n">
        <v>1175643.4</v>
      </c>
    </row>
    <row r="1497" customFormat="false" ht="15" hidden="false" customHeight="false" outlineLevel="0" collapsed="false">
      <c r="A1497" s="0" t="n">
        <v>17</v>
      </c>
      <c r="B1497" s="0" t="s">
        <v>62</v>
      </c>
      <c r="C1497" s="0" t="n">
        <v>2012</v>
      </c>
      <c r="D1497" s="0" t="n">
        <v>12</v>
      </c>
      <c r="E1497" s="38" t="n">
        <v>774303.66</v>
      </c>
    </row>
    <row r="1498" customFormat="false" ht="15" hidden="false" customHeight="false" outlineLevel="0" collapsed="false">
      <c r="A1498" s="0" t="n">
        <v>17</v>
      </c>
      <c r="B1498" s="0" t="s">
        <v>62</v>
      </c>
      <c r="C1498" s="0" t="n">
        <v>2013</v>
      </c>
      <c r="D1498" s="0" t="n">
        <v>1</v>
      </c>
      <c r="E1498" s="38" t="n">
        <v>846600.89</v>
      </c>
    </row>
    <row r="1499" customFormat="false" ht="15" hidden="false" customHeight="false" outlineLevel="0" collapsed="false">
      <c r="A1499" s="0" t="n">
        <v>17</v>
      </c>
      <c r="B1499" s="0" t="s">
        <v>62</v>
      </c>
      <c r="C1499" s="0" t="n">
        <v>2013</v>
      </c>
      <c r="D1499" s="0" t="n">
        <v>2</v>
      </c>
      <c r="E1499" s="38" t="n">
        <v>817245.22</v>
      </c>
    </row>
    <row r="1500" customFormat="false" ht="15" hidden="false" customHeight="false" outlineLevel="0" collapsed="false">
      <c r="A1500" s="0" t="n">
        <v>17</v>
      </c>
      <c r="B1500" s="0" t="s">
        <v>62</v>
      </c>
      <c r="C1500" s="0" t="n">
        <v>2013</v>
      </c>
      <c r="D1500" s="0" t="n">
        <v>3</v>
      </c>
      <c r="E1500" s="38" t="n">
        <v>719091.65</v>
      </c>
    </row>
    <row r="1501" customFormat="false" ht="15" hidden="false" customHeight="false" outlineLevel="0" collapsed="false">
      <c r="A1501" s="0" t="n">
        <v>17</v>
      </c>
      <c r="B1501" s="0" t="s">
        <v>62</v>
      </c>
      <c r="C1501" s="0" t="n">
        <v>2013</v>
      </c>
      <c r="D1501" s="0" t="n">
        <v>4</v>
      </c>
      <c r="E1501" s="38" t="n">
        <v>756162.83</v>
      </c>
    </row>
    <row r="1502" customFormat="false" ht="15" hidden="false" customHeight="false" outlineLevel="0" collapsed="false">
      <c r="A1502" s="0" t="n">
        <v>17</v>
      </c>
      <c r="B1502" s="0" t="s">
        <v>62</v>
      </c>
      <c r="C1502" s="0" t="n">
        <v>2013</v>
      </c>
      <c r="D1502" s="0" t="n">
        <v>5</v>
      </c>
      <c r="E1502" s="38" t="n">
        <v>730578.96</v>
      </c>
    </row>
    <row r="1503" customFormat="false" ht="15" hidden="false" customHeight="false" outlineLevel="0" collapsed="false">
      <c r="A1503" s="0" t="n">
        <v>17</v>
      </c>
      <c r="B1503" s="0" t="s">
        <v>62</v>
      </c>
      <c r="C1503" s="0" t="n">
        <v>2013</v>
      </c>
      <c r="D1503" s="0" t="n">
        <v>6</v>
      </c>
      <c r="E1503" s="38" t="n">
        <v>752624.23</v>
      </c>
    </row>
    <row r="1504" customFormat="false" ht="15" hidden="false" customHeight="false" outlineLevel="0" collapsed="false">
      <c r="A1504" s="0" t="n">
        <v>17</v>
      </c>
      <c r="B1504" s="0" t="s">
        <v>62</v>
      </c>
      <c r="C1504" s="0" t="n">
        <v>2013</v>
      </c>
      <c r="D1504" s="0" t="n">
        <v>7</v>
      </c>
      <c r="E1504" s="38" t="n">
        <v>839633.07</v>
      </c>
    </row>
    <row r="1505" customFormat="false" ht="15" hidden="false" customHeight="false" outlineLevel="0" collapsed="false">
      <c r="A1505" s="0" t="n">
        <v>17</v>
      </c>
      <c r="B1505" s="0" t="s">
        <v>62</v>
      </c>
      <c r="C1505" s="0" t="n">
        <v>2013</v>
      </c>
      <c r="D1505" s="0" t="n">
        <v>8</v>
      </c>
      <c r="E1505" s="38" t="n">
        <v>782531.7</v>
      </c>
    </row>
    <row r="1506" customFormat="false" ht="15" hidden="false" customHeight="false" outlineLevel="0" collapsed="false">
      <c r="A1506" s="0" t="n">
        <v>17</v>
      </c>
      <c r="B1506" s="0" t="s">
        <v>64</v>
      </c>
      <c r="C1506" s="0" t="n">
        <v>2011</v>
      </c>
      <c r="D1506" s="0" t="n">
        <v>1</v>
      </c>
      <c r="E1506" s="38" t="n">
        <v>11471.36</v>
      </c>
    </row>
    <row r="1507" customFormat="false" ht="15" hidden="false" customHeight="false" outlineLevel="0" collapsed="false">
      <c r="A1507" s="0" t="n">
        <v>17</v>
      </c>
      <c r="B1507" s="0" t="s">
        <v>64</v>
      </c>
      <c r="C1507" s="0" t="n">
        <v>2011</v>
      </c>
      <c r="D1507" s="0" t="n">
        <v>2</v>
      </c>
      <c r="E1507" s="38" t="n">
        <v>11403.43</v>
      </c>
    </row>
    <row r="1508" customFormat="false" ht="15" hidden="false" customHeight="false" outlineLevel="0" collapsed="false">
      <c r="A1508" s="0" t="n">
        <v>17</v>
      </c>
      <c r="B1508" s="0" t="s">
        <v>64</v>
      </c>
      <c r="C1508" s="0" t="n">
        <v>2011</v>
      </c>
      <c r="D1508" s="0" t="n">
        <v>3</v>
      </c>
      <c r="E1508" s="38" t="n">
        <v>10200.7</v>
      </c>
    </row>
    <row r="1509" customFormat="false" ht="15" hidden="false" customHeight="false" outlineLevel="0" collapsed="false">
      <c r="A1509" s="0" t="n">
        <v>17</v>
      </c>
      <c r="B1509" s="0" t="s">
        <v>64</v>
      </c>
      <c r="C1509" s="0" t="n">
        <v>2011</v>
      </c>
      <c r="D1509" s="0" t="n">
        <v>4</v>
      </c>
      <c r="E1509" s="38" t="n">
        <v>10587.76</v>
      </c>
    </row>
    <row r="1510" customFormat="false" ht="15" hidden="false" customHeight="false" outlineLevel="0" collapsed="false">
      <c r="A1510" s="0" t="n">
        <v>17</v>
      </c>
      <c r="B1510" s="0" t="s">
        <v>64</v>
      </c>
      <c r="C1510" s="0" t="n">
        <v>2011</v>
      </c>
      <c r="D1510" s="0" t="n">
        <v>5</v>
      </c>
      <c r="E1510" s="38" t="n">
        <v>9128.7</v>
      </c>
    </row>
    <row r="1511" customFormat="false" ht="15" hidden="false" customHeight="false" outlineLevel="0" collapsed="false">
      <c r="A1511" s="0" t="n">
        <v>17</v>
      </c>
      <c r="B1511" s="0" t="s">
        <v>64</v>
      </c>
      <c r="C1511" s="0" t="n">
        <v>2011</v>
      </c>
      <c r="D1511" s="0" t="n">
        <v>6</v>
      </c>
      <c r="E1511" s="38" t="n">
        <v>9411.62</v>
      </c>
    </row>
    <row r="1512" customFormat="false" ht="15" hidden="false" customHeight="false" outlineLevel="0" collapsed="false">
      <c r="A1512" s="0" t="n">
        <v>17</v>
      </c>
      <c r="B1512" s="0" t="s">
        <v>64</v>
      </c>
      <c r="C1512" s="0" t="n">
        <v>2011</v>
      </c>
      <c r="D1512" s="0" t="n">
        <v>7</v>
      </c>
      <c r="E1512" s="38" t="n">
        <v>10416.58</v>
      </c>
    </row>
    <row r="1513" customFormat="false" ht="15" hidden="false" customHeight="false" outlineLevel="0" collapsed="false">
      <c r="A1513" s="0" t="n">
        <v>17</v>
      </c>
      <c r="B1513" s="0" t="s">
        <v>64</v>
      </c>
      <c r="C1513" s="0" t="n">
        <v>2011</v>
      </c>
      <c r="D1513" s="0" t="n">
        <v>8</v>
      </c>
      <c r="E1513" s="38" t="n">
        <v>10592.62</v>
      </c>
    </row>
    <row r="1514" customFormat="false" ht="15" hidden="false" customHeight="false" outlineLevel="0" collapsed="false">
      <c r="A1514" s="0" t="n">
        <v>17</v>
      </c>
      <c r="B1514" s="0" t="s">
        <v>64</v>
      </c>
      <c r="C1514" s="0" t="n">
        <v>2011</v>
      </c>
      <c r="D1514" s="0" t="n">
        <v>9</v>
      </c>
      <c r="E1514" s="38" t="n">
        <v>12675.66</v>
      </c>
    </row>
    <row r="1515" customFormat="false" ht="15" hidden="false" customHeight="false" outlineLevel="0" collapsed="false">
      <c r="A1515" s="0" t="n">
        <v>17</v>
      </c>
      <c r="B1515" s="0" t="s">
        <v>64</v>
      </c>
      <c r="C1515" s="0" t="n">
        <v>2011</v>
      </c>
      <c r="D1515" s="0" t="n">
        <v>10</v>
      </c>
      <c r="E1515" s="38" t="n">
        <v>13426.86</v>
      </c>
    </row>
    <row r="1516" customFormat="false" ht="15" hidden="false" customHeight="false" outlineLevel="0" collapsed="false">
      <c r="A1516" s="0" t="n">
        <v>17</v>
      </c>
      <c r="B1516" s="0" t="s">
        <v>64</v>
      </c>
      <c r="C1516" s="0" t="n">
        <v>2011</v>
      </c>
      <c r="D1516" s="0" t="n">
        <v>11</v>
      </c>
      <c r="E1516" s="38" t="n">
        <v>16586.11</v>
      </c>
    </row>
    <row r="1517" customFormat="false" ht="15" hidden="false" customHeight="false" outlineLevel="0" collapsed="false">
      <c r="A1517" s="0" t="n">
        <v>17</v>
      </c>
      <c r="B1517" s="0" t="s">
        <v>64</v>
      </c>
      <c r="C1517" s="0" t="n">
        <v>2011</v>
      </c>
      <c r="D1517" s="0" t="n">
        <v>12</v>
      </c>
      <c r="E1517" s="38" t="n">
        <v>10748.14</v>
      </c>
    </row>
    <row r="1518" customFormat="false" ht="15" hidden="false" customHeight="false" outlineLevel="0" collapsed="false">
      <c r="A1518" s="0" t="n">
        <v>17</v>
      </c>
      <c r="B1518" s="0" t="s">
        <v>64</v>
      </c>
      <c r="C1518" s="0" t="n">
        <v>2012</v>
      </c>
      <c r="D1518" s="0" t="n">
        <v>1</v>
      </c>
      <c r="E1518" s="38" t="n">
        <v>12164.26</v>
      </c>
    </row>
    <row r="1519" customFormat="false" ht="15" hidden="false" customHeight="false" outlineLevel="0" collapsed="false">
      <c r="A1519" s="0" t="n">
        <v>17</v>
      </c>
      <c r="B1519" s="0" t="s">
        <v>64</v>
      </c>
      <c r="C1519" s="0" t="n">
        <v>2012</v>
      </c>
      <c r="D1519" s="0" t="n">
        <v>2</v>
      </c>
      <c r="E1519" s="38" t="n">
        <v>10854.84</v>
      </c>
    </row>
    <row r="1520" customFormat="false" ht="15" hidden="false" customHeight="false" outlineLevel="0" collapsed="false">
      <c r="A1520" s="0" t="n">
        <v>17</v>
      </c>
      <c r="B1520" s="0" t="s">
        <v>64</v>
      </c>
      <c r="C1520" s="0" t="n">
        <v>2012</v>
      </c>
      <c r="D1520" s="0" t="n">
        <v>3</v>
      </c>
      <c r="E1520" s="38" t="n">
        <v>8932.26</v>
      </c>
    </row>
    <row r="1521" customFormat="false" ht="15" hidden="false" customHeight="false" outlineLevel="0" collapsed="false">
      <c r="A1521" s="0" t="n">
        <v>17</v>
      </c>
      <c r="B1521" s="0" t="s">
        <v>64</v>
      </c>
      <c r="C1521" s="0" t="n">
        <v>2012</v>
      </c>
      <c r="D1521" s="0" t="n">
        <v>4</v>
      </c>
      <c r="E1521" s="38" t="n">
        <v>9092.35</v>
      </c>
    </row>
    <row r="1522" customFormat="false" ht="15" hidden="false" customHeight="false" outlineLevel="0" collapsed="false">
      <c r="A1522" s="0" t="n">
        <v>17</v>
      </c>
      <c r="B1522" s="0" t="s">
        <v>64</v>
      </c>
      <c r="C1522" s="0" t="n">
        <v>2012</v>
      </c>
      <c r="D1522" s="0" t="n">
        <v>5</v>
      </c>
      <c r="E1522" s="38" t="n">
        <v>7878.91</v>
      </c>
    </row>
    <row r="1523" customFormat="false" ht="15" hidden="false" customHeight="false" outlineLevel="0" collapsed="false">
      <c r="A1523" s="0" t="n">
        <v>17</v>
      </c>
      <c r="B1523" s="0" t="s">
        <v>64</v>
      </c>
      <c r="C1523" s="0" t="n">
        <v>2012</v>
      </c>
      <c r="D1523" s="0" t="n">
        <v>6</v>
      </c>
      <c r="E1523" s="38" t="n">
        <v>8094.65</v>
      </c>
    </row>
    <row r="1524" customFormat="false" ht="15" hidden="false" customHeight="false" outlineLevel="0" collapsed="false">
      <c r="A1524" s="0" t="n">
        <v>17</v>
      </c>
      <c r="B1524" s="0" t="s">
        <v>64</v>
      </c>
      <c r="C1524" s="0" t="n">
        <v>2012</v>
      </c>
      <c r="D1524" s="0" t="n">
        <v>7</v>
      </c>
      <c r="E1524" s="38" t="n">
        <v>10478.21</v>
      </c>
    </row>
    <row r="1525" customFormat="false" ht="15" hidden="false" customHeight="false" outlineLevel="0" collapsed="false">
      <c r="A1525" s="0" t="n">
        <v>17</v>
      </c>
      <c r="B1525" s="0" t="s">
        <v>64</v>
      </c>
      <c r="C1525" s="0" t="n">
        <v>2012</v>
      </c>
      <c r="D1525" s="0" t="n">
        <v>8</v>
      </c>
      <c r="E1525" s="38" t="n">
        <v>8768.52</v>
      </c>
    </row>
    <row r="1526" customFormat="false" ht="15" hidden="false" customHeight="false" outlineLevel="0" collapsed="false">
      <c r="A1526" s="0" t="n">
        <v>17</v>
      </c>
      <c r="B1526" s="0" t="s">
        <v>64</v>
      </c>
      <c r="C1526" s="0" t="n">
        <v>2012</v>
      </c>
      <c r="D1526" s="0" t="n">
        <v>9</v>
      </c>
      <c r="E1526" s="38" t="n">
        <v>8726.47</v>
      </c>
    </row>
    <row r="1527" customFormat="false" ht="15" hidden="false" customHeight="false" outlineLevel="0" collapsed="false">
      <c r="A1527" s="0" t="n">
        <v>17</v>
      </c>
      <c r="B1527" s="0" t="s">
        <v>64</v>
      </c>
      <c r="C1527" s="0" t="n">
        <v>2012</v>
      </c>
      <c r="D1527" s="0" t="n">
        <v>10</v>
      </c>
      <c r="E1527" s="38" t="n">
        <v>11066.13</v>
      </c>
    </row>
    <row r="1528" customFormat="false" ht="15" hidden="false" customHeight="false" outlineLevel="0" collapsed="false">
      <c r="A1528" s="0" t="n">
        <v>17</v>
      </c>
      <c r="B1528" s="0" t="s">
        <v>64</v>
      </c>
      <c r="C1528" s="0" t="n">
        <v>2012</v>
      </c>
      <c r="D1528" s="0" t="n">
        <v>11</v>
      </c>
      <c r="E1528" s="38" t="n">
        <v>11562.63</v>
      </c>
    </row>
    <row r="1529" customFormat="false" ht="15" hidden="false" customHeight="false" outlineLevel="0" collapsed="false">
      <c r="A1529" s="0" t="n">
        <v>17</v>
      </c>
      <c r="B1529" s="0" t="s">
        <v>64</v>
      </c>
      <c r="C1529" s="0" t="n">
        <v>2012</v>
      </c>
      <c r="D1529" s="0" t="n">
        <v>12</v>
      </c>
      <c r="E1529" s="38" t="n">
        <v>7715.94</v>
      </c>
    </row>
    <row r="1530" customFormat="false" ht="15" hidden="false" customHeight="false" outlineLevel="0" collapsed="false">
      <c r="A1530" s="0" t="n">
        <v>17</v>
      </c>
      <c r="B1530" s="0" t="s">
        <v>64</v>
      </c>
      <c r="C1530" s="0" t="n">
        <v>2013</v>
      </c>
      <c r="D1530" s="0" t="n">
        <v>1</v>
      </c>
      <c r="E1530" s="38" t="n">
        <v>9952.48</v>
      </c>
    </row>
    <row r="1531" customFormat="false" ht="15" hidden="false" customHeight="false" outlineLevel="0" collapsed="false">
      <c r="A1531" s="0" t="n">
        <v>17</v>
      </c>
      <c r="B1531" s="0" t="s">
        <v>64</v>
      </c>
      <c r="C1531" s="0" t="n">
        <v>2013</v>
      </c>
      <c r="D1531" s="0" t="n">
        <v>2</v>
      </c>
      <c r="E1531" s="38" t="n">
        <v>11569</v>
      </c>
    </row>
    <row r="1532" customFormat="false" ht="15" hidden="false" customHeight="false" outlineLevel="0" collapsed="false">
      <c r="A1532" s="0" t="n">
        <v>17</v>
      </c>
      <c r="B1532" s="0" t="s">
        <v>64</v>
      </c>
      <c r="C1532" s="0" t="n">
        <v>2013</v>
      </c>
      <c r="D1532" s="0" t="n">
        <v>3</v>
      </c>
      <c r="E1532" s="38" t="n">
        <v>9446.97</v>
      </c>
    </row>
    <row r="1533" customFormat="false" ht="15" hidden="false" customHeight="false" outlineLevel="0" collapsed="false">
      <c r="A1533" s="0" t="n">
        <v>17</v>
      </c>
      <c r="B1533" s="0" t="s">
        <v>64</v>
      </c>
      <c r="C1533" s="0" t="n">
        <v>2013</v>
      </c>
      <c r="D1533" s="0" t="n">
        <v>4</v>
      </c>
      <c r="E1533" s="38" t="n">
        <v>9797.22</v>
      </c>
    </row>
    <row r="1534" customFormat="false" ht="15" hidden="false" customHeight="false" outlineLevel="0" collapsed="false">
      <c r="A1534" s="0" t="n">
        <v>17</v>
      </c>
      <c r="B1534" s="0" t="s">
        <v>64</v>
      </c>
      <c r="C1534" s="0" t="n">
        <v>2013</v>
      </c>
      <c r="D1534" s="0" t="n">
        <v>5</v>
      </c>
      <c r="E1534" s="38" t="n">
        <v>7552.52</v>
      </c>
    </row>
    <row r="1535" customFormat="false" ht="15" hidden="false" customHeight="false" outlineLevel="0" collapsed="false">
      <c r="A1535" s="0" t="n">
        <v>17</v>
      </c>
      <c r="B1535" s="0" t="s">
        <v>64</v>
      </c>
      <c r="C1535" s="0" t="n">
        <v>2013</v>
      </c>
      <c r="D1535" s="0" t="n">
        <v>6</v>
      </c>
      <c r="E1535" s="38" t="n">
        <v>8399.04</v>
      </c>
    </row>
    <row r="1536" customFormat="false" ht="15" hidden="false" customHeight="false" outlineLevel="0" collapsed="false">
      <c r="A1536" s="0" t="n">
        <v>17</v>
      </c>
      <c r="B1536" s="0" t="s">
        <v>64</v>
      </c>
      <c r="C1536" s="0" t="n">
        <v>2013</v>
      </c>
      <c r="D1536" s="0" t="n">
        <v>7</v>
      </c>
      <c r="E1536" s="38" t="n">
        <v>8710.98</v>
      </c>
    </row>
    <row r="1537" customFormat="false" ht="15" hidden="false" customHeight="false" outlineLevel="0" collapsed="false">
      <c r="A1537" s="0" t="n">
        <v>17</v>
      </c>
      <c r="B1537" s="0" t="s">
        <v>64</v>
      </c>
      <c r="C1537" s="0" t="n">
        <v>2013</v>
      </c>
      <c r="D1537" s="0" t="n">
        <v>8</v>
      </c>
      <c r="E1537" s="38" t="n">
        <v>9329.85</v>
      </c>
    </row>
    <row r="1538" customFormat="false" ht="15" hidden="false" customHeight="false" outlineLevel="0" collapsed="false">
      <c r="A1538" s="0" t="n">
        <v>18</v>
      </c>
      <c r="B1538" s="0" t="s">
        <v>60</v>
      </c>
      <c r="C1538" s="0" t="n">
        <v>2011</v>
      </c>
      <c r="D1538" s="0" t="n">
        <v>1</v>
      </c>
      <c r="E1538" s="38" t="n">
        <v>664185.26</v>
      </c>
    </row>
    <row r="1539" customFormat="false" ht="15" hidden="false" customHeight="false" outlineLevel="0" collapsed="false">
      <c r="A1539" s="0" t="n">
        <v>18</v>
      </c>
      <c r="B1539" s="0" t="s">
        <v>60</v>
      </c>
      <c r="C1539" s="0" t="n">
        <v>2011</v>
      </c>
      <c r="D1539" s="0" t="n">
        <v>2</v>
      </c>
      <c r="E1539" s="38" t="n">
        <v>514556.75</v>
      </c>
    </row>
    <row r="1540" customFormat="false" ht="15" hidden="false" customHeight="false" outlineLevel="0" collapsed="false">
      <c r="A1540" s="0" t="n">
        <v>18</v>
      </c>
      <c r="B1540" s="0" t="s">
        <v>60</v>
      </c>
      <c r="C1540" s="0" t="n">
        <v>2011</v>
      </c>
      <c r="D1540" s="0" t="n">
        <v>3</v>
      </c>
      <c r="E1540" s="38" t="n">
        <v>332221.79</v>
      </c>
    </row>
    <row r="1541" customFormat="false" ht="15" hidden="false" customHeight="false" outlineLevel="0" collapsed="false">
      <c r="A1541" s="0" t="n">
        <v>18</v>
      </c>
      <c r="B1541" s="0" t="s">
        <v>60</v>
      </c>
      <c r="C1541" s="0" t="n">
        <v>2011</v>
      </c>
      <c r="D1541" s="0" t="n">
        <v>4</v>
      </c>
      <c r="E1541" s="38" t="n">
        <v>210.78</v>
      </c>
    </row>
    <row r="1542" customFormat="false" ht="15" hidden="false" customHeight="false" outlineLevel="0" collapsed="false">
      <c r="A1542" s="0" t="n">
        <v>18</v>
      </c>
      <c r="B1542" s="0" t="s">
        <v>60</v>
      </c>
      <c r="C1542" s="0" t="n">
        <v>2011</v>
      </c>
      <c r="D1542" s="0" t="n">
        <v>5</v>
      </c>
      <c r="E1542" s="38" t="n">
        <v>59.78</v>
      </c>
    </row>
    <row r="1543" customFormat="false" ht="15" hidden="false" customHeight="false" outlineLevel="0" collapsed="false">
      <c r="A1543" s="0" t="n">
        <v>18</v>
      </c>
      <c r="B1543" s="0" t="s">
        <v>60</v>
      </c>
      <c r="C1543" s="0" t="n">
        <v>2011</v>
      </c>
      <c r="D1543" s="0" t="n">
        <v>6</v>
      </c>
      <c r="E1543" s="38" t="n">
        <v>95.39</v>
      </c>
    </row>
    <row r="1544" customFormat="false" ht="15" hidden="false" customHeight="false" outlineLevel="0" collapsed="false">
      <c r="A1544" s="0" t="n">
        <v>18</v>
      </c>
      <c r="B1544" s="0" t="s">
        <v>60</v>
      </c>
      <c r="C1544" s="0" t="n">
        <v>2011</v>
      </c>
      <c r="D1544" s="0" t="n">
        <v>7</v>
      </c>
      <c r="E1544" s="38" t="n">
        <v>1888.52</v>
      </c>
    </row>
    <row r="1545" customFormat="false" ht="15" hidden="false" customHeight="false" outlineLevel="0" collapsed="false">
      <c r="A1545" s="0" t="n">
        <v>18</v>
      </c>
      <c r="B1545" s="0" t="s">
        <v>60</v>
      </c>
      <c r="C1545" s="0" t="n">
        <v>2011</v>
      </c>
      <c r="D1545" s="0" t="n">
        <v>8</v>
      </c>
      <c r="E1545" s="38" t="n">
        <v>328822.41</v>
      </c>
    </row>
    <row r="1546" customFormat="false" ht="15" hidden="false" customHeight="false" outlineLevel="0" collapsed="false">
      <c r="A1546" s="0" t="n">
        <v>18</v>
      </c>
      <c r="B1546" s="0" t="s">
        <v>60</v>
      </c>
      <c r="C1546" s="0" t="n">
        <v>2011</v>
      </c>
      <c r="D1546" s="0" t="n">
        <v>9</v>
      </c>
      <c r="E1546" s="38" t="n">
        <v>1518408.91</v>
      </c>
    </row>
    <row r="1547" customFormat="false" ht="15" hidden="false" customHeight="false" outlineLevel="0" collapsed="false">
      <c r="A1547" s="0" t="n">
        <v>18</v>
      </c>
      <c r="B1547" s="0" t="s">
        <v>60</v>
      </c>
      <c r="C1547" s="0" t="n">
        <v>2011</v>
      </c>
      <c r="D1547" s="0" t="n">
        <v>10</v>
      </c>
      <c r="E1547" s="38" t="n">
        <v>2401660.51</v>
      </c>
    </row>
    <row r="1548" customFormat="false" ht="15" hidden="false" customHeight="false" outlineLevel="0" collapsed="false">
      <c r="A1548" s="0" t="n">
        <v>18</v>
      </c>
      <c r="B1548" s="0" t="s">
        <v>60</v>
      </c>
      <c r="C1548" s="0" t="n">
        <v>2011</v>
      </c>
      <c r="D1548" s="0" t="n">
        <v>11</v>
      </c>
      <c r="E1548" s="38" t="n">
        <v>3767782.17</v>
      </c>
    </row>
    <row r="1549" customFormat="false" ht="15" hidden="false" customHeight="false" outlineLevel="0" collapsed="false">
      <c r="A1549" s="0" t="n">
        <v>18</v>
      </c>
      <c r="B1549" s="0" t="s">
        <v>60</v>
      </c>
      <c r="C1549" s="0" t="n">
        <v>2011</v>
      </c>
      <c r="D1549" s="0" t="n">
        <v>12</v>
      </c>
      <c r="E1549" s="38" t="n">
        <v>298708.06</v>
      </c>
    </row>
    <row r="1550" customFormat="false" ht="15" hidden="false" customHeight="false" outlineLevel="0" collapsed="false">
      <c r="A1550" s="0" t="n">
        <v>18</v>
      </c>
      <c r="B1550" s="0" t="s">
        <v>60</v>
      </c>
      <c r="C1550" s="0" t="n">
        <v>2012</v>
      </c>
      <c r="D1550" s="0" t="n">
        <v>1</v>
      </c>
      <c r="E1550" s="38" t="n">
        <v>630866.27</v>
      </c>
    </row>
    <row r="1551" customFormat="false" ht="15" hidden="false" customHeight="false" outlineLevel="0" collapsed="false">
      <c r="A1551" s="0" t="n">
        <v>18</v>
      </c>
      <c r="B1551" s="0" t="s">
        <v>60</v>
      </c>
      <c r="C1551" s="0" t="n">
        <v>2012</v>
      </c>
      <c r="D1551" s="0" t="n">
        <v>2</v>
      </c>
      <c r="E1551" s="38" t="n">
        <v>120744.2</v>
      </c>
    </row>
    <row r="1552" customFormat="false" ht="15" hidden="false" customHeight="false" outlineLevel="0" collapsed="false">
      <c r="A1552" s="0" t="n">
        <v>18</v>
      </c>
      <c r="B1552" s="0" t="s">
        <v>60</v>
      </c>
      <c r="C1552" s="0" t="n">
        <v>2012</v>
      </c>
      <c r="D1552" s="0" t="n">
        <v>3</v>
      </c>
      <c r="E1552" s="38" t="n">
        <v>735199.85</v>
      </c>
    </row>
    <row r="1553" customFormat="false" ht="15" hidden="false" customHeight="false" outlineLevel="0" collapsed="false">
      <c r="A1553" s="0" t="n">
        <v>18</v>
      </c>
      <c r="B1553" s="0" t="s">
        <v>60</v>
      </c>
      <c r="C1553" s="0" t="n">
        <v>2012</v>
      </c>
      <c r="D1553" s="0" t="n">
        <v>4</v>
      </c>
      <c r="E1553" s="38" t="n">
        <v>16561.6</v>
      </c>
    </row>
    <row r="1554" customFormat="false" ht="15" hidden="false" customHeight="false" outlineLevel="0" collapsed="false">
      <c r="A1554" s="0" t="n">
        <v>18</v>
      </c>
      <c r="B1554" s="0" t="s">
        <v>60</v>
      </c>
      <c r="C1554" s="0" t="n">
        <v>2012</v>
      </c>
      <c r="D1554" s="0" t="n">
        <v>5</v>
      </c>
      <c r="E1554" s="38" t="n">
        <v>10.23</v>
      </c>
    </row>
    <row r="1555" customFormat="false" ht="15" hidden="false" customHeight="false" outlineLevel="0" collapsed="false">
      <c r="A1555" s="0" t="n">
        <v>18</v>
      </c>
      <c r="B1555" s="0" t="s">
        <v>60</v>
      </c>
      <c r="C1555" s="0" t="n">
        <v>2012</v>
      </c>
      <c r="D1555" s="0" t="n">
        <v>6</v>
      </c>
      <c r="E1555" s="38" t="n">
        <v>40.46</v>
      </c>
    </row>
    <row r="1556" customFormat="false" ht="15" hidden="false" customHeight="false" outlineLevel="0" collapsed="false">
      <c r="A1556" s="0" t="n">
        <v>18</v>
      </c>
      <c r="B1556" s="0" t="s">
        <v>60</v>
      </c>
      <c r="C1556" s="0" t="n">
        <v>2012</v>
      </c>
      <c r="D1556" s="0" t="n">
        <v>7</v>
      </c>
      <c r="E1556" s="38" t="n">
        <v>2926.96</v>
      </c>
    </row>
    <row r="1557" customFormat="false" ht="15" hidden="false" customHeight="false" outlineLevel="0" collapsed="false">
      <c r="A1557" s="0" t="n">
        <v>18</v>
      </c>
      <c r="B1557" s="0" t="s">
        <v>60</v>
      </c>
      <c r="C1557" s="0" t="n">
        <v>2012</v>
      </c>
      <c r="D1557" s="0" t="n">
        <v>8</v>
      </c>
      <c r="E1557" s="38" t="n">
        <v>334485.49</v>
      </c>
    </row>
    <row r="1558" customFormat="false" ht="15" hidden="false" customHeight="false" outlineLevel="0" collapsed="false">
      <c r="A1558" s="0" t="n">
        <v>18</v>
      </c>
      <c r="B1558" s="0" t="s">
        <v>60</v>
      </c>
      <c r="C1558" s="0" t="n">
        <v>2012</v>
      </c>
      <c r="D1558" s="0" t="n">
        <v>9</v>
      </c>
      <c r="E1558" s="38" t="n">
        <v>1532419.91</v>
      </c>
    </row>
    <row r="1559" customFormat="false" ht="15" hidden="false" customHeight="false" outlineLevel="0" collapsed="false">
      <c r="A1559" s="0" t="n">
        <v>18</v>
      </c>
      <c r="B1559" s="0" t="s">
        <v>60</v>
      </c>
      <c r="C1559" s="0" t="n">
        <v>2012</v>
      </c>
      <c r="D1559" s="0" t="n">
        <v>10</v>
      </c>
      <c r="E1559" s="38" t="n">
        <v>2571230.19</v>
      </c>
    </row>
    <row r="1560" customFormat="false" ht="15" hidden="false" customHeight="false" outlineLevel="0" collapsed="false">
      <c r="A1560" s="0" t="n">
        <v>18</v>
      </c>
      <c r="B1560" s="0" t="s">
        <v>60</v>
      </c>
      <c r="C1560" s="0" t="n">
        <v>2012</v>
      </c>
      <c r="D1560" s="0" t="n">
        <v>11</v>
      </c>
      <c r="E1560" s="38" t="n">
        <v>3616035.44</v>
      </c>
    </row>
    <row r="1561" customFormat="false" ht="15" hidden="false" customHeight="false" outlineLevel="0" collapsed="false">
      <c r="A1561" s="0" t="n">
        <v>18</v>
      </c>
      <c r="B1561" s="0" t="s">
        <v>60</v>
      </c>
      <c r="C1561" s="0" t="n">
        <v>2012</v>
      </c>
      <c r="D1561" s="0" t="n">
        <v>12</v>
      </c>
      <c r="E1561" s="38" t="n">
        <v>316050.17</v>
      </c>
    </row>
    <row r="1562" customFormat="false" ht="15" hidden="false" customHeight="false" outlineLevel="0" collapsed="false">
      <c r="A1562" s="0" t="n">
        <v>18</v>
      </c>
      <c r="B1562" s="0" t="s">
        <v>60</v>
      </c>
      <c r="C1562" s="0" t="n">
        <v>2013</v>
      </c>
      <c r="D1562" s="0" t="n">
        <v>1</v>
      </c>
      <c r="E1562" s="38" t="n">
        <v>664722.6</v>
      </c>
    </row>
    <row r="1563" customFormat="false" ht="15" hidden="false" customHeight="false" outlineLevel="0" collapsed="false">
      <c r="A1563" s="0" t="n">
        <v>18</v>
      </c>
      <c r="B1563" s="0" t="s">
        <v>60</v>
      </c>
      <c r="C1563" s="0" t="n">
        <v>2013</v>
      </c>
      <c r="D1563" s="0" t="n">
        <v>2</v>
      </c>
      <c r="E1563" s="38" t="n">
        <v>346804.75</v>
      </c>
    </row>
    <row r="1564" customFormat="false" ht="15" hidden="false" customHeight="false" outlineLevel="0" collapsed="false">
      <c r="A1564" s="0" t="n">
        <v>18</v>
      </c>
      <c r="B1564" s="0" t="s">
        <v>60</v>
      </c>
      <c r="C1564" s="0" t="n">
        <v>2013</v>
      </c>
      <c r="D1564" s="0" t="n">
        <v>3</v>
      </c>
      <c r="E1564" s="38" t="n">
        <v>515414.71</v>
      </c>
    </row>
    <row r="1565" customFormat="false" ht="15" hidden="false" customHeight="false" outlineLevel="0" collapsed="false">
      <c r="A1565" s="0" t="n">
        <v>18</v>
      </c>
      <c r="B1565" s="0" t="s">
        <v>60</v>
      </c>
      <c r="C1565" s="0" t="n">
        <v>2013</v>
      </c>
      <c r="D1565" s="0" t="n">
        <v>4</v>
      </c>
      <c r="E1565" s="38" t="n">
        <v>364</v>
      </c>
    </row>
    <row r="1566" customFormat="false" ht="15" hidden="false" customHeight="false" outlineLevel="0" collapsed="false">
      <c r="A1566" s="0" t="n">
        <v>18</v>
      </c>
      <c r="B1566" s="0" t="s">
        <v>60</v>
      </c>
      <c r="C1566" s="0" t="n">
        <v>2013</v>
      </c>
      <c r="D1566" s="0" t="n">
        <v>5</v>
      </c>
      <c r="E1566" s="38" t="n">
        <v>91.95</v>
      </c>
    </row>
    <row r="1567" customFormat="false" ht="15" hidden="false" customHeight="false" outlineLevel="0" collapsed="false">
      <c r="A1567" s="0" t="n">
        <v>18</v>
      </c>
      <c r="B1567" s="0" t="s">
        <v>60</v>
      </c>
      <c r="C1567" s="0" t="n">
        <v>2013</v>
      </c>
      <c r="D1567" s="0" t="n">
        <v>6</v>
      </c>
      <c r="E1567" s="38" t="n">
        <v>308.74</v>
      </c>
    </row>
    <row r="1568" customFormat="false" ht="15" hidden="false" customHeight="false" outlineLevel="0" collapsed="false">
      <c r="A1568" s="0" t="n">
        <v>18</v>
      </c>
      <c r="B1568" s="0" t="s">
        <v>60</v>
      </c>
      <c r="C1568" s="0" t="n">
        <v>2013</v>
      </c>
      <c r="D1568" s="0" t="n">
        <v>7</v>
      </c>
      <c r="E1568" s="38" t="n">
        <v>11724.03</v>
      </c>
    </row>
    <row r="1569" customFormat="false" ht="15" hidden="false" customHeight="false" outlineLevel="0" collapsed="false">
      <c r="A1569" s="0" t="n">
        <v>18</v>
      </c>
      <c r="B1569" s="0" t="s">
        <v>60</v>
      </c>
      <c r="C1569" s="0" t="n">
        <v>2013</v>
      </c>
      <c r="D1569" s="0" t="n">
        <v>8</v>
      </c>
      <c r="E1569" s="38" t="n">
        <v>443820.25</v>
      </c>
    </row>
    <row r="1570" customFormat="false" ht="15" hidden="false" customHeight="false" outlineLevel="0" collapsed="false">
      <c r="A1570" s="0" t="n">
        <v>18</v>
      </c>
      <c r="B1570" s="0" t="s">
        <v>62</v>
      </c>
      <c r="C1570" s="0" t="n">
        <v>2011</v>
      </c>
      <c r="D1570" s="0" t="n">
        <v>1</v>
      </c>
      <c r="E1570" s="38" t="n">
        <v>376673.83</v>
      </c>
    </row>
    <row r="1571" customFormat="false" ht="15" hidden="false" customHeight="false" outlineLevel="0" collapsed="false">
      <c r="A1571" s="0" t="n">
        <v>18</v>
      </c>
      <c r="B1571" s="0" t="s">
        <v>62</v>
      </c>
      <c r="C1571" s="0" t="n">
        <v>2011</v>
      </c>
      <c r="D1571" s="0" t="n">
        <v>2</v>
      </c>
      <c r="E1571" s="38" t="n">
        <v>301069.11</v>
      </c>
    </row>
    <row r="1572" customFormat="false" ht="15" hidden="false" customHeight="false" outlineLevel="0" collapsed="false">
      <c r="A1572" s="0" t="n">
        <v>18</v>
      </c>
      <c r="B1572" s="0" t="s">
        <v>62</v>
      </c>
      <c r="C1572" s="0" t="n">
        <v>2011</v>
      </c>
      <c r="D1572" s="0" t="n">
        <v>3</v>
      </c>
      <c r="E1572" s="38" t="n">
        <v>193142.34</v>
      </c>
    </row>
    <row r="1573" customFormat="false" ht="15" hidden="false" customHeight="false" outlineLevel="0" collapsed="false">
      <c r="A1573" s="0" t="n">
        <v>18</v>
      </c>
      <c r="B1573" s="0" t="s">
        <v>62</v>
      </c>
      <c r="C1573" s="0" t="n">
        <v>2011</v>
      </c>
      <c r="D1573" s="0" t="n">
        <v>4</v>
      </c>
      <c r="E1573" s="38" t="n">
        <v>18.83</v>
      </c>
    </row>
    <row r="1574" customFormat="false" ht="15" hidden="false" customHeight="false" outlineLevel="0" collapsed="false">
      <c r="A1574" s="0" t="n">
        <v>18</v>
      </c>
      <c r="B1574" s="0" t="s">
        <v>62</v>
      </c>
      <c r="C1574" s="0" t="n">
        <v>2011</v>
      </c>
      <c r="D1574" s="0" t="n">
        <v>5</v>
      </c>
      <c r="E1574" s="38" t="n">
        <v>-239.89</v>
      </c>
    </row>
    <row r="1575" customFormat="false" ht="15" hidden="false" customHeight="false" outlineLevel="0" collapsed="false">
      <c r="A1575" s="0" t="n">
        <v>18</v>
      </c>
      <c r="B1575" s="0" t="s">
        <v>62</v>
      </c>
      <c r="C1575" s="0" t="n">
        <v>2011</v>
      </c>
      <c r="D1575" s="0" t="n">
        <v>6</v>
      </c>
      <c r="E1575" s="38" t="n">
        <v>-103.85</v>
      </c>
    </row>
    <row r="1576" customFormat="false" ht="15" hidden="false" customHeight="false" outlineLevel="0" collapsed="false">
      <c r="A1576" s="0" t="n">
        <v>18</v>
      </c>
      <c r="B1576" s="0" t="s">
        <v>62</v>
      </c>
      <c r="C1576" s="0" t="n">
        <v>2011</v>
      </c>
      <c r="D1576" s="0" t="n">
        <v>7</v>
      </c>
      <c r="E1576" s="38" t="n">
        <v>1100.42</v>
      </c>
    </row>
    <row r="1577" customFormat="false" ht="15" hidden="false" customHeight="false" outlineLevel="0" collapsed="false">
      <c r="A1577" s="0" t="n">
        <v>18</v>
      </c>
      <c r="B1577" s="0" t="s">
        <v>62</v>
      </c>
      <c r="C1577" s="0" t="n">
        <v>2011</v>
      </c>
      <c r="D1577" s="0" t="n">
        <v>8</v>
      </c>
      <c r="E1577" s="38" t="n">
        <v>164689.57</v>
      </c>
    </row>
    <row r="1578" customFormat="false" ht="15" hidden="false" customHeight="false" outlineLevel="0" collapsed="false">
      <c r="A1578" s="0" t="n">
        <v>18</v>
      </c>
      <c r="B1578" s="0" t="s">
        <v>62</v>
      </c>
      <c r="C1578" s="0" t="n">
        <v>2011</v>
      </c>
      <c r="D1578" s="0" t="n">
        <v>9</v>
      </c>
      <c r="E1578" s="38" t="n">
        <v>869073.96</v>
      </c>
    </row>
    <row r="1579" customFormat="false" ht="15" hidden="false" customHeight="false" outlineLevel="0" collapsed="false">
      <c r="A1579" s="0" t="n">
        <v>18</v>
      </c>
      <c r="B1579" s="0" t="s">
        <v>62</v>
      </c>
      <c r="C1579" s="0" t="n">
        <v>2011</v>
      </c>
      <c r="D1579" s="0" t="n">
        <v>10</v>
      </c>
      <c r="E1579" s="38" t="n">
        <v>1447586.01</v>
      </c>
    </row>
    <row r="1580" customFormat="false" ht="15" hidden="false" customHeight="false" outlineLevel="0" collapsed="false">
      <c r="A1580" s="0" t="n">
        <v>18</v>
      </c>
      <c r="B1580" s="0" t="s">
        <v>62</v>
      </c>
      <c r="C1580" s="0" t="n">
        <v>2011</v>
      </c>
      <c r="D1580" s="0" t="n">
        <v>11</v>
      </c>
      <c r="E1580" s="38" t="n">
        <v>2515884.09</v>
      </c>
    </row>
    <row r="1581" customFormat="false" ht="15" hidden="false" customHeight="false" outlineLevel="0" collapsed="false">
      <c r="A1581" s="0" t="n">
        <v>18</v>
      </c>
      <c r="B1581" s="0" t="s">
        <v>62</v>
      </c>
      <c r="C1581" s="0" t="n">
        <v>2011</v>
      </c>
      <c r="D1581" s="0" t="n">
        <v>12</v>
      </c>
      <c r="E1581" s="38" t="n">
        <v>150007.69</v>
      </c>
    </row>
    <row r="1582" customFormat="false" ht="15" hidden="false" customHeight="false" outlineLevel="0" collapsed="false">
      <c r="A1582" s="0" t="n">
        <v>18</v>
      </c>
      <c r="B1582" s="0" t="s">
        <v>62</v>
      </c>
      <c r="C1582" s="0" t="n">
        <v>2012</v>
      </c>
      <c r="D1582" s="0" t="n">
        <v>1</v>
      </c>
      <c r="E1582" s="38" t="n">
        <v>321555.61</v>
      </c>
    </row>
    <row r="1583" customFormat="false" ht="15" hidden="false" customHeight="false" outlineLevel="0" collapsed="false">
      <c r="A1583" s="0" t="n">
        <v>18</v>
      </c>
      <c r="B1583" s="0" t="s">
        <v>62</v>
      </c>
      <c r="C1583" s="0" t="n">
        <v>2012</v>
      </c>
      <c r="D1583" s="0" t="n">
        <v>2</v>
      </c>
      <c r="E1583" s="38" t="n">
        <v>56315.56</v>
      </c>
    </row>
    <row r="1584" customFormat="false" ht="15" hidden="false" customHeight="false" outlineLevel="0" collapsed="false">
      <c r="A1584" s="0" t="n">
        <v>18</v>
      </c>
      <c r="B1584" s="0" t="s">
        <v>62</v>
      </c>
      <c r="C1584" s="0" t="n">
        <v>2012</v>
      </c>
      <c r="D1584" s="0" t="n">
        <v>3</v>
      </c>
      <c r="E1584" s="38" t="n">
        <v>373170.92</v>
      </c>
    </row>
    <row r="1585" customFormat="false" ht="15" hidden="false" customHeight="false" outlineLevel="0" collapsed="false">
      <c r="A1585" s="0" t="n">
        <v>18</v>
      </c>
      <c r="B1585" s="0" t="s">
        <v>62</v>
      </c>
      <c r="C1585" s="0" t="n">
        <v>2012</v>
      </c>
      <c r="D1585" s="0" t="n">
        <v>4</v>
      </c>
      <c r="E1585" s="38" t="n">
        <v>8544.73</v>
      </c>
    </row>
    <row r="1586" customFormat="false" ht="15" hidden="false" customHeight="false" outlineLevel="0" collapsed="false">
      <c r="A1586" s="0" t="n">
        <v>18</v>
      </c>
      <c r="B1586" s="0" t="s">
        <v>62</v>
      </c>
      <c r="C1586" s="0" t="n">
        <v>2012</v>
      </c>
      <c r="D1586" s="0" t="n">
        <v>5</v>
      </c>
      <c r="E1586" s="38" t="n">
        <v>358.37</v>
      </c>
    </row>
    <row r="1587" customFormat="false" ht="15" hidden="false" customHeight="false" outlineLevel="0" collapsed="false">
      <c r="A1587" s="0" t="n">
        <v>18</v>
      </c>
      <c r="B1587" s="0" t="s">
        <v>62</v>
      </c>
      <c r="C1587" s="0" t="n">
        <v>2012</v>
      </c>
      <c r="D1587" s="0" t="n">
        <v>6</v>
      </c>
      <c r="E1587" s="38" t="n">
        <v>11.75</v>
      </c>
    </row>
    <row r="1588" customFormat="false" ht="15" hidden="false" customHeight="false" outlineLevel="0" collapsed="false">
      <c r="A1588" s="0" t="n">
        <v>18</v>
      </c>
      <c r="B1588" s="0" t="s">
        <v>62</v>
      </c>
      <c r="C1588" s="0" t="n">
        <v>2012</v>
      </c>
      <c r="D1588" s="0" t="n">
        <v>7</v>
      </c>
      <c r="E1588" s="38" t="n">
        <v>415.37</v>
      </c>
    </row>
    <row r="1589" customFormat="false" ht="15" hidden="false" customHeight="false" outlineLevel="0" collapsed="false">
      <c r="A1589" s="0" t="n">
        <v>18</v>
      </c>
      <c r="B1589" s="0" t="s">
        <v>62</v>
      </c>
      <c r="C1589" s="0" t="n">
        <v>2012</v>
      </c>
      <c r="D1589" s="0" t="n">
        <v>8</v>
      </c>
      <c r="E1589" s="38" t="n">
        <v>166863.6</v>
      </c>
    </row>
    <row r="1590" customFormat="false" ht="15" hidden="false" customHeight="false" outlineLevel="0" collapsed="false">
      <c r="A1590" s="0" t="n">
        <v>18</v>
      </c>
      <c r="B1590" s="0" t="s">
        <v>62</v>
      </c>
      <c r="C1590" s="0" t="n">
        <v>2012</v>
      </c>
      <c r="D1590" s="0" t="n">
        <v>9</v>
      </c>
      <c r="E1590" s="38" t="n">
        <v>808802.83</v>
      </c>
    </row>
    <row r="1591" customFormat="false" ht="15" hidden="false" customHeight="false" outlineLevel="0" collapsed="false">
      <c r="A1591" s="0" t="n">
        <v>18</v>
      </c>
      <c r="B1591" s="0" t="s">
        <v>62</v>
      </c>
      <c r="C1591" s="0" t="n">
        <v>2012</v>
      </c>
      <c r="D1591" s="0" t="n">
        <v>10</v>
      </c>
      <c r="E1591" s="38" t="n">
        <v>1605303.48</v>
      </c>
    </row>
    <row r="1592" customFormat="false" ht="15" hidden="false" customHeight="false" outlineLevel="0" collapsed="false">
      <c r="A1592" s="0" t="n">
        <v>18</v>
      </c>
      <c r="B1592" s="0" t="s">
        <v>62</v>
      </c>
      <c r="C1592" s="0" t="n">
        <v>2012</v>
      </c>
      <c r="D1592" s="0" t="n">
        <v>11</v>
      </c>
      <c r="E1592" s="38" t="n">
        <v>2506641.45</v>
      </c>
    </row>
    <row r="1593" customFormat="false" ht="15" hidden="false" customHeight="false" outlineLevel="0" collapsed="false">
      <c r="A1593" s="0" t="n">
        <v>18</v>
      </c>
      <c r="B1593" s="0" t="s">
        <v>62</v>
      </c>
      <c r="C1593" s="0" t="n">
        <v>2012</v>
      </c>
      <c r="D1593" s="0" t="n">
        <v>12</v>
      </c>
      <c r="E1593" s="38" t="n">
        <v>179529.01</v>
      </c>
    </row>
    <row r="1594" customFormat="false" ht="15" hidden="false" customHeight="false" outlineLevel="0" collapsed="false">
      <c r="A1594" s="0" t="n">
        <v>18</v>
      </c>
      <c r="B1594" s="0" t="s">
        <v>62</v>
      </c>
      <c r="C1594" s="0" t="n">
        <v>2013</v>
      </c>
      <c r="D1594" s="0" t="n">
        <v>1</v>
      </c>
      <c r="E1594" s="38" t="n">
        <v>337994.03</v>
      </c>
    </row>
    <row r="1595" customFormat="false" ht="15" hidden="false" customHeight="false" outlineLevel="0" collapsed="false">
      <c r="A1595" s="0" t="n">
        <v>18</v>
      </c>
      <c r="B1595" s="0" t="s">
        <v>62</v>
      </c>
      <c r="C1595" s="0" t="n">
        <v>2013</v>
      </c>
      <c r="D1595" s="0" t="n">
        <v>2</v>
      </c>
      <c r="E1595" s="38" t="n">
        <v>165065.66</v>
      </c>
    </row>
    <row r="1596" customFormat="false" ht="15" hidden="false" customHeight="false" outlineLevel="0" collapsed="false">
      <c r="A1596" s="0" t="n">
        <v>18</v>
      </c>
      <c r="B1596" s="0" t="s">
        <v>62</v>
      </c>
      <c r="C1596" s="0" t="n">
        <v>2013</v>
      </c>
      <c r="D1596" s="0" t="n">
        <v>3</v>
      </c>
      <c r="E1596" s="38" t="n">
        <v>223729.04</v>
      </c>
    </row>
    <row r="1597" customFormat="false" ht="15" hidden="false" customHeight="false" outlineLevel="0" collapsed="false">
      <c r="A1597" s="0" t="n">
        <v>18</v>
      </c>
      <c r="B1597" s="0" t="s">
        <v>62</v>
      </c>
      <c r="C1597" s="0" t="n">
        <v>2013</v>
      </c>
      <c r="D1597" s="0" t="n">
        <v>4</v>
      </c>
      <c r="E1597" s="38" t="n">
        <v>97</v>
      </c>
    </row>
    <row r="1598" customFormat="false" ht="15" hidden="false" customHeight="false" outlineLevel="0" collapsed="false">
      <c r="A1598" s="0" t="n">
        <v>18</v>
      </c>
      <c r="B1598" s="0" t="s">
        <v>62</v>
      </c>
      <c r="C1598" s="0" t="n">
        <v>2013</v>
      </c>
      <c r="D1598" s="0" t="n">
        <v>5</v>
      </c>
      <c r="E1598" s="38" t="n">
        <v>8.97</v>
      </c>
    </row>
    <row r="1599" customFormat="false" ht="15" hidden="false" customHeight="false" outlineLevel="0" collapsed="false">
      <c r="A1599" s="0" t="n">
        <v>18</v>
      </c>
      <c r="B1599" s="0" t="s">
        <v>62</v>
      </c>
      <c r="C1599" s="0" t="n">
        <v>2013</v>
      </c>
      <c r="D1599" s="0" t="n">
        <v>6</v>
      </c>
      <c r="E1599" s="38" t="n">
        <v>273.4</v>
      </c>
    </row>
    <row r="1600" customFormat="false" ht="15" hidden="false" customHeight="false" outlineLevel="0" collapsed="false">
      <c r="A1600" s="0" t="n">
        <v>18</v>
      </c>
      <c r="B1600" s="0" t="s">
        <v>62</v>
      </c>
      <c r="C1600" s="0" t="n">
        <v>2013</v>
      </c>
      <c r="D1600" s="0" t="n">
        <v>7</v>
      </c>
      <c r="E1600" s="38" t="n">
        <v>6176.09</v>
      </c>
    </row>
    <row r="1601" customFormat="false" ht="15" hidden="false" customHeight="false" outlineLevel="0" collapsed="false">
      <c r="A1601" s="0" t="n">
        <v>18</v>
      </c>
      <c r="B1601" s="0" t="s">
        <v>62</v>
      </c>
      <c r="C1601" s="0" t="n">
        <v>2013</v>
      </c>
      <c r="D1601" s="0" t="n">
        <v>8</v>
      </c>
      <c r="E1601" s="38" t="n">
        <v>191833.57</v>
      </c>
    </row>
    <row r="1602" customFormat="false" ht="15" hidden="false" customHeight="false" outlineLevel="0" collapsed="false">
      <c r="A1602" s="0" t="n">
        <v>18</v>
      </c>
      <c r="B1602" s="0" t="s">
        <v>64</v>
      </c>
      <c r="C1602" s="0" t="n">
        <v>2011</v>
      </c>
      <c r="D1602" s="0" t="n">
        <v>1</v>
      </c>
      <c r="E1602" s="38" t="n">
        <v>19982.72</v>
      </c>
    </row>
    <row r="1603" customFormat="false" ht="15" hidden="false" customHeight="false" outlineLevel="0" collapsed="false">
      <c r="A1603" s="0" t="n">
        <v>18</v>
      </c>
      <c r="B1603" s="0" t="s">
        <v>64</v>
      </c>
      <c r="C1603" s="0" t="n">
        <v>2011</v>
      </c>
      <c r="D1603" s="0" t="n">
        <v>2</v>
      </c>
      <c r="E1603" s="38" t="n">
        <v>18849.43</v>
      </c>
    </row>
    <row r="1604" customFormat="false" ht="15" hidden="false" customHeight="false" outlineLevel="0" collapsed="false">
      <c r="A1604" s="0" t="n">
        <v>18</v>
      </c>
      <c r="B1604" s="0" t="s">
        <v>64</v>
      </c>
      <c r="C1604" s="0" t="n">
        <v>2011</v>
      </c>
      <c r="D1604" s="0" t="n">
        <v>3</v>
      </c>
      <c r="E1604" s="38" t="n">
        <v>9744.46</v>
      </c>
    </row>
    <row r="1605" customFormat="false" ht="15" hidden="false" customHeight="false" outlineLevel="0" collapsed="false">
      <c r="A1605" s="0" t="n">
        <v>18</v>
      </c>
      <c r="B1605" s="0" t="s">
        <v>64</v>
      </c>
      <c r="C1605" s="0" t="n">
        <v>2011</v>
      </c>
      <c r="D1605" s="0" t="n">
        <v>4</v>
      </c>
      <c r="E1605" s="38" t="n">
        <v>7.2</v>
      </c>
    </row>
    <row r="1606" customFormat="false" ht="15" hidden="false" customHeight="false" outlineLevel="0" collapsed="false">
      <c r="A1606" s="0" t="n">
        <v>18</v>
      </c>
      <c r="B1606" s="0" t="s">
        <v>64</v>
      </c>
      <c r="C1606" s="0" t="n">
        <v>2011</v>
      </c>
      <c r="D1606" s="0" t="n">
        <v>5</v>
      </c>
      <c r="E1606" s="38" t="n">
        <v>2</v>
      </c>
    </row>
    <row r="1607" customFormat="false" ht="15" hidden="false" customHeight="false" outlineLevel="0" collapsed="false">
      <c r="A1607" s="0" t="n">
        <v>18</v>
      </c>
      <c r="B1607" s="0" t="s">
        <v>64</v>
      </c>
      <c r="C1607" s="0" t="n">
        <v>2011</v>
      </c>
      <c r="D1607" s="0" t="n">
        <v>6</v>
      </c>
      <c r="E1607" s="38" t="n">
        <v>-0.26</v>
      </c>
    </row>
    <row r="1608" customFormat="false" ht="15" hidden="false" customHeight="false" outlineLevel="0" collapsed="false">
      <c r="A1608" s="0" t="n">
        <v>18</v>
      </c>
      <c r="B1608" s="0" t="s">
        <v>64</v>
      </c>
      <c r="C1608" s="0" t="n">
        <v>2011</v>
      </c>
      <c r="D1608" s="0" t="n">
        <v>7</v>
      </c>
      <c r="E1608" s="38" t="n">
        <v>3.15</v>
      </c>
    </row>
    <row r="1609" customFormat="false" ht="15" hidden="false" customHeight="false" outlineLevel="0" collapsed="false">
      <c r="A1609" s="0" t="n">
        <v>18</v>
      </c>
      <c r="B1609" s="0" t="s">
        <v>64</v>
      </c>
      <c r="C1609" s="0" t="n">
        <v>2011</v>
      </c>
      <c r="D1609" s="0" t="n">
        <v>8</v>
      </c>
      <c r="E1609" s="38" t="n">
        <v>5099.31</v>
      </c>
    </row>
    <row r="1610" customFormat="false" ht="15" hidden="false" customHeight="false" outlineLevel="0" collapsed="false">
      <c r="A1610" s="0" t="n">
        <v>18</v>
      </c>
      <c r="B1610" s="0" t="s">
        <v>64</v>
      </c>
      <c r="C1610" s="0" t="n">
        <v>2011</v>
      </c>
      <c r="D1610" s="0" t="n">
        <v>9</v>
      </c>
      <c r="E1610" s="38" t="n">
        <v>15984.49</v>
      </c>
    </row>
    <row r="1611" customFormat="false" ht="15" hidden="false" customHeight="false" outlineLevel="0" collapsed="false">
      <c r="A1611" s="0" t="n">
        <v>18</v>
      </c>
      <c r="B1611" s="0" t="s">
        <v>64</v>
      </c>
      <c r="C1611" s="0" t="n">
        <v>2011</v>
      </c>
      <c r="D1611" s="0" t="n">
        <v>10</v>
      </c>
      <c r="E1611" s="38" t="n">
        <v>10202.04</v>
      </c>
    </row>
    <row r="1612" customFormat="false" ht="15" hidden="false" customHeight="false" outlineLevel="0" collapsed="false">
      <c r="A1612" s="0" t="n">
        <v>18</v>
      </c>
      <c r="B1612" s="0" t="s">
        <v>64</v>
      </c>
      <c r="C1612" s="0" t="n">
        <v>2011</v>
      </c>
      <c r="D1612" s="0" t="n">
        <v>11</v>
      </c>
      <c r="E1612" s="38" t="n">
        <v>20881.96</v>
      </c>
    </row>
    <row r="1613" customFormat="false" ht="15" hidden="false" customHeight="false" outlineLevel="0" collapsed="false">
      <c r="A1613" s="0" t="n">
        <v>18</v>
      </c>
      <c r="B1613" s="0" t="s">
        <v>64</v>
      </c>
      <c r="C1613" s="0" t="n">
        <v>2011</v>
      </c>
      <c r="D1613" s="0" t="n">
        <v>12</v>
      </c>
      <c r="E1613" s="38" t="n">
        <v>3264.08</v>
      </c>
    </row>
    <row r="1614" customFormat="false" ht="15" hidden="false" customHeight="false" outlineLevel="0" collapsed="false">
      <c r="A1614" s="0" t="n">
        <v>18</v>
      </c>
      <c r="B1614" s="0" t="s">
        <v>64</v>
      </c>
      <c r="C1614" s="0" t="n">
        <v>2012</v>
      </c>
      <c r="D1614" s="0" t="n">
        <v>1</v>
      </c>
      <c r="E1614" s="38" t="n">
        <v>10008.47</v>
      </c>
    </row>
    <row r="1615" customFormat="false" ht="15" hidden="false" customHeight="false" outlineLevel="0" collapsed="false">
      <c r="A1615" s="0" t="n">
        <v>18</v>
      </c>
      <c r="B1615" s="0" t="s">
        <v>64</v>
      </c>
      <c r="C1615" s="0" t="n">
        <v>2012</v>
      </c>
      <c r="D1615" s="0" t="n">
        <v>2</v>
      </c>
      <c r="E1615" s="38" t="n">
        <v>5994.47</v>
      </c>
    </row>
    <row r="1616" customFormat="false" ht="15" hidden="false" customHeight="false" outlineLevel="0" collapsed="false">
      <c r="A1616" s="0" t="n">
        <v>18</v>
      </c>
      <c r="B1616" s="0" t="s">
        <v>64</v>
      </c>
      <c r="C1616" s="0" t="n">
        <v>2012</v>
      </c>
      <c r="D1616" s="0" t="n">
        <v>3</v>
      </c>
      <c r="E1616" s="38" t="n">
        <v>12574.54</v>
      </c>
    </row>
    <row r="1617" customFormat="false" ht="15" hidden="false" customHeight="false" outlineLevel="0" collapsed="false">
      <c r="A1617" s="0" t="n">
        <v>18</v>
      </c>
      <c r="B1617" s="0" t="s">
        <v>64</v>
      </c>
      <c r="C1617" s="0" t="n">
        <v>2012</v>
      </c>
      <c r="D1617" s="0" t="n">
        <v>4</v>
      </c>
      <c r="E1617" s="38" t="n">
        <v>37.77</v>
      </c>
    </row>
    <row r="1618" customFormat="false" ht="15" hidden="false" customHeight="false" outlineLevel="0" collapsed="false">
      <c r="A1618" s="0" t="n">
        <v>18</v>
      </c>
      <c r="B1618" s="0" t="s">
        <v>64</v>
      </c>
      <c r="C1618" s="0" t="n">
        <v>2012</v>
      </c>
      <c r="D1618" s="0" t="n">
        <v>5</v>
      </c>
      <c r="E1618" s="38" t="n">
        <v>1.3</v>
      </c>
    </row>
    <row r="1619" customFormat="false" ht="15" hidden="false" customHeight="false" outlineLevel="0" collapsed="false">
      <c r="A1619" s="0" t="n">
        <v>18</v>
      </c>
      <c r="B1619" s="0" t="s">
        <v>64</v>
      </c>
      <c r="C1619" s="0" t="n">
        <v>2012</v>
      </c>
      <c r="D1619" s="0" t="n">
        <v>6</v>
      </c>
      <c r="E1619" s="38" t="n">
        <v>2</v>
      </c>
    </row>
    <row r="1620" customFormat="false" ht="15" hidden="false" customHeight="false" outlineLevel="0" collapsed="false">
      <c r="A1620" s="0" t="n">
        <v>18</v>
      </c>
      <c r="B1620" s="0" t="s">
        <v>64</v>
      </c>
      <c r="C1620" s="0" t="n">
        <v>2012</v>
      </c>
      <c r="D1620" s="0" t="n">
        <v>7</v>
      </c>
      <c r="E1620" s="38" t="n">
        <v>1.7</v>
      </c>
    </row>
    <row r="1621" customFormat="false" ht="15" hidden="false" customHeight="false" outlineLevel="0" collapsed="false">
      <c r="A1621" s="0" t="n">
        <v>18</v>
      </c>
      <c r="B1621" s="0" t="s">
        <v>64</v>
      </c>
      <c r="C1621" s="0" t="n">
        <v>2012</v>
      </c>
      <c r="D1621" s="0" t="n">
        <v>8</v>
      </c>
      <c r="E1621" s="38" t="n">
        <v>1690.18</v>
      </c>
    </row>
    <row r="1622" customFormat="false" ht="15" hidden="false" customHeight="false" outlineLevel="0" collapsed="false">
      <c r="A1622" s="0" t="n">
        <v>18</v>
      </c>
      <c r="B1622" s="0" t="s">
        <v>64</v>
      </c>
      <c r="C1622" s="0" t="n">
        <v>2012</v>
      </c>
      <c r="D1622" s="0" t="n">
        <v>9</v>
      </c>
      <c r="E1622" s="38" t="n">
        <v>13048.55</v>
      </c>
    </row>
    <row r="1623" customFormat="false" ht="15" hidden="false" customHeight="false" outlineLevel="0" collapsed="false">
      <c r="A1623" s="0" t="n">
        <v>18</v>
      </c>
      <c r="B1623" s="0" t="s">
        <v>64</v>
      </c>
      <c r="C1623" s="0" t="n">
        <v>2012</v>
      </c>
      <c r="D1623" s="0" t="n">
        <v>10</v>
      </c>
      <c r="E1623" s="38" t="n">
        <v>9832.32</v>
      </c>
    </row>
    <row r="1624" customFormat="false" ht="15" hidden="false" customHeight="false" outlineLevel="0" collapsed="false">
      <c r="A1624" s="0" t="n">
        <v>18</v>
      </c>
      <c r="B1624" s="0" t="s">
        <v>64</v>
      </c>
      <c r="C1624" s="0" t="n">
        <v>2012</v>
      </c>
      <c r="D1624" s="0" t="n">
        <v>11</v>
      </c>
      <c r="E1624" s="38" t="n">
        <v>26816.72</v>
      </c>
    </row>
    <row r="1625" customFormat="false" ht="15" hidden="false" customHeight="false" outlineLevel="0" collapsed="false">
      <c r="A1625" s="0" t="n">
        <v>18</v>
      </c>
      <c r="B1625" s="0" t="s">
        <v>64</v>
      </c>
      <c r="C1625" s="0" t="n">
        <v>2012</v>
      </c>
      <c r="D1625" s="0" t="n">
        <v>12</v>
      </c>
      <c r="E1625" s="38" t="n">
        <v>6090.83</v>
      </c>
    </row>
    <row r="1626" customFormat="false" ht="15" hidden="false" customHeight="false" outlineLevel="0" collapsed="false">
      <c r="A1626" s="0" t="n">
        <v>18</v>
      </c>
      <c r="B1626" s="0" t="s">
        <v>64</v>
      </c>
      <c r="C1626" s="0" t="n">
        <v>2013</v>
      </c>
      <c r="D1626" s="0" t="n">
        <v>1</v>
      </c>
      <c r="E1626" s="38" t="n">
        <v>19432.29</v>
      </c>
    </row>
    <row r="1627" customFormat="false" ht="15" hidden="false" customHeight="false" outlineLevel="0" collapsed="false">
      <c r="A1627" s="0" t="n">
        <v>18</v>
      </c>
      <c r="B1627" s="0" t="s">
        <v>64</v>
      </c>
      <c r="C1627" s="0" t="n">
        <v>2013</v>
      </c>
      <c r="D1627" s="0" t="n">
        <v>2</v>
      </c>
      <c r="E1627" s="38" t="n">
        <v>13974.44</v>
      </c>
    </row>
    <row r="1628" customFormat="false" ht="15" hidden="false" customHeight="false" outlineLevel="0" collapsed="false">
      <c r="A1628" s="0" t="n">
        <v>18</v>
      </c>
      <c r="B1628" s="0" t="s">
        <v>64</v>
      </c>
      <c r="C1628" s="0" t="n">
        <v>2013</v>
      </c>
      <c r="D1628" s="0" t="n">
        <v>3</v>
      </c>
      <c r="E1628" s="38" t="n">
        <v>20285.81</v>
      </c>
    </row>
    <row r="1629" customFormat="false" ht="15" hidden="false" customHeight="false" outlineLevel="0" collapsed="false">
      <c r="A1629" s="0" t="n">
        <v>18</v>
      </c>
      <c r="B1629" s="0" t="s">
        <v>64</v>
      </c>
      <c r="C1629" s="0" t="n">
        <v>2013</v>
      </c>
      <c r="D1629" s="0" t="n">
        <v>4</v>
      </c>
      <c r="E1629" s="38" t="n">
        <v>15.14</v>
      </c>
    </row>
    <row r="1630" customFormat="false" ht="15" hidden="false" customHeight="false" outlineLevel="0" collapsed="false">
      <c r="A1630" s="0" t="n">
        <v>18</v>
      </c>
      <c r="B1630" s="0" t="s">
        <v>64</v>
      </c>
      <c r="C1630" s="0" t="n">
        <v>2013</v>
      </c>
      <c r="D1630" s="0" t="n">
        <v>5</v>
      </c>
      <c r="E1630" s="38" t="n">
        <v>21</v>
      </c>
    </row>
    <row r="1631" customFormat="false" ht="15" hidden="false" customHeight="false" outlineLevel="0" collapsed="false">
      <c r="A1631" s="0" t="n">
        <v>18</v>
      </c>
      <c r="B1631" s="0" t="s">
        <v>64</v>
      </c>
      <c r="C1631" s="0" t="n">
        <v>2013</v>
      </c>
      <c r="D1631" s="0" t="n">
        <v>6</v>
      </c>
      <c r="E1631" s="38" t="n">
        <v>7.08</v>
      </c>
    </row>
    <row r="1632" customFormat="false" ht="15" hidden="false" customHeight="false" outlineLevel="0" collapsed="false">
      <c r="A1632" s="0" t="n">
        <v>18</v>
      </c>
      <c r="B1632" s="0" t="s">
        <v>64</v>
      </c>
      <c r="C1632" s="0" t="n">
        <v>2013</v>
      </c>
      <c r="D1632" s="0" t="n">
        <v>7</v>
      </c>
      <c r="E1632" s="38" t="n">
        <v>4.04</v>
      </c>
    </row>
    <row r="1633" customFormat="false" ht="15" hidden="false" customHeight="false" outlineLevel="0" collapsed="false">
      <c r="A1633" s="0" t="n">
        <v>18</v>
      </c>
      <c r="B1633" s="0" t="s">
        <v>64</v>
      </c>
      <c r="C1633" s="0" t="n">
        <v>2013</v>
      </c>
      <c r="D1633" s="0" t="n">
        <v>8</v>
      </c>
      <c r="E1633" s="38" t="n">
        <v>5437.64</v>
      </c>
    </row>
    <row r="1634" customFormat="false" ht="15" hidden="false" customHeight="false" outlineLevel="0" collapsed="false">
      <c r="A1634" s="0" t="n">
        <v>19</v>
      </c>
      <c r="B1634" s="0" t="s">
        <v>60</v>
      </c>
      <c r="C1634" s="0" t="n">
        <v>2011</v>
      </c>
      <c r="D1634" s="0" t="n">
        <v>1</v>
      </c>
      <c r="E1634" s="38" t="n">
        <v>99262.04</v>
      </c>
    </row>
    <row r="1635" customFormat="false" ht="15" hidden="false" customHeight="false" outlineLevel="0" collapsed="false">
      <c r="A1635" s="0" t="n">
        <v>19</v>
      </c>
      <c r="B1635" s="0" t="s">
        <v>60</v>
      </c>
      <c r="C1635" s="0" t="n">
        <v>2011</v>
      </c>
      <c r="D1635" s="0" t="n">
        <v>2</v>
      </c>
      <c r="E1635" s="38" t="n">
        <v>105369.55</v>
      </c>
    </row>
    <row r="1636" customFormat="false" ht="15" hidden="false" customHeight="false" outlineLevel="0" collapsed="false">
      <c r="A1636" s="0" t="n">
        <v>19</v>
      </c>
      <c r="B1636" s="0" t="s">
        <v>60</v>
      </c>
      <c r="C1636" s="0" t="n">
        <v>2011</v>
      </c>
      <c r="D1636" s="0" t="n">
        <v>3</v>
      </c>
      <c r="E1636" s="38" t="n">
        <v>92877.96</v>
      </c>
    </row>
    <row r="1637" customFormat="false" ht="15" hidden="false" customHeight="false" outlineLevel="0" collapsed="false">
      <c r="A1637" s="0" t="n">
        <v>19</v>
      </c>
      <c r="B1637" s="0" t="s">
        <v>60</v>
      </c>
      <c r="C1637" s="0" t="n">
        <v>2011</v>
      </c>
      <c r="D1637" s="0" t="n">
        <v>4</v>
      </c>
      <c r="E1637" s="38" t="n">
        <v>93994.55</v>
      </c>
    </row>
    <row r="1638" customFormat="false" ht="15" hidden="false" customHeight="false" outlineLevel="0" collapsed="false">
      <c r="A1638" s="0" t="n">
        <v>19</v>
      </c>
      <c r="B1638" s="0" t="s">
        <v>60</v>
      </c>
      <c r="C1638" s="0" t="n">
        <v>2011</v>
      </c>
      <c r="D1638" s="0" t="n">
        <v>5</v>
      </c>
      <c r="E1638" s="38" t="n">
        <v>88044.69</v>
      </c>
    </row>
    <row r="1639" customFormat="false" ht="15" hidden="false" customHeight="false" outlineLevel="0" collapsed="false">
      <c r="A1639" s="0" t="n">
        <v>19</v>
      </c>
      <c r="B1639" s="0" t="s">
        <v>60</v>
      </c>
      <c r="C1639" s="0" t="n">
        <v>2011</v>
      </c>
      <c r="D1639" s="0" t="n">
        <v>6</v>
      </c>
      <c r="E1639" s="38" t="n">
        <v>90753.52</v>
      </c>
    </row>
    <row r="1640" customFormat="false" ht="15" hidden="false" customHeight="false" outlineLevel="0" collapsed="false">
      <c r="A1640" s="0" t="n">
        <v>19</v>
      </c>
      <c r="B1640" s="0" t="s">
        <v>60</v>
      </c>
      <c r="C1640" s="0" t="n">
        <v>2011</v>
      </c>
      <c r="D1640" s="0" t="n">
        <v>7</v>
      </c>
      <c r="E1640" s="38" t="n">
        <v>88643.69</v>
      </c>
    </row>
    <row r="1641" customFormat="false" ht="15" hidden="false" customHeight="false" outlineLevel="0" collapsed="false">
      <c r="A1641" s="0" t="n">
        <v>19</v>
      </c>
      <c r="B1641" s="0" t="s">
        <v>60</v>
      </c>
      <c r="C1641" s="0" t="n">
        <v>2011</v>
      </c>
      <c r="D1641" s="0" t="n">
        <v>8</v>
      </c>
      <c r="E1641" s="38" t="n">
        <v>105998.33</v>
      </c>
    </row>
    <row r="1642" customFormat="false" ht="15" hidden="false" customHeight="false" outlineLevel="0" collapsed="false">
      <c r="A1642" s="0" t="n">
        <v>19</v>
      </c>
      <c r="B1642" s="0" t="s">
        <v>60</v>
      </c>
      <c r="C1642" s="0" t="n">
        <v>2011</v>
      </c>
      <c r="D1642" s="0" t="n">
        <v>9</v>
      </c>
      <c r="E1642" s="38" t="n">
        <v>122013.2</v>
      </c>
    </row>
    <row r="1643" customFormat="false" ht="15" hidden="false" customHeight="false" outlineLevel="0" collapsed="false">
      <c r="A1643" s="0" t="n">
        <v>19</v>
      </c>
      <c r="B1643" s="0" t="s">
        <v>60</v>
      </c>
      <c r="C1643" s="0" t="n">
        <v>2011</v>
      </c>
      <c r="D1643" s="0" t="n">
        <v>10</v>
      </c>
      <c r="E1643" s="38" t="n">
        <v>126070.41</v>
      </c>
    </row>
    <row r="1644" customFormat="false" ht="15" hidden="false" customHeight="false" outlineLevel="0" collapsed="false">
      <c r="A1644" s="0" t="n">
        <v>19</v>
      </c>
      <c r="B1644" s="0" t="s">
        <v>60</v>
      </c>
      <c r="C1644" s="0" t="n">
        <v>2011</v>
      </c>
      <c r="D1644" s="0" t="n">
        <v>11</v>
      </c>
      <c r="E1644" s="38" t="n">
        <v>123246.28</v>
      </c>
    </row>
    <row r="1645" customFormat="false" ht="15" hidden="false" customHeight="false" outlineLevel="0" collapsed="false">
      <c r="A1645" s="0" t="n">
        <v>19</v>
      </c>
      <c r="B1645" s="0" t="s">
        <v>60</v>
      </c>
      <c r="C1645" s="0" t="n">
        <v>2011</v>
      </c>
      <c r="D1645" s="0" t="n">
        <v>12</v>
      </c>
      <c r="E1645" s="38" t="n">
        <v>90514.36</v>
      </c>
    </row>
    <row r="1646" customFormat="false" ht="15" hidden="false" customHeight="false" outlineLevel="0" collapsed="false">
      <c r="A1646" s="0" t="n">
        <v>19</v>
      </c>
      <c r="B1646" s="0" t="s">
        <v>60</v>
      </c>
      <c r="C1646" s="0" t="n">
        <v>2012</v>
      </c>
      <c r="D1646" s="0" t="n">
        <v>1</v>
      </c>
      <c r="E1646" s="38" t="n">
        <v>104931.16</v>
      </c>
    </row>
    <row r="1647" customFormat="false" ht="15" hidden="false" customHeight="false" outlineLevel="0" collapsed="false">
      <c r="A1647" s="0" t="n">
        <v>19</v>
      </c>
      <c r="B1647" s="0" t="s">
        <v>60</v>
      </c>
      <c r="C1647" s="0" t="n">
        <v>2012</v>
      </c>
      <c r="D1647" s="0" t="n">
        <v>2</v>
      </c>
      <c r="E1647" s="38" t="n">
        <v>98132.77</v>
      </c>
    </row>
    <row r="1648" customFormat="false" ht="15" hidden="false" customHeight="false" outlineLevel="0" collapsed="false">
      <c r="A1648" s="0" t="n">
        <v>19</v>
      </c>
      <c r="B1648" s="0" t="s">
        <v>60</v>
      </c>
      <c r="C1648" s="0" t="n">
        <v>2012</v>
      </c>
      <c r="D1648" s="0" t="n">
        <v>3</v>
      </c>
      <c r="E1648" s="38" t="n">
        <v>83785.77</v>
      </c>
    </row>
    <row r="1649" customFormat="false" ht="15" hidden="false" customHeight="false" outlineLevel="0" collapsed="false">
      <c r="A1649" s="0" t="n">
        <v>19</v>
      </c>
      <c r="B1649" s="0" t="s">
        <v>60</v>
      </c>
      <c r="C1649" s="0" t="n">
        <v>2012</v>
      </c>
      <c r="D1649" s="0" t="n">
        <v>4</v>
      </c>
      <c r="E1649" s="38" t="n">
        <v>81917.91</v>
      </c>
    </row>
    <row r="1650" customFormat="false" ht="15" hidden="false" customHeight="false" outlineLevel="0" collapsed="false">
      <c r="A1650" s="0" t="n">
        <v>19</v>
      </c>
      <c r="B1650" s="0" t="s">
        <v>60</v>
      </c>
      <c r="C1650" s="0" t="n">
        <v>2012</v>
      </c>
      <c r="D1650" s="0" t="n">
        <v>5</v>
      </c>
      <c r="E1650" s="38" t="n">
        <v>73694.45</v>
      </c>
    </row>
    <row r="1651" customFormat="false" ht="15" hidden="false" customHeight="false" outlineLevel="0" collapsed="false">
      <c r="A1651" s="0" t="n">
        <v>19</v>
      </c>
      <c r="B1651" s="0" t="s">
        <v>60</v>
      </c>
      <c r="C1651" s="0" t="n">
        <v>2012</v>
      </c>
      <c r="D1651" s="0" t="n">
        <v>6</v>
      </c>
      <c r="E1651" s="38" t="n">
        <v>90484.14</v>
      </c>
    </row>
    <row r="1652" customFormat="false" ht="15" hidden="false" customHeight="false" outlineLevel="0" collapsed="false">
      <c r="A1652" s="0" t="n">
        <v>19</v>
      </c>
      <c r="B1652" s="0" t="s">
        <v>60</v>
      </c>
      <c r="C1652" s="0" t="n">
        <v>2012</v>
      </c>
      <c r="D1652" s="0" t="n">
        <v>7</v>
      </c>
      <c r="E1652" s="38" t="n">
        <v>99000.79</v>
      </c>
    </row>
    <row r="1653" customFormat="false" ht="15" hidden="false" customHeight="false" outlineLevel="0" collapsed="false">
      <c r="A1653" s="0" t="n">
        <v>19</v>
      </c>
      <c r="B1653" s="0" t="s">
        <v>60</v>
      </c>
      <c r="C1653" s="0" t="n">
        <v>2012</v>
      </c>
      <c r="D1653" s="0" t="n">
        <v>8</v>
      </c>
      <c r="E1653" s="38" t="n">
        <v>112932.33</v>
      </c>
    </row>
    <row r="1654" customFormat="false" ht="15" hidden="false" customHeight="false" outlineLevel="0" collapsed="false">
      <c r="A1654" s="0" t="n">
        <v>19</v>
      </c>
      <c r="B1654" s="0" t="s">
        <v>60</v>
      </c>
      <c r="C1654" s="0" t="n">
        <v>2012</v>
      </c>
      <c r="D1654" s="0" t="n">
        <v>9</v>
      </c>
      <c r="E1654" s="38" t="n">
        <v>141310.52</v>
      </c>
    </row>
    <row r="1655" customFormat="false" ht="15" hidden="false" customHeight="false" outlineLevel="0" collapsed="false">
      <c r="A1655" s="0" t="n">
        <v>19</v>
      </c>
      <c r="B1655" s="0" t="s">
        <v>60</v>
      </c>
      <c r="C1655" s="0" t="n">
        <v>2012</v>
      </c>
      <c r="D1655" s="0" t="n">
        <v>10</v>
      </c>
      <c r="E1655" s="38" t="n">
        <v>123118.17</v>
      </c>
    </row>
    <row r="1656" customFormat="false" ht="15" hidden="false" customHeight="false" outlineLevel="0" collapsed="false">
      <c r="A1656" s="0" t="n">
        <v>19</v>
      </c>
      <c r="B1656" s="0" t="s">
        <v>60</v>
      </c>
      <c r="C1656" s="0" t="n">
        <v>2012</v>
      </c>
      <c r="D1656" s="0" t="n">
        <v>11</v>
      </c>
      <c r="E1656" s="38" t="n">
        <v>142812.44</v>
      </c>
    </row>
    <row r="1657" customFormat="false" ht="15" hidden="false" customHeight="false" outlineLevel="0" collapsed="false">
      <c r="A1657" s="0" t="n">
        <v>19</v>
      </c>
      <c r="B1657" s="0" t="s">
        <v>60</v>
      </c>
      <c r="C1657" s="0" t="n">
        <v>2012</v>
      </c>
      <c r="D1657" s="0" t="n">
        <v>12</v>
      </c>
      <c r="E1657" s="38" t="n">
        <v>97561.72</v>
      </c>
    </row>
    <row r="1658" customFormat="false" ht="15" hidden="false" customHeight="false" outlineLevel="0" collapsed="false">
      <c r="A1658" s="0" t="n">
        <v>19</v>
      </c>
      <c r="B1658" s="0" t="s">
        <v>60</v>
      </c>
      <c r="C1658" s="0" t="n">
        <v>2013</v>
      </c>
      <c r="D1658" s="0" t="n">
        <v>1</v>
      </c>
      <c r="E1658" s="38" t="n">
        <v>113663.68</v>
      </c>
    </row>
    <row r="1659" customFormat="false" ht="15" hidden="false" customHeight="false" outlineLevel="0" collapsed="false">
      <c r="A1659" s="0" t="n">
        <v>19</v>
      </c>
      <c r="B1659" s="0" t="s">
        <v>60</v>
      </c>
      <c r="C1659" s="0" t="n">
        <v>2013</v>
      </c>
      <c r="D1659" s="0" t="n">
        <v>2</v>
      </c>
      <c r="E1659" s="38" t="n">
        <v>124744.44</v>
      </c>
    </row>
    <row r="1660" customFormat="false" ht="15" hidden="false" customHeight="false" outlineLevel="0" collapsed="false">
      <c r="A1660" s="0" t="n">
        <v>19</v>
      </c>
      <c r="B1660" s="0" t="s">
        <v>60</v>
      </c>
      <c r="C1660" s="0" t="n">
        <v>2013</v>
      </c>
      <c r="D1660" s="0" t="n">
        <v>3</v>
      </c>
      <c r="E1660" s="38" t="n">
        <v>106117.12</v>
      </c>
    </row>
    <row r="1661" customFormat="false" ht="15" hidden="false" customHeight="false" outlineLevel="0" collapsed="false">
      <c r="A1661" s="0" t="n">
        <v>19</v>
      </c>
      <c r="B1661" s="0" t="s">
        <v>60</v>
      </c>
      <c r="C1661" s="0" t="n">
        <v>2013</v>
      </c>
      <c r="D1661" s="0" t="n">
        <v>4</v>
      </c>
      <c r="E1661" s="38" t="n">
        <v>121108.84</v>
      </c>
    </row>
    <row r="1662" customFormat="false" ht="15" hidden="false" customHeight="false" outlineLevel="0" collapsed="false">
      <c r="A1662" s="0" t="n">
        <v>19</v>
      </c>
      <c r="B1662" s="0" t="s">
        <v>60</v>
      </c>
      <c r="C1662" s="0" t="n">
        <v>2013</v>
      </c>
      <c r="D1662" s="0" t="n">
        <v>5</v>
      </c>
      <c r="E1662" s="38" t="n">
        <v>110668.39</v>
      </c>
    </row>
    <row r="1663" customFormat="false" ht="15" hidden="false" customHeight="false" outlineLevel="0" collapsed="false">
      <c r="A1663" s="0" t="n">
        <v>19</v>
      </c>
      <c r="B1663" s="0" t="s">
        <v>60</v>
      </c>
      <c r="C1663" s="0" t="n">
        <v>2013</v>
      </c>
      <c r="D1663" s="0" t="n">
        <v>6</v>
      </c>
      <c r="E1663" s="38" t="n">
        <v>97502.03</v>
      </c>
    </row>
    <row r="1664" customFormat="false" ht="15" hidden="false" customHeight="false" outlineLevel="0" collapsed="false">
      <c r="A1664" s="0" t="n">
        <v>19</v>
      </c>
      <c r="B1664" s="0" t="s">
        <v>60</v>
      </c>
      <c r="C1664" s="0" t="n">
        <v>2013</v>
      </c>
      <c r="D1664" s="0" t="n">
        <v>7</v>
      </c>
      <c r="E1664" s="38" t="n">
        <v>103821.63</v>
      </c>
    </row>
    <row r="1665" customFormat="false" ht="15" hidden="false" customHeight="false" outlineLevel="0" collapsed="false">
      <c r="A1665" s="0" t="n">
        <v>19</v>
      </c>
      <c r="B1665" s="0" t="s">
        <v>60</v>
      </c>
      <c r="C1665" s="0" t="n">
        <v>2013</v>
      </c>
      <c r="D1665" s="0" t="n">
        <v>8</v>
      </c>
      <c r="E1665" s="38" t="n">
        <v>101528.63</v>
      </c>
    </row>
    <row r="1666" customFormat="false" ht="15" hidden="false" customHeight="false" outlineLevel="0" collapsed="false">
      <c r="A1666" s="0" t="n">
        <v>19</v>
      </c>
      <c r="B1666" s="0" t="s">
        <v>62</v>
      </c>
      <c r="C1666" s="0" t="n">
        <v>2011</v>
      </c>
      <c r="D1666" s="0" t="n">
        <v>1</v>
      </c>
      <c r="E1666" s="38" t="n">
        <v>112129.72</v>
      </c>
    </row>
    <row r="1667" customFormat="false" ht="15" hidden="false" customHeight="false" outlineLevel="0" collapsed="false">
      <c r="A1667" s="0" t="n">
        <v>19</v>
      </c>
      <c r="B1667" s="0" t="s">
        <v>62</v>
      </c>
      <c r="C1667" s="0" t="n">
        <v>2011</v>
      </c>
      <c r="D1667" s="0" t="n">
        <v>2</v>
      </c>
      <c r="E1667" s="38" t="n">
        <v>134734.43</v>
      </c>
    </row>
    <row r="1668" customFormat="false" ht="15" hidden="false" customHeight="false" outlineLevel="0" collapsed="false">
      <c r="A1668" s="0" t="n">
        <v>19</v>
      </c>
      <c r="B1668" s="0" t="s">
        <v>62</v>
      </c>
      <c r="C1668" s="0" t="n">
        <v>2011</v>
      </c>
      <c r="D1668" s="0" t="n">
        <v>3</v>
      </c>
      <c r="E1668" s="38" t="n">
        <v>112207.05</v>
      </c>
    </row>
    <row r="1669" customFormat="false" ht="15" hidden="false" customHeight="false" outlineLevel="0" collapsed="false">
      <c r="A1669" s="0" t="n">
        <v>19</v>
      </c>
      <c r="B1669" s="0" t="s">
        <v>62</v>
      </c>
      <c r="C1669" s="0" t="n">
        <v>2011</v>
      </c>
      <c r="D1669" s="0" t="n">
        <v>4</v>
      </c>
      <c r="E1669" s="38" t="n">
        <v>108235.76</v>
      </c>
    </row>
    <row r="1670" customFormat="false" ht="15" hidden="false" customHeight="false" outlineLevel="0" collapsed="false">
      <c r="A1670" s="0" t="n">
        <v>19</v>
      </c>
      <c r="B1670" s="0" t="s">
        <v>62</v>
      </c>
      <c r="C1670" s="0" t="n">
        <v>2011</v>
      </c>
      <c r="D1670" s="0" t="n">
        <v>5</v>
      </c>
      <c r="E1670" s="38" t="n">
        <v>103075.99</v>
      </c>
    </row>
    <row r="1671" customFormat="false" ht="15" hidden="false" customHeight="false" outlineLevel="0" collapsed="false">
      <c r="A1671" s="0" t="n">
        <v>19</v>
      </c>
      <c r="B1671" s="0" t="s">
        <v>62</v>
      </c>
      <c r="C1671" s="0" t="n">
        <v>2011</v>
      </c>
      <c r="D1671" s="0" t="n">
        <v>6</v>
      </c>
      <c r="E1671" s="38" t="n">
        <v>112215.7</v>
      </c>
    </row>
    <row r="1672" customFormat="false" ht="15" hidden="false" customHeight="false" outlineLevel="0" collapsed="false">
      <c r="A1672" s="0" t="n">
        <v>19</v>
      </c>
      <c r="B1672" s="0" t="s">
        <v>62</v>
      </c>
      <c r="C1672" s="0" t="n">
        <v>2011</v>
      </c>
      <c r="D1672" s="0" t="n">
        <v>7</v>
      </c>
      <c r="E1672" s="38" t="n">
        <v>91034.09</v>
      </c>
    </row>
    <row r="1673" customFormat="false" ht="15" hidden="false" customHeight="false" outlineLevel="0" collapsed="false">
      <c r="A1673" s="0" t="n">
        <v>19</v>
      </c>
      <c r="B1673" s="0" t="s">
        <v>62</v>
      </c>
      <c r="C1673" s="0" t="n">
        <v>2011</v>
      </c>
      <c r="D1673" s="0" t="n">
        <v>8</v>
      </c>
      <c r="E1673" s="38" t="n">
        <v>112941.98</v>
      </c>
    </row>
    <row r="1674" customFormat="false" ht="15" hidden="false" customHeight="false" outlineLevel="0" collapsed="false">
      <c r="A1674" s="0" t="n">
        <v>19</v>
      </c>
      <c r="B1674" s="0" t="s">
        <v>62</v>
      </c>
      <c r="C1674" s="0" t="n">
        <v>2011</v>
      </c>
      <c r="D1674" s="0" t="n">
        <v>9</v>
      </c>
      <c r="E1674" s="38" t="n">
        <v>136948.6</v>
      </c>
    </row>
    <row r="1675" customFormat="false" ht="15" hidden="false" customHeight="false" outlineLevel="0" collapsed="false">
      <c r="A1675" s="0" t="n">
        <v>19</v>
      </c>
      <c r="B1675" s="0" t="s">
        <v>62</v>
      </c>
      <c r="C1675" s="0" t="n">
        <v>2011</v>
      </c>
      <c r="D1675" s="0" t="n">
        <v>10</v>
      </c>
      <c r="E1675" s="38" t="n">
        <v>116884.03</v>
      </c>
    </row>
    <row r="1676" customFormat="false" ht="15" hidden="false" customHeight="false" outlineLevel="0" collapsed="false">
      <c r="A1676" s="0" t="n">
        <v>19</v>
      </c>
      <c r="B1676" s="0" t="s">
        <v>62</v>
      </c>
      <c r="C1676" s="0" t="n">
        <v>2011</v>
      </c>
      <c r="D1676" s="0" t="n">
        <v>11</v>
      </c>
      <c r="E1676" s="38" t="n">
        <v>119510.95</v>
      </c>
    </row>
    <row r="1677" customFormat="false" ht="15" hidden="false" customHeight="false" outlineLevel="0" collapsed="false">
      <c r="A1677" s="0" t="n">
        <v>19</v>
      </c>
      <c r="B1677" s="0" t="s">
        <v>62</v>
      </c>
      <c r="C1677" s="0" t="n">
        <v>2011</v>
      </c>
      <c r="D1677" s="0" t="n">
        <v>12</v>
      </c>
      <c r="E1677" s="38" t="n">
        <v>95906.03</v>
      </c>
    </row>
    <row r="1678" customFormat="false" ht="15" hidden="false" customHeight="false" outlineLevel="0" collapsed="false">
      <c r="A1678" s="0" t="n">
        <v>19</v>
      </c>
      <c r="B1678" s="0" t="s">
        <v>62</v>
      </c>
      <c r="C1678" s="0" t="n">
        <v>2012</v>
      </c>
      <c r="D1678" s="0" t="n">
        <v>1</v>
      </c>
      <c r="E1678" s="38" t="n">
        <v>94565.08</v>
      </c>
    </row>
    <row r="1679" customFormat="false" ht="15" hidden="false" customHeight="false" outlineLevel="0" collapsed="false">
      <c r="A1679" s="0" t="n">
        <v>19</v>
      </c>
      <c r="B1679" s="0" t="s">
        <v>62</v>
      </c>
      <c r="C1679" s="0" t="n">
        <v>2012</v>
      </c>
      <c r="D1679" s="0" t="n">
        <v>2</v>
      </c>
      <c r="E1679" s="38" t="n">
        <v>98667.38</v>
      </c>
    </row>
    <row r="1680" customFormat="false" ht="15" hidden="false" customHeight="false" outlineLevel="0" collapsed="false">
      <c r="A1680" s="0" t="n">
        <v>19</v>
      </c>
      <c r="B1680" s="0" t="s">
        <v>62</v>
      </c>
      <c r="C1680" s="0" t="n">
        <v>2012</v>
      </c>
      <c r="D1680" s="0" t="n">
        <v>3</v>
      </c>
      <c r="E1680" s="38" t="n">
        <v>88651.07</v>
      </c>
    </row>
    <row r="1681" customFormat="false" ht="15" hidden="false" customHeight="false" outlineLevel="0" collapsed="false">
      <c r="A1681" s="0" t="n">
        <v>19</v>
      </c>
      <c r="B1681" s="0" t="s">
        <v>62</v>
      </c>
      <c r="C1681" s="0" t="n">
        <v>2012</v>
      </c>
      <c r="D1681" s="0" t="n">
        <v>4</v>
      </c>
      <c r="E1681" s="38" t="n">
        <v>84446.63</v>
      </c>
    </row>
    <row r="1682" customFormat="false" ht="15" hidden="false" customHeight="false" outlineLevel="0" collapsed="false">
      <c r="A1682" s="0" t="n">
        <v>19</v>
      </c>
      <c r="B1682" s="0" t="s">
        <v>62</v>
      </c>
      <c r="C1682" s="0" t="n">
        <v>2012</v>
      </c>
      <c r="D1682" s="0" t="n">
        <v>5</v>
      </c>
      <c r="E1682" s="38" t="n">
        <v>87275.94</v>
      </c>
    </row>
    <row r="1683" customFormat="false" ht="15" hidden="false" customHeight="false" outlineLevel="0" collapsed="false">
      <c r="A1683" s="0" t="n">
        <v>19</v>
      </c>
      <c r="B1683" s="0" t="s">
        <v>62</v>
      </c>
      <c r="C1683" s="0" t="n">
        <v>2012</v>
      </c>
      <c r="D1683" s="0" t="n">
        <v>6</v>
      </c>
      <c r="E1683" s="38" t="n">
        <v>86583.93</v>
      </c>
    </row>
    <row r="1684" customFormat="false" ht="15" hidden="false" customHeight="false" outlineLevel="0" collapsed="false">
      <c r="A1684" s="0" t="n">
        <v>19</v>
      </c>
      <c r="B1684" s="0" t="s">
        <v>62</v>
      </c>
      <c r="C1684" s="0" t="n">
        <v>2012</v>
      </c>
      <c r="D1684" s="0" t="n">
        <v>7</v>
      </c>
      <c r="E1684" s="38" t="n">
        <v>89749.62</v>
      </c>
    </row>
    <row r="1685" customFormat="false" ht="15" hidden="false" customHeight="false" outlineLevel="0" collapsed="false">
      <c r="A1685" s="0" t="n">
        <v>19</v>
      </c>
      <c r="B1685" s="0" t="s">
        <v>62</v>
      </c>
      <c r="C1685" s="0" t="n">
        <v>2012</v>
      </c>
      <c r="D1685" s="0" t="n">
        <v>8</v>
      </c>
      <c r="E1685" s="38" t="n">
        <v>90441.42</v>
      </c>
    </row>
    <row r="1686" customFormat="false" ht="15" hidden="false" customHeight="false" outlineLevel="0" collapsed="false">
      <c r="A1686" s="0" t="n">
        <v>19</v>
      </c>
      <c r="B1686" s="0" t="s">
        <v>62</v>
      </c>
      <c r="C1686" s="0" t="n">
        <v>2012</v>
      </c>
      <c r="D1686" s="0" t="n">
        <v>9</v>
      </c>
      <c r="E1686" s="38" t="n">
        <v>124271.02</v>
      </c>
    </row>
    <row r="1687" customFormat="false" ht="15" hidden="false" customHeight="false" outlineLevel="0" collapsed="false">
      <c r="A1687" s="0" t="n">
        <v>19</v>
      </c>
      <c r="B1687" s="0" t="s">
        <v>62</v>
      </c>
      <c r="C1687" s="0" t="n">
        <v>2012</v>
      </c>
      <c r="D1687" s="0" t="n">
        <v>10</v>
      </c>
      <c r="E1687" s="38" t="n">
        <v>102993.77</v>
      </c>
    </row>
    <row r="1688" customFormat="false" ht="15" hidden="false" customHeight="false" outlineLevel="0" collapsed="false">
      <c r="A1688" s="0" t="n">
        <v>19</v>
      </c>
      <c r="B1688" s="0" t="s">
        <v>62</v>
      </c>
      <c r="C1688" s="0" t="n">
        <v>2012</v>
      </c>
      <c r="D1688" s="0" t="n">
        <v>11</v>
      </c>
      <c r="E1688" s="38" t="n">
        <v>113522.61</v>
      </c>
    </row>
    <row r="1689" customFormat="false" ht="15" hidden="false" customHeight="false" outlineLevel="0" collapsed="false">
      <c r="A1689" s="0" t="n">
        <v>19</v>
      </c>
      <c r="B1689" s="0" t="s">
        <v>62</v>
      </c>
      <c r="C1689" s="0" t="n">
        <v>2012</v>
      </c>
      <c r="D1689" s="0" t="n">
        <v>12</v>
      </c>
      <c r="E1689" s="38" t="n">
        <v>79647.32</v>
      </c>
    </row>
    <row r="1690" customFormat="false" ht="15" hidden="false" customHeight="false" outlineLevel="0" collapsed="false">
      <c r="A1690" s="0" t="n">
        <v>19</v>
      </c>
      <c r="B1690" s="0" t="s">
        <v>62</v>
      </c>
      <c r="C1690" s="0" t="n">
        <v>2013</v>
      </c>
      <c r="D1690" s="0" t="n">
        <v>1</v>
      </c>
      <c r="E1690" s="38" t="n">
        <v>90218.5</v>
      </c>
    </row>
    <row r="1691" customFormat="false" ht="15" hidden="false" customHeight="false" outlineLevel="0" collapsed="false">
      <c r="A1691" s="0" t="n">
        <v>19</v>
      </c>
      <c r="B1691" s="0" t="s">
        <v>62</v>
      </c>
      <c r="C1691" s="0" t="n">
        <v>2013</v>
      </c>
      <c r="D1691" s="0" t="n">
        <v>2</v>
      </c>
      <c r="E1691" s="38" t="n">
        <v>113873.17</v>
      </c>
    </row>
    <row r="1692" customFormat="false" ht="15" hidden="false" customHeight="false" outlineLevel="0" collapsed="false">
      <c r="A1692" s="0" t="n">
        <v>19</v>
      </c>
      <c r="B1692" s="0" t="s">
        <v>62</v>
      </c>
      <c r="C1692" s="0" t="n">
        <v>2013</v>
      </c>
      <c r="D1692" s="0" t="n">
        <v>3</v>
      </c>
      <c r="E1692" s="38" t="n">
        <v>90049.52</v>
      </c>
    </row>
    <row r="1693" customFormat="false" ht="15" hidden="false" customHeight="false" outlineLevel="0" collapsed="false">
      <c r="A1693" s="0" t="n">
        <v>19</v>
      </c>
      <c r="B1693" s="0" t="s">
        <v>62</v>
      </c>
      <c r="C1693" s="0" t="n">
        <v>2013</v>
      </c>
      <c r="D1693" s="0" t="n">
        <v>4</v>
      </c>
      <c r="E1693" s="38" t="n">
        <v>96987.34</v>
      </c>
    </row>
    <row r="1694" customFormat="false" ht="15" hidden="false" customHeight="false" outlineLevel="0" collapsed="false">
      <c r="A1694" s="0" t="n">
        <v>19</v>
      </c>
      <c r="B1694" s="0" t="s">
        <v>62</v>
      </c>
      <c r="C1694" s="0" t="n">
        <v>2013</v>
      </c>
      <c r="D1694" s="0" t="n">
        <v>5</v>
      </c>
      <c r="E1694" s="38" t="n">
        <v>86202.05</v>
      </c>
    </row>
    <row r="1695" customFormat="false" ht="15" hidden="false" customHeight="false" outlineLevel="0" collapsed="false">
      <c r="A1695" s="0" t="n">
        <v>19</v>
      </c>
      <c r="B1695" s="0" t="s">
        <v>62</v>
      </c>
      <c r="C1695" s="0" t="n">
        <v>2013</v>
      </c>
      <c r="D1695" s="0" t="n">
        <v>6</v>
      </c>
      <c r="E1695" s="38" t="n">
        <v>91902.21</v>
      </c>
    </row>
    <row r="1696" customFormat="false" ht="15" hidden="false" customHeight="false" outlineLevel="0" collapsed="false">
      <c r="A1696" s="0" t="n">
        <v>19</v>
      </c>
      <c r="B1696" s="0" t="s">
        <v>62</v>
      </c>
      <c r="C1696" s="0" t="n">
        <v>2013</v>
      </c>
      <c r="D1696" s="0" t="n">
        <v>7</v>
      </c>
      <c r="E1696" s="38" t="n">
        <v>85395.89</v>
      </c>
    </row>
    <row r="1697" customFormat="false" ht="15" hidden="false" customHeight="false" outlineLevel="0" collapsed="false">
      <c r="A1697" s="0" t="n">
        <v>19</v>
      </c>
      <c r="B1697" s="0" t="s">
        <v>62</v>
      </c>
      <c r="C1697" s="0" t="n">
        <v>2013</v>
      </c>
      <c r="D1697" s="0" t="n">
        <v>8</v>
      </c>
      <c r="E1697" s="38" t="n">
        <v>86833.93</v>
      </c>
    </row>
    <row r="1698" customFormat="false" ht="15" hidden="false" customHeight="false" outlineLevel="0" collapsed="false">
      <c r="A1698" s="0" t="n">
        <v>19</v>
      </c>
      <c r="B1698" s="0" t="s">
        <v>64</v>
      </c>
      <c r="C1698" s="0" t="n">
        <v>2013</v>
      </c>
      <c r="D1698" s="0" t="n">
        <v>1</v>
      </c>
      <c r="E1698" s="38" t="n">
        <v>2.38</v>
      </c>
    </row>
    <row r="1699" customFormat="false" ht="15" hidden="false" customHeight="false" outlineLevel="0" collapsed="false">
      <c r="A1699" s="0" t="n">
        <v>20</v>
      </c>
      <c r="B1699" s="0" t="s">
        <v>60</v>
      </c>
      <c r="C1699" s="0" t="n">
        <v>2011</v>
      </c>
      <c r="D1699" s="0" t="n">
        <v>1</v>
      </c>
      <c r="E1699" s="38" t="n">
        <v>565008.97</v>
      </c>
    </row>
    <row r="1700" customFormat="false" ht="15" hidden="false" customHeight="false" outlineLevel="0" collapsed="false">
      <c r="A1700" s="0" t="n">
        <v>20</v>
      </c>
      <c r="B1700" s="0" t="s">
        <v>60</v>
      </c>
      <c r="C1700" s="0" t="n">
        <v>2011</v>
      </c>
      <c r="D1700" s="0" t="n">
        <v>2</v>
      </c>
      <c r="E1700" s="38" t="n">
        <v>630890.42</v>
      </c>
    </row>
    <row r="1701" customFormat="false" ht="15" hidden="false" customHeight="false" outlineLevel="0" collapsed="false">
      <c r="A1701" s="0" t="n">
        <v>20</v>
      </c>
      <c r="B1701" s="0" t="s">
        <v>60</v>
      </c>
      <c r="C1701" s="0" t="n">
        <v>2011</v>
      </c>
      <c r="D1701" s="0" t="n">
        <v>3</v>
      </c>
      <c r="E1701" s="38" t="n">
        <v>546792.66</v>
      </c>
    </row>
    <row r="1702" customFormat="false" ht="15" hidden="false" customHeight="false" outlineLevel="0" collapsed="false">
      <c r="A1702" s="0" t="n">
        <v>20</v>
      </c>
      <c r="B1702" s="0" t="s">
        <v>60</v>
      </c>
      <c r="C1702" s="0" t="n">
        <v>2011</v>
      </c>
      <c r="D1702" s="0" t="n">
        <v>4</v>
      </c>
      <c r="E1702" s="38" t="n">
        <v>662353.41</v>
      </c>
    </row>
    <row r="1703" customFormat="false" ht="15" hidden="false" customHeight="false" outlineLevel="0" collapsed="false">
      <c r="A1703" s="0" t="n">
        <v>20</v>
      </c>
      <c r="B1703" s="0" t="s">
        <v>60</v>
      </c>
      <c r="C1703" s="0" t="n">
        <v>2011</v>
      </c>
      <c r="D1703" s="0" t="n">
        <v>5</v>
      </c>
      <c r="E1703" s="38" t="n">
        <v>696306.83</v>
      </c>
    </row>
    <row r="1704" customFormat="false" ht="15" hidden="false" customHeight="false" outlineLevel="0" collapsed="false">
      <c r="A1704" s="0" t="n">
        <v>20</v>
      </c>
      <c r="B1704" s="0" t="s">
        <v>60</v>
      </c>
      <c r="C1704" s="0" t="n">
        <v>2011</v>
      </c>
      <c r="D1704" s="0" t="n">
        <v>6</v>
      </c>
      <c r="E1704" s="38" t="n">
        <v>680418.48</v>
      </c>
    </row>
    <row r="1705" customFormat="false" ht="15" hidden="false" customHeight="false" outlineLevel="0" collapsed="false">
      <c r="A1705" s="0" t="n">
        <v>20</v>
      </c>
      <c r="B1705" s="0" t="s">
        <v>60</v>
      </c>
      <c r="C1705" s="0" t="n">
        <v>2011</v>
      </c>
      <c r="D1705" s="0" t="n">
        <v>7</v>
      </c>
      <c r="E1705" s="38" t="n">
        <v>645485.61</v>
      </c>
    </row>
    <row r="1706" customFormat="false" ht="15" hidden="false" customHeight="false" outlineLevel="0" collapsed="false">
      <c r="A1706" s="0" t="n">
        <v>20</v>
      </c>
      <c r="B1706" s="0" t="s">
        <v>60</v>
      </c>
      <c r="C1706" s="0" t="n">
        <v>2011</v>
      </c>
      <c r="D1706" s="0" t="n">
        <v>8</v>
      </c>
      <c r="E1706" s="38" t="n">
        <v>521985.89</v>
      </c>
    </row>
    <row r="1707" customFormat="false" ht="15" hidden="false" customHeight="false" outlineLevel="0" collapsed="false">
      <c r="A1707" s="0" t="n">
        <v>20</v>
      </c>
      <c r="B1707" s="0" t="s">
        <v>60</v>
      </c>
      <c r="C1707" s="0" t="n">
        <v>2011</v>
      </c>
      <c r="D1707" s="0" t="n">
        <v>9</v>
      </c>
      <c r="E1707" s="38" t="n">
        <v>504167.8</v>
      </c>
    </row>
    <row r="1708" customFormat="false" ht="15" hidden="false" customHeight="false" outlineLevel="0" collapsed="false">
      <c r="A1708" s="0" t="n">
        <v>20</v>
      </c>
      <c r="B1708" s="0" t="s">
        <v>60</v>
      </c>
      <c r="C1708" s="0" t="n">
        <v>2011</v>
      </c>
      <c r="D1708" s="0" t="n">
        <v>10</v>
      </c>
      <c r="E1708" s="38" t="n">
        <v>554570.97</v>
      </c>
    </row>
    <row r="1709" customFormat="false" ht="15" hidden="false" customHeight="false" outlineLevel="0" collapsed="false">
      <c r="A1709" s="0" t="n">
        <v>20</v>
      </c>
      <c r="B1709" s="0" t="s">
        <v>60</v>
      </c>
      <c r="C1709" s="0" t="n">
        <v>2011</v>
      </c>
      <c r="D1709" s="0" t="n">
        <v>11</v>
      </c>
      <c r="E1709" s="38" t="n">
        <v>497381.72</v>
      </c>
    </row>
    <row r="1710" customFormat="false" ht="15" hidden="false" customHeight="false" outlineLevel="0" collapsed="false">
      <c r="A1710" s="0" t="n">
        <v>20</v>
      </c>
      <c r="B1710" s="0" t="s">
        <v>60</v>
      </c>
      <c r="C1710" s="0" t="n">
        <v>2011</v>
      </c>
      <c r="D1710" s="0" t="n">
        <v>12</v>
      </c>
      <c r="E1710" s="38" t="n">
        <v>454272.42</v>
      </c>
    </row>
    <row r="1711" customFormat="false" ht="15" hidden="false" customHeight="false" outlineLevel="0" collapsed="false">
      <c r="A1711" s="0" t="n">
        <v>20</v>
      </c>
      <c r="B1711" s="0" t="s">
        <v>60</v>
      </c>
      <c r="C1711" s="0" t="n">
        <v>2012</v>
      </c>
      <c r="D1711" s="0" t="n">
        <v>1</v>
      </c>
      <c r="E1711" s="38" t="n">
        <v>518519.58</v>
      </c>
    </row>
    <row r="1712" customFormat="false" ht="15" hidden="false" customHeight="false" outlineLevel="0" collapsed="false">
      <c r="A1712" s="0" t="n">
        <v>20</v>
      </c>
      <c r="B1712" s="0" t="s">
        <v>60</v>
      </c>
      <c r="C1712" s="0" t="n">
        <v>2012</v>
      </c>
      <c r="D1712" s="0" t="n">
        <v>2</v>
      </c>
      <c r="E1712" s="38" t="n">
        <v>600868.95</v>
      </c>
    </row>
    <row r="1713" customFormat="false" ht="15" hidden="false" customHeight="false" outlineLevel="0" collapsed="false">
      <c r="A1713" s="0" t="n">
        <v>20</v>
      </c>
      <c r="B1713" s="0" t="s">
        <v>60</v>
      </c>
      <c r="C1713" s="0" t="n">
        <v>2012</v>
      </c>
      <c r="D1713" s="0" t="n">
        <v>3</v>
      </c>
      <c r="E1713" s="38" t="n">
        <v>538878.56</v>
      </c>
    </row>
    <row r="1714" customFormat="false" ht="15" hidden="false" customHeight="false" outlineLevel="0" collapsed="false">
      <c r="A1714" s="0" t="n">
        <v>20</v>
      </c>
      <c r="B1714" s="0" t="s">
        <v>60</v>
      </c>
      <c r="C1714" s="0" t="n">
        <v>2012</v>
      </c>
      <c r="D1714" s="0" t="n">
        <v>4</v>
      </c>
      <c r="E1714" s="38" t="n">
        <v>596492.35</v>
      </c>
    </row>
    <row r="1715" customFormat="false" ht="15" hidden="false" customHeight="false" outlineLevel="0" collapsed="false">
      <c r="A1715" s="0" t="n">
        <v>20</v>
      </c>
      <c r="B1715" s="0" t="s">
        <v>60</v>
      </c>
      <c r="C1715" s="0" t="n">
        <v>2012</v>
      </c>
      <c r="D1715" s="0" t="n">
        <v>5</v>
      </c>
      <c r="E1715" s="38" t="n">
        <v>658118.04</v>
      </c>
    </row>
    <row r="1716" customFormat="false" ht="15" hidden="false" customHeight="false" outlineLevel="0" collapsed="false">
      <c r="A1716" s="0" t="n">
        <v>20</v>
      </c>
      <c r="B1716" s="0" t="s">
        <v>60</v>
      </c>
      <c r="C1716" s="0" t="n">
        <v>2012</v>
      </c>
      <c r="D1716" s="0" t="n">
        <v>6</v>
      </c>
      <c r="E1716" s="38" t="n">
        <v>638305.21</v>
      </c>
    </row>
    <row r="1717" customFormat="false" ht="15" hidden="false" customHeight="false" outlineLevel="0" collapsed="false">
      <c r="A1717" s="0" t="n">
        <v>20</v>
      </c>
      <c r="B1717" s="0" t="s">
        <v>60</v>
      </c>
      <c r="C1717" s="0" t="n">
        <v>2012</v>
      </c>
      <c r="D1717" s="0" t="n">
        <v>7</v>
      </c>
      <c r="E1717" s="38" t="n">
        <v>629478.76</v>
      </c>
    </row>
    <row r="1718" customFormat="false" ht="15" hidden="false" customHeight="false" outlineLevel="0" collapsed="false">
      <c r="A1718" s="0" t="n">
        <v>20</v>
      </c>
      <c r="B1718" s="0" t="s">
        <v>60</v>
      </c>
      <c r="C1718" s="0" t="n">
        <v>2012</v>
      </c>
      <c r="D1718" s="0" t="n">
        <v>8</v>
      </c>
      <c r="E1718" s="38" t="n">
        <v>517080.83</v>
      </c>
    </row>
    <row r="1719" customFormat="false" ht="15" hidden="false" customHeight="false" outlineLevel="0" collapsed="false">
      <c r="A1719" s="0" t="n">
        <v>20</v>
      </c>
      <c r="B1719" s="0" t="s">
        <v>60</v>
      </c>
      <c r="C1719" s="0" t="n">
        <v>2012</v>
      </c>
      <c r="D1719" s="0" t="n">
        <v>9</v>
      </c>
      <c r="E1719" s="38" t="n">
        <v>499058.25</v>
      </c>
    </row>
    <row r="1720" customFormat="false" ht="15" hidden="false" customHeight="false" outlineLevel="0" collapsed="false">
      <c r="A1720" s="0" t="n">
        <v>20</v>
      </c>
      <c r="B1720" s="0" t="s">
        <v>60</v>
      </c>
      <c r="C1720" s="0" t="n">
        <v>2012</v>
      </c>
      <c r="D1720" s="0" t="n">
        <v>10</v>
      </c>
      <c r="E1720" s="38" t="n">
        <v>537843.5</v>
      </c>
    </row>
    <row r="1721" customFormat="false" ht="15" hidden="false" customHeight="false" outlineLevel="0" collapsed="false">
      <c r="A1721" s="0" t="n">
        <v>20</v>
      </c>
      <c r="B1721" s="0" t="s">
        <v>60</v>
      </c>
      <c r="C1721" s="0" t="n">
        <v>2012</v>
      </c>
      <c r="D1721" s="0" t="n">
        <v>11</v>
      </c>
      <c r="E1721" s="38" t="n">
        <v>541287.76</v>
      </c>
    </row>
    <row r="1722" customFormat="false" ht="15" hidden="false" customHeight="false" outlineLevel="0" collapsed="false">
      <c r="A1722" s="0" t="n">
        <v>20</v>
      </c>
      <c r="B1722" s="0" t="s">
        <v>60</v>
      </c>
      <c r="C1722" s="0" t="n">
        <v>2012</v>
      </c>
      <c r="D1722" s="0" t="n">
        <v>12</v>
      </c>
      <c r="E1722" s="38" t="n">
        <v>501036.96</v>
      </c>
    </row>
    <row r="1723" customFormat="false" ht="15" hidden="false" customHeight="false" outlineLevel="0" collapsed="false">
      <c r="A1723" s="0" t="n">
        <v>20</v>
      </c>
      <c r="B1723" s="0" t="s">
        <v>60</v>
      </c>
      <c r="C1723" s="0" t="n">
        <v>2013</v>
      </c>
      <c r="D1723" s="0" t="n">
        <v>1</v>
      </c>
      <c r="E1723" s="38" t="n">
        <v>576872.98</v>
      </c>
    </row>
    <row r="1724" customFormat="false" ht="15" hidden="false" customHeight="false" outlineLevel="0" collapsed="false">
      <c r="A1724" s="0" t="n">
        <v>20</v>
      </c>
      <c r="B1724" s="0" t="s">
        <v>60</v>
      </c>
      <c r="C1724" s="0" t="n">
        <v>2013</v>
      </c>
      <c r="D1724" s="0" t="n">
        <v>2</v>
      </c>
      <c r="E1724" s="38" t="n">
        <v>605396.01</v>
      </c>
    </row>
    <row r="1725" customFormat="false" ht="15" hidden="false" customHeight="false" outlineLevel="0" collapsed="false">
      <c r="A1725" s="0" t="n">
        <v>20</v>
      </c>
      <c r="B1725" s="0" t="s">
        <v>60</v>
      </c>
      <c r="C1725" s="0" t="n">
        <v>2013</v>
      </c>
      <c r="D1725" s="0" t="n">
        <v>3</v>
      </c>
      <c r="E1725" s="38" t="n">
        <v>544731.65</v>
      </c>
    </row>
    <row r="1726" customFormat="false" ht="15" hidden="false" customHeight="false" outlineLevel="0" collapsed="false">
      <c r="A1726" s="0" t="n">
        <v>20</v>
      </c>
      <c r="B1726" s="0" t="s">
        <v>60</v>
      </c>
      <c r="C1726" s="0" t="n">
        <v>2013</v>
      </c>
      <c r="D1726" s="0" t="n">
        <v>4</v>
      </c>
      <c r="E1726" s="38" t="n">
        <v>609468.08</v>
      </c>
    </row>
    <row r="1727" customFormat="false" ht="15" hidden="false" customHeight="false" outlineLevel="0" collapsed="false">
      <c r="A1727" s="0" t="n">
        <v>20</v>
      </c>
      <c r="B1727" s="0" t="s">
        <v>60</v>
      </c>
      <c r="C1727" s="0" t="n">
        <v>2013</v>
      </c>
      <c r="D1727" s="0" t="n">
        <v>5</v>
      </c>
      <c r="E1727" s="38" t="n">
        <v>658605.31</v>
      </c>
    </row>
    <row r="1728" customFormat="false" ht="15" hidden="false" customHeight="false" outlineLevel="0" collapsed="false">
      <c r="A1728" s="0" t="n">
        <v>20</v>
      </c>
      <c r="B1728" s="0" t="s">
        <v>60</v>
      </c>
      <c r="C1728" s="0" t="n">
        <v>2013</v>
      </c>
      <c r="D1728" s="0" t="n">
        <v>6</v>
      </c>
      <c r="E1728" s="38" t="n">
        <v>668313.94</v>
      </c>
    </row>
    <row r="1729" customFormat="false" ht="15" hidden="false" customHeight="false" outlineLevel="0" collapsed="false">
      <c r="A1729" s="0" t="n">
        <v>20</v>
      </c>
      <c r="B1729" s="0" t="s">
        <v>60</v>
      </c>
      <c r="C1729" s="0" t="n">
        <v>2013</v>
      </c>
      <c r="D1729" s="0" t="n">
        <v>7</v>
      </c>
      <c r="E1729" s="38" t="n">
        <v>651273.31</v>
      </c>
    </row>
    <row r="1730" customFormat="false" ht="15" hidden="false" customHeight="false" outlineLevel="0" collapsed="false">
      <c r="A1730" s="0" t="n">
        <v>20</v>
      </c>
      <c r="B1730" s="0" t="s">
        <v>60</v>
      </c>
      <c r="C1730" s="0" t="n">
        <v>2013</v>
      </c>
      <c r="D1730" s="0" t="n">
        <v>8</v>
      </c>
      <c r="E1730" s="38" t="n">
        <v>517317.28</v>
      </c>
    </row>
    <row r="1731" customFormat="false" ht="15" hidden="false" customHeight="false" outlineLevel="0" collapsed="false">
      <c r="A1731" s="0" t="n">
        <v>20</v>
      </c>
      <c r="B1731" s="0" t="s">
        <v>62</v>
      </c>
      <c r="C1731" s="0" t="n">
        <v>2011</v>
      </c>
      <c r="D1731" s="0" t="n">
        <v>1</v>
      </c>
      <c r="E1731" s="38" t="n">
        <v>442657.42</v>
      </c>
    </row>
    <row r="1732" customFormat="false" ht="15" hidden="false" customHeight="false" outlineLevel="0" collapsed="false">
      <c r="A1732" s="0" t="n">
        <v>20</v>
      </c>
      <c r="B1732" s="0" t="s">
        <v>62</v>
      </c>
      <c r="C1732" s="0" t="n">
        <v>2011</v>
      </c>
      <c r="D1732" s="0" t="n">
        <v>2</v>
      </c>
      <c r="E1732" s="38" t="n">
        <v>473368.78</v>
      </c>
    </row>
    <row r="1733" customFormat="false" ht="15" hidden="false" customHeight="false" outlineLevel="0" collapsed="false">
      <c r="A1733" s="0" t="n">
        <v>20</v>
      </c>
      <c r="B1733" s="0" t="s">
        <v>62</v>
      </c>
      <c r="C1733" s="0" t="n">
        <v>2011</v>
      </c>
      <c r="D1733" s="0" t="n">
        <v>3</v>
      </c>
      <c r="E1733" s="38" t="n">
        <v>433600.57</v>
      </c>
    </row>
    <row r="1734" customFormat="false" ht="15" hidden="false" customHeight="false" outlineLevel="0" collapsed="false">
      <c r="A1734" s="0" t="n">
        <v>20</v>
      </c>
      <c r="B1734" s="0" t="s">
        <v>62</v>
      </c>
      <c r="C1734" s="0" t="n">
        <v>2011</v>
      </c>
      <c r="D1734" s="0" t="n">
        <v>4</v>
      </c>
      <c r="E1734" s="38" t="n">
        <v>486049.3</v>
      </c>
    </row>
    <row r="1735" customFormat="false" ht="15" hidden="false" customHeight="false" outlineLevel="0" collapsed="false">
      <c r="A1735" s="0" t="n">
        <v>20</v>
      </c>
      <c r="B1735" s="0" t="s">
        <v>62</v>
      </c>
      <c r="C1735" s="0" t="n">
        <v>2011</v>
      </c>
      <c r="D1735" s="0" t="n">
        <v>5</v>
      </c>
      <c r="E1735" s="38" t="n">
        <v>530164.44</v>
      </c>
    </row>
    <row r="1736" customFormat="false" ht="15" hidden="false" customHeight="false" outlineLevel="0" collapsed="false">
      <c r="A1736" s="0" t="n">
        <v>20</v>
      </c>
      <c r="B1736" s="0" t="s">
        <v>62</v>
      </c>
      <c r="C1736" s="0" t="n">
        <v>2011</v>
      </c>
      <c r="D1736" s="0" t="n">
        <v>6</v>
      </c>
      <c r="E1736" s="38" t="n">
        <v>512125.72</v>
      </c>
    </row>
    <row r="1737" customFormat="false" ht="15" hidden="false" customHeight="false" outlineLevel="0" collapsed="false">
      <c r="A1737" s="0" t="n">
        <v>20</v>
      </c>
      <c r="B1737" s="0" t="s">
        <v>62</v>
      </c>
      <c r="C1737" s="0" t="n">
        <v>2011</v>
      </c>
      <c r="D1737" s="0" t="n">
        <v>7</v>
      </c>
      <c r="E1737" s="38" t="n">
        <v>490468.26</v>
      </c>
    </row>
    <row r="1738" customFormat="false" ht="15" hidden="false" customHeight="false" outlineLevel="0" collapsed="false">
      <c r="A1738" s="0" t="n">
        <v>20</v>
      </c>
      <c r="B1738" s="0" t="s">
        <v>62</v>
      </c>
      <c r="C1738" s="0" t="n">
        <v>2011</v>
      </c>
      <c r="D1738" s="0" t="n">
        <v>8</v>
      </c>
      <c r="E1738" s="38" t="n">
        <v>405526.47</v>
      </c>
    </row>
    <row r="1739" customFormat="false" ht="15" hidden="false" customHeight="false" outlineLevel="0" collapsed="false">
      <c r="A1739" s="0" t="n">
        <v>20</v>
      </c>
      <c r="B1739" s="0" t="s">
        <v>62</v>
      </c>
      <c r="C1739" s="0" t="n">
        <v>2011</v>
      </c>
      <c r="D1739" s="0" t="n">
        <v>9</v>
      </c>
      <c r="E1739" s="38" t="n">
        <v>388876.08</v>
      </c>
    </row>
    <row r="1740" customFormat="false" ht="15" hidden="false" customHeight="false" outlineLevel="0" collapsed="false">
      <c r="A1740" s="0" t="n">
        <v>20</v>
      </c>
      <c r="B1740" s="0" t="s">
        <v>62</v>
      </c>
      <c r="C1740" s="0" t="n">
        <v>2011</v>
      </c>
      <c r="D1740" s="0" t="n">
        <v>10</v>
      </c>
      <c r="E1740" s="38" t="n">
        <v>437789.64</v>
      </c>
    </row>
    <row r="1741" customFormat="false" ht="15" hidden="false" customHeight="false" outlineLevel="0" collapsed="false">
      <c r="A1741" s="0" t="n">
        <v>20</v>
      </c>
      <c r="B1741" s="0" t="s">
        <v>62</v>
      </c>
      <c r="C1741" s="0" t="n">
        <v>2011</v>
      </c>
      <c r="D1741" s="0" t="n">
        <v>11</v>
      </c>
      <c r="E1741" s="38" t="n">
        <v>389797.78</v>
      </c>
    </row>
    <row r="1742" customFormat="false" ht="15" hidden="false" customHeight="false" outlineLevel="0" collapsed="false">
      <c r="A1742" s="0" t="n">
        <v>20</v>
      </c>
      <c r="B1742" s="0" t="s">
        <v>62</v>
      </c>
      <c r="C1742" s="0" t="n">
        <v>2011</v>
      </c>
      <c r="D1742" s="0" t="n">
        <v>12</v>
      </c>
      <c r="E1742" s="38" t="n">
        <v>348591.86</v>
      </c>
    </row>
    <row r="1743" customFormat="false" ht="15" hidden="false" customHeight="false" outlineLevel="0" collapsed="false">
      <c r="A1743" s="0" t="n">
        <v>20</v>
      </c>
      <c r="B1743" s="0" t="s">
        <v>62</v>
      </c>
      <c r="C1743" s="0" t="n">
        <v>2012</v>
      </c>
      <c r="D1743" s="0" t="n">
        <v>1</v>
      </c>
      <c r="E1743" s="38" t="n">
        <v>383506.25</v>
      </c>
    </row>
    <row r="1744" customFormat="false" ht="15" hidden="false" customHeight="false" outlineLevel="0" collapsed="false">
      <c r="A1744" s="0" t="n">
        <v>20</v>
      </c>
      <c r="B1744" s="0" t="s">
        <v>62</v>
      </c>
      <c r="C1744" s="0" t="n">
        <v>2012</v>
      </c>
      <c r="D1744" s="0" t="n">
        <v>2</v>
      </c>
      <c r="E1744" s="38" t="n">
        <v>427188.21</v>
      </c>
    </row>
    <row r="1745" customFormat="false" ht="15" hidden="false" customHeight="false" outlineLevel="0" collapsed="false">
      <c r="A1745" s="0" t="n">
        <v>20</v>
      </c>
      <c r="B1745" s="0" t="s">
        <v>62</v>
      </c>
      <c r="C1745" s="0" t="n">
        <v>2012</v>
      </c>
      <c r="D1745" s="0" t="n">
        <v>3</v>
      </c>
      <c r="E1745" s="38" t="n">
        <v>409485.65</v>
      </c>
    </row>
    <row r="1746" customFormat="false" ht="15" hidden="false" customHeight="false" outlineLevel="0" collapsed="false">
      <c r="A1746" s="0" t="n">
        <v>20</v>
      </c>
      <c r="B1746" s="0" t="s">
        <v>62</v>
      </c>
      <c r="C1746" s="0" t="n">
        <v>2012</v>
      </c>
      <c r="D1746" s="0" t="n">
        <v>4</v>
      </c>
      <c r="E1746" s="38" t="n">
        <v>432940.05</v>
      </c>
    </row>
    <row r="1747" customFormat="false" ht="15" hidden="false" customHeight="false" outlineLevel="0" collapsed="false">
      <c r="A1747" s="0" t="n">
        <v>20</v>
      </c>
      <c r="B1747" s="0" t="s">
        <v>62</v>
      </c>
      <c r="C1747" s="0" t="n">
        <v>2012</v>
      </c>
      <c r="D1747" s="0" t="n">
        <v>5</v>
      </c>
      <c r="E1747" s="38" t="n">
        <v>479206.2</v>
      </c>
    </row>
    <row r="1748" customFormat="false" ht="15" hidden="false" customHeight="false" outlineLevel="0" collapsed="false">
      <c r="A1748" s="0" t="n">
        <v>20</v>
      </c>
      <c r="B1748" s="0" t="s">
        <v>62</v>
      </c>
      <c r="C1748" s="0" t="n">
        <v>2012</v>
      </c>
      <c r="D1748" s="0" t="n">
        <v>6</v>
      </c>
      <c r="E1748" s="38" t="n">
        <v>474441.07</v>
      </c>
    </row>
    <row r="1749" customFormat="false" ht="15" hidden="false" customHeight="false" outlineLevel="0" collapsed="false">
      <c r="A1749" s="0" t="n">
        <v>20</v>
      </c>
      <c r="B1749" s="0" t="s">
        <v>62</v>
      </c>
      <c r="C1749" s="0" t="n">
        <v>2012</v>
      </c>
      <c r="D1749" s="0" t="n">
        <v>7</v>
      </c>
      <c r="E1749" s="38" t="n">
        <v>473580.97</v>
      </c>
    </row>
    <row r="1750" customFormat="false" ht="15" hidden="false" customHeight="false" outlineLevel="0" collapsed="false">
      <c r="A1750" s="0" t="n">
        <v>20</v>
      </c>
      <c r="B1750" s="0" t="s">
        <v>62</v>
      </c>
      <c r="C1750" s="0" t="n">
        <v>2012</v>
      </c>
      <c r="D1750" s="0" t="n">
        <v>8</v>
      </c>
      <c r="E1750" s="38" t="n">
        <v>396009.23</v>
      </c>
    </row>
    <row r="1751" customFormat="false" ht="15" hidden="false" customHeight="false" outlineLevel="0" collapsed="false">
      <c r="A1751" s="0" t="n">
        <v>20</v>
      </c>
      <c r="B1751" s="0" t="s">
        <v>62</v>
      </c>
      <c r="C1751" s="0" t="n">
        <v>2012</v>
      </c>
      <c r="D1751" s="0" t="n">
        <v>9</v>
      </c>
      <c r="E1751" s="38" t="n">
        <v>376995.26</v>
      </c>
    </row>
    <row r="1752" customFormat="false" ht="15" hidden="false" customHeight="false" outlineLevel="0" collapsed="false">
      <c r="A1752" s="0" t="n">
        <v>20</v>
      </c>
      <c r="B1752" s="0" t="s">
        <v>62</v>
      </c>
      <c r="C1752" s="0" t="n">
        <v>2012</v>
      </c>
      <c r="D1752" s="0" t="n">
        <v>10</v>
      </c>
      <c r="E1752" s="38" t="n">
        <v>417988.3</v>
      </c>
    </row>
    <row r="1753" customFormat="false" ht="15" hidden="false" customHeight="false" outlineLevel="0" collapsed="false">
      <c r="A1753" s="0" t="n">
        <v>20</v>
      </c>
      <c r="B1753" s="0" t="s">
        <v>62</v>
      </c>
      <c r="C1753" s="0" t="n">
        <v>2012</v>
      </c>
      <c r="D1753" s="0" t="n">
        <v>11</v>
      </c>
      <c r="E1753" s="38" t="n">
        <v>406116.15</v>
      </c>
    </row>
    <row r="1754" customFormat="false" ht="15" hidden="false" customHeight="false" outlineLevel="0" collapsed="false">
      <c r="A1754" s="0" t="n">
        <v>20</v>
      </c>
      <c r="B1754" s="0" t="s">
        <v>62</v>
      </c>
      <c r="C1754" s="0" t="n">
        <v>2012</v>
      </c>
      <c r="D1754" s="0" t="n">
        <v>12</v>
      </c>
      <c r="E1754" s="38" t="n">
        <v>371717.54</v>
      </c>
    </row>
    <row r="1755" customFormat="false" ht="15" hidden="false" customHeight="false" outlineLevel="0" collapsed="false">
      <c r="A1755" s="0" t="n">
        <v>20</v>
      </c>
      <c r="B1755" s="0" t="s">
        <v>62</v>
      </c>
      <c r="C1755" s="0" t="n">
        <v>2013</v>
      </c>
      <c r="D1755" s="0" t="n">
        <v>1</v>
      </c>
      <c r="E1755" s="38" t="n">
        <v>421758.28</v>
      </c>
    </row>
    <row r="1756" customFormat="false" ht="15" hidden="false" customHeight="false" outlineLevel="0" collapsed="false">
      <c r="A1756" s="0" t="n">
        <v>20</v>
      </c>
      <c r="B1756" s="0" t="s">
        <v>62</v>
      </c>
      <c r="C1756" s="0" t="n">
        <v>2013</v>
      </c>
      <c r="D1756" s="0" t="n">
        <v>2</v>
      </c>
      <c r="E1756" s="38" t="n">
        <v>441487.61</v>
      </c>
    </row>
    <row r="1757" customFormat="false" ht="15" hidden="false" customHeight="false" outlineLevel="0" collapsed="false">
      <c r="A1757" s="0" t="n">
        <v>20</v>
      </c>
      <c r="B1757" s="0" t="s">
        <v>62</v>
      </c>
      <c r="C1757" s="0" t="n">
        <v>2013</v>
      </c>
      <c r="D1757" s="0" t="n">
        <v>3</v>
      </c>
      <c r="E1757" s="38" t="n">
        <v>411012.29</v>
      </c>
    </row>
    <row r="1758" customFormat="false" ht="15" hidden="false" customHeight="false" outlineLevel="0" collapsed="false">
      <c r="A1758" s="0" t="n">
        <v>20</v>
      </c>
      <c r="B1758" s="0" t="s">
        <v>62</v>
      </c>
      <c r="C1758" s="0" t="n">
        <v>2013</v>
      </c>
      <c r="D1758" s="0" t="n">
        <v>4</v>
      </c>
      <c r="E1758" s="38" t="n">
        <v>439265.87</v>
      </c>
    </row>
    <row r="1759" customFormat="false" ht="15" hidden="false" customHeight="false" outlineLevel="0" collapsed="false">
      <c r="A1759" s="0" t="n">
        <v>20</v>
      </c>
      <c r="B1759" s="0" t="s">
        <v>62</v>
      </c>
      <c r="C1759" s="0" t="n">
        <v>2013</v>
      </c>
      <c r="D1759" s="0" t="n">
        <v>5</v>
      </c>
      <c r="E1759" s="38" t="n">
        <v>473805.79</v>
      </c>
    </row>
    <row r="1760" customFormat="false" ht="15" hidden="false" customHeight="false" outlineLevel="0" collapsed="false">
      <c r="A1760" s="0" t="n">
        <v>20</v>
      </c>
      <c r="B1760" s="0" t="s">
        <v>62</v>
      </c>
      <c r="C1760" s="0" t="n">
        <v>2013</v>
      </c>
      <c r="D1760" s="0" t="n">
        <v>6</v>
      </c>
      <c r="E1760" s="38" t="n">
        <v>496827.87</v>
      </c>
    </row>
    <row r="1761" customFormat="false" ht="15" hidden="false" customHeight="false" outlineLevel="0" collapsed="false">
      <c r="A1761" s="0" t="n">
        <v>20</v>
      </c>
      <c r="B1761" s="0" t="s">
        <v>62</v>
      </c>
      <c r="C1761" s="0" t="n">
        <v>2013</v>
      </c>
      <c r="D1761" s="0" t="n">
        <v>7</v>
      </c>
      <c r="E1761" s="38" t="n">
        <v>477027.87</v>
      </c>
    </row>
    <row r="1762" customFormat="false" ht="15" hidden="false" customHeight="false" outlineLevel="0" collapsed="false">
      <c r="A1762" s="0" t="n">
        <v>20</v>
      </c>
      <c r="B1762" s="0" t="s">
        <v>62</v>
      </c>
      <c r="C1762" s="0" t="n">
        <v>2013</v>
      </c>
      <c r="D1762" s="0" t="n">
        <v>8</v>
      </c>
      <c r="E1762" s="38" t="n">
        <v>406578.45</v>
      </c>
    </row>
    <row r="1763" customFormat="false" ht="15" hidden="false" customHeight="false" outlineLevel="0" collapsed="false">
      <c r="A1763" s="0" t="n">
        <v>20</v>
      </c>
      <c r="B1763" s="0" t="s">
        <v>64</v>
      </c>
      <c r="C1763" s="0" t="n">
        <v>2011</v>
      </c>
      <c r="D1763" s="0" t="n">
        <v>1</v>
      </c>
      <c r="E1763" s="38" t="n">
        <v>4</v>
      </c>
    </row>
    <row r="1764" customFormat="false" ht="15" hidden="false" customHeight="false" outlineLevel="0" collapsed="false">
      <c r="A1764" s="0" t="n">
        <v>20</v>
      </c>
      <c r="B1764" s="0" t="s">
        <v>64</v>
      </c>
      <c r="C1764" s="0" t="n">
        <v>2011</v>
      </c>
      <c r="D1764" s="0" t="n">
        <v>2</v>
      </c>
      <c r="E1764" s="38" t="n">
        <v>32.43</v>
      </c>
    </row>
    <row r="1765" customFormat="false" ht="15" hidden="false" customHeight="false" outlineLevel="0" collapsed="false">
      <c r="A1765" s="0" t="n">
        <v>20</v>
      </c>
      <c r="B1765" s="0" t="s">
        <v>64</v>
      </c>
      <c r="C1765" s="0" t="n">
        <v>2011</v>
      </c>
      <c r="D1765" s="0" t="n">
        <v>3</v>
      </c>
      <c r="E1765" s="38" t="n">
        <v>45.07</v>
      </c>
    </row>
    <row r="1766" customFormat="false" ht="15" hidden="false" customHeight="false" outlineLevel="0" collapsed="false">
      <c r="A1766" s="0" t="n">
        <v>20</v>
      </c>
      <c r="B1766" s="0" t="s">
        <v>64</v>
      </c>
      <c r="C1766" s="0" t="n">
        <v>2011</v>
      </c>
      <c r="D1766" s="0" t="n">
        <v>4</v>
      </c>
      <c r="E1766" s="38" t="n">
        <v>229.03</v>
      </c>
    </row>
    <row r="1767" customFormat="false" ht="15" hidden="false" customHeight="false" outlineLevel="0" collapsed="false">
      <c r="A1767" s="0" t="n">
        <v>20</v>
      </c>
      <c r="B1767" s="0" t="s">
        <v>64</v>
      </c>
      <c r="C1767" s="0" t="n">
        <v>2011</v>
      </c>
      <c r="D1767" s="0" t="n">
        <v>5</v>
      </c>
      <c r="E1767" s="38" t="n">
        <v>1643.56</v>
      </c>
    </row>
    <row r="1768" customFormat="false" ht="15" hidden="false" customHeight="false" outlineLevel="0" collapsed="false">
      <c r="A1768" s="0" t="n">
        <v>20</v>
      </c>
      <c r="B1768" s="0" t="s">
        <v>64</v>
      </c>
      <c r="C1768" s="0" t="n">
        <v>2011</v>
      </c>
      <c r="D1768" s="0" t="n">
        <v>6</v>
      </c>
      <c r="E1768" s="38" t="n">
        <v>1139.87</v>
      </c>
    </row>
    <row r="1769" customFormat="false" ht="15" hidden="false" customHeight="false" outlineLevel="0" collapsed="false">
      <c r="A1769" s="0" t="n">
        <v>20</v>
      </c>
      <c r="B1769" s="0" t="s">
        <v>64</v>
      </c>
      <c r="C1769" s="0" t="n">
        <v>2011</v>
      </c>
      <c r="D1769" s="0" t="n">
        <v>7</v>
      </c>
      <c r="E1769" s="38" t="n">
        <v>828.41</v>
      </c>
    </row>
    <row r="1770" customFormat="false" ht="15" hidden="false" customHeight="false" outlineLevel="0" collapsed="false">
      <c r="A1770" s="0" t="n">
        <v>20</v>
      </c>
      <c r="B1770" s="0" t="s">
        <v>64</v>
      </c>
      <c r="C1770" s="0" t="n">
        <v>2011</v>
      </c>
      <c r="D1770" s="0" t="n">
        <v>8</v>
      </c>
      <c r="E1770" s="38" t="n">
        <v>283.48</v>
      </c>
    </row>
    <row r="1771" customFormat="false" ht="15" hidden="false" customHeight="false" outlineLevel="0" collapsed="false">
      <c r="A1771" s="0" t="n">
        <v>20</v>
      </c>
      <c r="B1771" s="0" t="s">
        <v>64</v>
      </c>
      <c r="C1771" s="0" t="n">
        <v>2011</v>
      </c>
      <c r="D1771" s="0" t="n">
        <v>9</v>
      </c>
      <c r="E1771" s="38" t="n">
        <v>91.04</v>
      </c>
    </row>
    <row r="1772" customFormat="false" ht="15" hidden="false" customHeight="false" outlineLevel="0" collapsed="false">
      <c r="A1772" s="0" t="n">
        <v>20</v>
      </c>
      <c r="B1772" s="0" t="s">
        <v>64</v>
      </c>
      <c r="C1772" s="0" t="n">
        <v>2011</v>
      </c>
      <c r="D1772" s="0" t="n">
        <v>10</v>
      </c>
      <c r="E1772" s="38" t="n">
        <v>51.05</v>
      </c>
    </row>
    <row r="1773" customFormat="false" ht="15" hidden="false" customHeight="false" outlineLevel="0" collapsed="false">
      <c r="A1773" s="0" t="n">
        <v>20</v>
      </c>
      <c r="B1773" s="0" t="s">
        <v>64</v>
      </c>
      <c r="C1773" s="0" t="n">
        <v>2011</v>
      </c>
      <c r="D1773" s="0" t="n">
        <v>11</v>
      </c>
      <c r="E1773" s="38" t="n">
        <v>7.52</v>
      </c>
    </row>
    <row r="1774" customFormat="false" ht="15" hidden="false" customHeight="false" outlineLevel="0" collapsed="false">
      <c r="A1774" s="0" t="n">
        <v>20</v>
      </c>
      <c r="B1774" s="0" t="s">
        <v>64</v>
      </c>
      <c r="C1774" s="0" t="n">
        <v>2011</v>
      </c>
      <c r="D1774" s="0" t="n">
        <v>12</v>
      </c>
      <c r="E1774" s="38" t="n">
        <v>34.94</v>
      </c>
    </row>
    <row r="1775" customFormat="false" ht="15" hidden="false" customHeight="false" outlineLevel="0" collapsed="false">
      <c r="A1775" s="0" t="n">
        <v>20</v>
      </c>
      <c r="B1775" s="0" t="s">
        <v>64</v>
      </c>
      <c r="C1775" s="0" t="n">
        <v>2012</v>
      </c>
      <c r="D1775" s="0" t="n">
        <v>1</v>
      </c>
      <c r="E1775" s="38" t="n">
        <v>1088.33</v>
      </c>
    </row>
    <row r="1776" customFormat="false" ht="15" hidden="false" customHeight="false" outlineLevel="0" collapsed="false">
      <c r="A1776" s="0" t="n">
        <v>20</v>
      </c>
      <c r="B1776" s="0" t="s">
        <v>64</v>
      </c>
      <c r="C1776" s="0" t="n">
        <v>2012</v>
      </c>
      <c r="D1776" s="0" t="n">
        <v>2</v>
      </c>
      <c r="E1776" s="38" t="n">
        <v>607.43</v>
      </c>
    </row>
    <row r="1777" customFormat="false" ht="15" hidden="false" customHeight="false" outlineLevel="0" collapsed="false">
      <c r="A1777" s="0" t="n">
        <v>20</v>
      </c>
      <c r="B1777" s="0" t="s">
        <v>64</v>
      </c>
      <c r="C1777" s="0" t="n">
        <v>2012</v>
      </c>
      <c r="D1777" s="0" t="n">
        <v>3</v>
      </c>
      <c r="E1777" s="38" t="n">
        <v>343.03</v>
      </c>
    </row>
    <row r="1778" customFormat="false" ht="15" hidden="false" customHeight="false" outlineLevel="0" collapsed="false">
      <c r="A1778" s="0" t="n">
        <v>20</v>
      </c>
      <c r="B1778" s="0" t="s">
        <v>64</v>
      </c>
      <c r="C1778" s="0" t="n">
        <v>2012</v>
      </c>
      <c r="D1778" s="0" t="n">
        <v>4</v>
      </c>
      <c r="E1778" s="38" t="n">
        <v>600.9</v>
      </c>
    </row>
    <row r="1779" customFormat="false" ht="15" hidden="false" customHeight="false" outlineLevel="0" collapsed="false">
      <c r="A1779" s="0" t="n">
        <v>20</v>
      </c>
      <c r="B1779" s="0" t="s">
        <v>64</v>
      </c>
      <c r="C1779" s="0" t="n">
        <v>2012</v>
      </c>
      <c r="D1779" s="0" t="n">
        <v>5</v>
      </c>
      <c r="E1779" s="38" t="n">
        <v>1489.44</v>
      </c>
    </row>
    <row r="1780" customFormat="false" ht="15" hidden="false" customHeight="false" outlineLevel="0" collapsed="false">
      <c r="A1780" s="0" t="n">
        <v>20</v>
      </c>
      <c r="B1780" s="0" t="s">
        <v>64</v>
      </c>
      <c r="C1780" s="0" t="n">
        <v>2012</v>
      </c>
      <c r="D1780" s="0" t="n">
        <v>6</v>
      </c>
      <c r="E1780" s="38" t="n">
        <v>3177.13</v>
      </c>
    </row>
    <row r="1781" customFormat="false" ht="15" hidden="false" customHeight="false" outlineLevel="0" collapsed="false">
      <c r="A1781" s="0" t="n">
        <v>20</v>
      </c>
      <c r="B1781" s="0" t="s">
        <v>64</v>
      </c>
      <c r="C1781" s="0" t="n">
        <v>2012</v>
      </c>
      <c r="D1781" s="0" t="n">
        <v>7</v>
      </c>
      <c r="E1781" s="38" t="n">
        <v>416.45</v>
      </c>
    </row>
    <row r="1782" customFormat="false" ht="15" hidden="false" customHeight="false" outlineLevel="0" collapsed="false">
      <c r="A1782" s="0" t="n">
        <v>20</v>
      </c>
      <c r="B1782" s="0" t="s">
        <v>64</v>
      </c>
      <c r="C1782" s="0" t="n">
        <v>2012</v>
      </c>
      <c r="D1782" s="0" t="n">
        <v>8</v>
      </c>
      <c r="E1782" s="38" t="n">
        <v>104.18</v>
      </c>
    </row>
    <row r="1783" customFormat="false" ht="15" hidden="false" customHeight="false" outlineLevel="0" collapsed="false">
      <c r="A1783" s="0" t="n">
        <v>20</v>
      </c>
      <c r="B1783" s="0" t="s">
        <v>64</v>
      </c>
      <c r="C1783" s="0" t="n">
        <v>2012</v>
      </c>
      <c r="D1783" s="0" t="n">
        <v>9</v>
      </c>
      <c r="E1783" s="38" t="n">
        <v>125.71</v>
      </c>
    </row>
    <row r="1784" customFormat="false" ht="15" hidden="false" customHeight="false" outlineLevel="0" collapsed="false">
      <c r="A1784" s="0" t="n">
        <v>20</v>
      </c>
      <c r="B1784" s="0" t="s">
        <v>64</v>
      </c>
      <c r="C1784" s="0" t="n">
        <v>2012</v>
      </c>
      <c r="D1784" s="0" t="n">
        <v>10</v>
      </c>
      <c r="E1784" s="38" t="n">
        <v>121.57</v>
      </c>
    </row>
    <row r="1785" customFormat="false" ht="15" hidden="false" customHeight="false" outlineLevel="0" collapsed="false">
      <c r="A1785" s="0" t="n">
        <v>20</v>
      </c>
      <c r="B1785" s="0" t="s">
        <v>64</v>
      </c>
      <c r="C1785" s="0" t="n">
        <v>2012</v>
      </c>
      <c r="D1785" s="0" t="n">
        <v>11</v>
      </c>
      <c r="E1785" s="38" t="n">
        <v>127.39</v>
      </c>
    </row>
    <row r="1786" customFormat="false" ht="15" hidden="false" customHeight="false" outlineLevel="0" collapsed="false">
      <c r="A1786" s="0" t="n">
        <v>20</v>
      </c>
      <c r="B1786" s="0" t="s">
        <v>64</v>
      </c>
      <c r="C1786" s="0" t="n">
        <v>2012</v>
      </c>
      <c r="D1786" s="0" t="n">
        <v>12</v>
      </c>
      <c r="E1786" s="38" t="n">
        <v>171.97</v>
      </c>
    </row>
    <row r="1787" customFormat="false" ht="15" hidden="false" customHeight="false" outlineLevel="0" collapsed="false">
      <c r="A1787" s="0" t="n">
        <v>20</v>
      </c>
      <c r="B1787" s="0" t="s">
        <v>64</v>
      </c>
      <c r="C1787" s="0" t="n">
        <v>2013</v>
      </c>
      <c r="D1787" s="0" t="n">
        <v>1</v>
      </c>
      <c r="E1787" s="38" t="n">
        <v>238.85</v>
      </c>
    </row>
    <row r="1788" customFormat="false" ht="15" hidden="false" customHeight="false" outlineLevel="0" collapsed="false">
      <c r="A1788" s="0" t="n">
        <v>20</v>
      </c>
      <c r="B1788" s="0" t="s">
        <v>64</v>
      </c>
      <c r="C1788" s="0" t="n">
        <v>2013</v>
      </c>
      <c r="D1788" s="0" t="n">
        <v>2</v>
      </c>
      <c r="E1788" s="38" t="n">
        <v>531.18</v>
      </c>
    </row>
    <row r="1789" customFormat="false" ht="15" hidden="false" customHeight="false" outlineLevel="0" collapsed="false">
      <c r="A1789" s="0" t="n">
        <v>20</v>
      </c>
      <c r="B1789" s="0" t="s">
        <v>64</v>
      </c>
      <c r="C1789" s="0" t="n">
        <v>2013</v>
      </c>
      <c r="D1789" s="0" t="n">
        <v>3</v>
      </c>
      <c r="E1789" s="38" t="n">
        <v>2235.88</v>
      </c>
    </row>
    <row r="1790" customFormat="false" ht="15" hidden="false" customHeight="false" outlineLevel="0" collapsed="false">
      <c r="A1790" s="0" t="n">
        <v>20</v>
      </c>
      <c r="B1790" s="0" t="s">
        <v>64</v>
      </c>
      <c r="C1790" s="0" t="n">
        <v>2013</v>
      </c>
      <c r="D1790" s="0" t="n">
        <v>4</v>
      </c>
      <c r="E1790" s="38" t="n">
        <v>1231</v>
      </c>
    </row>
    <row r="1791" customFormat="false" ht="15" hidden="false" customHeight="false" outlineLevel="0" collapsed="false">
      <c r="A1791" s="0" t="n">
        <v>20</v>
      </c>
      <c r="B1791" s="0" t="s">
        <v>64</v>
      </c>
      <c r="C1791" s="0" t="n">
        <v>2013</v>
      </c>
      <c r="D1791" s="0" t="n">
        <v>5</v>
      </c>
      <c r="E1791" s="38" t="n">
        <v>1967.75</v>
      </c>
    </row>
    <row r="1792" customFormat="false" ht="15" hidden="false" customHeight="false" outlineLevel="0" collapsed="false">
      <c r="A1792" s="0" t="n">
        <v>20</v>
      </c>
      <c r="B1792" s="0" t="s">
        <v>64</v>
      </c>
      <c r="C1792" s="0" t="n">
        <v>2013</v>
      </c>
      <c r="D1792" s="0" t="n">
        <v>6</v>
      </c>
      <c r="E1792" s="38" t="n">
        <v>2291.71</v>
      </c>
    </row>
    <row r="1793" customFormat="false" ht="15" hidden="false" customHeight="false" outlineLevel="0" collapsed="false">
      <c r="A1793" s="0" t="n">
        <v>20</v>
      </c>
      <c r="B1793" s="0" t="s">
        <v>64</v>
      </c>
      <c r="C1793" s="0" t="n">
        <v>2013</v>
      </c>
      <c r="D1793" s="0" t="n">
        <v>7</v>
      </c>
      <c r="E1793" s="38" t="n">
        <v>1293.14</v>
      </c>
    </row>
    <row r="1794" customFormat="false" ht="15" hidden="false" customHeight="false" outlineLevel="0" collapsed="false">
      <c r="A1794" s="0" t="n">
        <v>20</v>
      </c>
      <c r="B1794" s="0" t="s">
        <v>64</v>
      </c>
      <c r="C1794" s="0" t="n">
        <v>2013</v>
      </c>
      <c r="D1794" s="0" t="n">
        <v>8</v>
      </c>
      <c r="E1794" s="38" t="n">
        <v>386.41</v>
      </c>
    </row>
    <row r="1795" customFormat="false" ht="15" hidden="false" customHeight="false" outlineLevel="0" collapsed="false">
      <c r="A1795" s="0" t="n">
        <v>21</v>
      </c>
      <c r="B1795" s="0" t="s">
        <v>60</v>
      </c>
      <c r="C1795" s="0" t="n">
        <v>2011</v>
      </c>
      <c r="D1795" s="0" t="n">
        <v>1</v>
      </c>
      <c r="E1795" s="38" t="n">
        <v>645824.64</v>
      </c>
    </row>
    <row r="1796" customFormat="false" ht="15" hidden="false" customHeight="false" outlineLevel="0" collapsed="false">
      <c r="A1796" s="0" t="n">
        <v>21</v>
      </c>
      <c r="B1796" s="0" t="s">
        <v>60</v>
      </c>
      <c r="C1796" s="0" t="n">
        <v>2011</v>
      </c>
      <c r="D1796" s="0" t="n">
        <v>2</v>
      </c>
      <c r="E1796" s="38" t="n">
        <v>732939.59</v>
      </c>
    </row>
    <row r="1797" customFormat="false" ht="15" hidden="false" customHeight="false" outlineLevel="0" collapsed="false">
      <c r="A1797" s="0" t="n">
        <v>21</v>
      </c>
      <c r="B1797" s="0" t="s">
        <v>60</v>
      </c>
      <c r="C1797" s="0" t="n">
        <v>2011</v>
      </c>
      <c r="D1797" s="0" t="n">
        <v>3</v>
      </c>
      <c r="E1797" s="38" t="n">
        <v>651921.06</v>
      </c>
    </row>
    <row r="1798" customFormat="false" ht="15" hidden="false" customHeight="false" outlineLevel="0" collapsed="false">
      <c r="A1798" s="0" t="n">
        <v>21</v>
      </c>
      <c r="B1798" s="0" t="s">
        <v>60</v>
      </c>
      <c r="C1798" s="0" t="n">
        <v>2011</v>
      </c>
      <c r="D1798" s="0" t="n">
        <v>4</v>
      </c>
      <c r="E1798" s="38" t="n">
        <v>676843.13</v>
      </c>
    </row>
    <row r="1799" customFormat="false" ht="15" hidden="false" customHeight="false" outlineLevel="0" collapsed="false">
      <c r="A1799" s="0" t="n">
        <v>21</v>
      </c>
      <c r="B1799" s="0" t="s">
        <v>60</v>
      </c>
      <c r="C1799" s="0" t="n">
        <v>2011</v>
      </c>
      <c r="D1799" s="0" t="n">
        <v>5</v>
      </c>
      <c r="E1799" s="38" t="n">
        <v>688988.58</v>
      </c>
    </row>
    <row r="1800" customFormat="false" ht="15" hidden="false" customHeight="false" outlineLevel="0" collapsed="false">
      <c r="A1800" s="0" t="n">
        <v>21</v>
      </c>
      <c r="B1800" s="0" t="s">
        <v>60</v>
      </c>
      <c r="C1800" s="0" t="n">
        <v>2011</v>
      </c>
      <c r="D1800" s="0" t="n">
        <v>6</v>
      </c>
      <c r="E1800" s="38" t="n">
        <v>720522.64</v>
      </c>
    </row>
    <row r="1801" customFormat="false" ht="15" hidden="false" customHeight="false" outlineLevel="0" collapsed="false">
      <c r="A1801" s="0" t="n">
        <v>21</v>
      </c>
      <c r="B1801" s="0" t="s">
        <v>60</v>
      </c>
      <c r="C1801" s="0" t="n">
        <v>2011</v>
      </c>
      <c r="D1801" s="0" t="n">
        <v>7</v>
      </c>
      <c r="E1801" s="38" t="n">
        <v>677450.13</v>
      </c>
    </row>
    <row r="1802" customFormat="false" ht="15" hidden="false" customHeight="false" outlineLevel="0" collapsed="false">
      <c r="A1802" s="0" t="n">
        <v>21</v>
      </c>
      <c r="B1802" s="0" t="s">
        <v>60</v>
      </c>
      <c r="C1802" s="0" t="n">
        <v>2011</v>
      </c>
      <c r="D1802" s="0" t="n">
        <v>8</v>
      </c>
      <c r="E1802" s="38" t="n">
        <v>608162.58</v>
      </c>
    </row>
    <row r="1803" customFormat="false" ht="15" hidden="false" customHeight="false" outlineLevel="0" collapsed="false">
      <c r="A1803" s="0" t="n">
        <v>21</v>
      </c>
      <c r="B1803" s="0" t="s">
        <v>60</v>
      </c>
      <c r="C1803" s="0" t="n">
        <v>2011</v>
      </c>
      <c r="D1803" s="0" t="n">
        <v>9</v>
      </c>
      <c r="E1803" s="38" t="n">
        <v>622063.92</v>
      </c>
    </row>
    <row r="1804" customFormat="false" ht="15" hidden="false" customHeight="false" outlineLevel="0" collapsed="false">
      <c r="A1804" s="0" t="n">
        <v>21</v>
      </c>
      <c r="B1804" s="0" t="s">
        <v>60</v>
      </c>
      <c r="C1804" s="0" t="n">
        <v>2011</v>
      </c>
      <c r="D1804" s="0" t="n">
        <v>10</v>
      </c>
      <c r="E1804" s="38" t="n">
        <v>680284.73</v>
      </c>
    </row>
    <row r="1805" customFormat="false" ht="15" hidden="false" customHeight="false" outlineLevel="0" collapsed="false">
      <c r="A1805" s="0" t="n">
        <v>21</v>
      </c>
      <c r="B1805" s="0" t="s">
        <v>60</v>
      </c>
      <c r="C1805" s="0" t="n">
        <v>2011</v>
      </c>
      <c r="D1805" s="0" t="n">
        <v>11</v>
      </c>
      <c r="E1805" s="38" t="n">
        <v>900647.75</v>
      </c>
    </row>
    <row r="1806" customFormat="false" ht="15" hidden="false" customHeight="false" outlineLevel="0" collapsed="false">
      <c r="A1806" s="0" t="n">
        <v>21</v>
      </c>
      <c r="B1806" s="0" t="s">
        <v>60</v>
      </c>
      <c r="C1806" s="0" t="n">
        <v>2011</v>
      </c>
      <c r="D1806" s="0" t="n">
        <v>12</v>
      </c>
      <c r="E1806" s="38" t="n">
        <v>545045.01</v>
      </c>
    </row>
    <row r="1807" customFormat="false" ht="15" hidden="false" customHeight="false" outlineLevel="0" collapsed="false">
      <c r="A1807" s="0" t="n">
        <v>21</v>
      </c>
      <c r="B1807" s="0" t="s">
        <v>60</v>
      </c>
      <c r="C1807" s="0" t="n">
        <v>2012</v>
      </c>
      <c r="D1807" s="0" t="n">
        <v>1</v>
      </c>
      <c r="E1807" s="38" t="n">
        <v>561270.73</v>
      </c>
    </row>
    <row r="1808" customFormat="false" ht="15" hidden="false" customHeight="false" outlineLevel="0" collapsed="false">
      <c r="A1808" s="0" t="n">
        <v>21</v>
      </c>
      <c r="B1808" s="0" t="s">
        <v>60</v>
      </c>
      <c r="C1808" s="0" t="n">
        <v>2012</v>
      </c>
      <c r="D1808" s="0" t="n">
        <v>2</v>
      </c>
      <c r="E1808" s="38" t="n">
        <v>589512.43</v>
      </c>
    </row>
    <row r="1809" customFormat="false" ht="15" hidden="false" customHeight="false" outlineLevel="0" collapsed="false">
      <c r="A1809" s="0" t="n">
        <v>21</v>
      </c>
      <c r="B1809" s="0" t="s">
        <v>60</v>
      </c>
      <c r="C1809" s="0" t="n">
        <v>2012</v>
      </c>
      <c r="D1809" s="0" t="n">
        <v>3</v>
      </c>
      <c r="E1809" s="38" t="n">
        <v>605463.1</v>
      </c>
    </row>
    <row r="1810" customFormat="false" ht="15" hidden="false" customHeight="false" outlineLevel="0" collapsed="false">
      <c r="A1810" s="0" t="n">
        <v>21</v>
      </c>
      <c r="B1810" s="0" t="s">
        <v>60</v>
      </c>
      <c r="C1810" s="0" t="n">
        <v>2012</v>
      </c>
      <c r="D1810" s="0" t="n">
        <v>4</v>
      </c>
      <c r="E1810" s="38" t="n">
        <v>570409.79</v>
      </c>
    </row>
    <row r="1811" customFormat="false" ht="15" hidden="false" customHeight="false" outlineLevel="0" collapsed="false">
      <c r="A1811" s="0" t="n">
        <v>21</v>
      </c>
      <c r="B1811" s="0" t="s">
        <v>60</v>
      </c>
      <c r="C1811" s="0" t="n">
        <v>2012</v>
      </c>
      <c r="D1811" s="0" t="n">
        <v>5</v>
      </c>
      <c r="E1811" s="38" t="n">
        <v>569581.53</v>
      </c>
    </row>
    <row r="1812" customFormat="false" ht="15" hidden="false" customHeight="false" outlineLevel="0" collapsed="false">
      <c r="A1812" s="0" t="n">
        <v>21</v>
      </c>
      <c r="B1812" s="0" t="s">
        <v>60</v>
      </c>
      <c r="C1812" s="0" t="n">
        <v>2012</v>
      </c>
      <c r="D1812" s="0" t="n">
        <v>6</v>
      </c>
      <c r="E1812" s="38" t="n">
        <v>593523.04</v>
      </c>
    </row>
    <row r="1813" customFormat="false" ht="15" hidden="false" customHeight="false" outlineLevel="0" collapsed="false">
      <c r="A1813" s="0" t="n">
        <v>21</v>
      </c>
      <c r="B1813" s="0" t="s">
        <v>60</v>
      </c>
      <c r="C1813" s="0" t="n">
        <v>2012</v>
      </c>
      <c r="D1813" s="0" t="n">
        <v>7</v>
      </c>
      <c r="E1813" s="38" t="n">
        <v>605506.92</v>
      </c>
    </row>
    <row r="1814" customFormat="false" ht="15" hidden="false" customHeight="false" outlineLevel="0" collapsed="false">
      <c r="A1814" s="0" t="n">
        <v>21</v>
      </c>
      <c r="B1814" s="0" t="s">
        <v>60</v>
      </c>
      <c r="C1814" s="0" t="n">
        <v>2012</v>
      </c>
      <c r="D1814" s="0" t="n">
        <v>8</v>
      </c>
      <c r="E1814" s="38" t="n">
        <v>564512.53</v>
      </c>
    </row>
    <row r="1815" customFormat="false" ht="15" hidden="false" customHeight="false" outlineLevel="0" collapsed="false">
      <c r="A1815" s="0" t="n">
        <v>21</v>
      </c>
      <c r="B1815" s="0" t="s">
        <v>60</v>
      </c>
      <c r="C1815" s="0" t="n">
        <v>2012</v>
      </c>
      <c r="D1815" s="0" t="n">
        <v>9</v>
      </c>
      <c r="E1815" s="38" t="n">
        <v>607680.69</v>
      </c>
    </row>
    <row r="1816" customFormat="false" ht="15" hidden="false" customHeight="false" outlineLevel="0" collapsed="false">
      <c r="A1816" s="0" t="n">
        <v>21</v>
      </c>
      <c r="B1816" s="0" t="s">
        <v>60</v>
      </c>
      <c r="C1816" s="0" t="n">
        <v>2012</v>
      </c>
      <c r="D1816" s="0" t="n">
        <v>10</v>
      </c>
      <c r="E1816" s="38" t="n">
        <v>665837.14</v>
      </c>
    </row>
    <row r="1817" customFormat="false" ht="15" hidden="false" customHeight="false" outlineLevel="0" collapsed="false">
      <c r="A1817" s="0" t="n">
        <v>21</v>
      </c>
      <c r="B1817" s="0" t="s">
        <v>60</v>
      </c>
      <c r="C1817" s="0" t="n">
        <v>2012</v>
      </c>
      <c r="D1817" s="0" t="n">
        <v>11</v>
      </c>
      <c r="E1817" s="38" t="n">
        <v>862013.65</v>
      </c>
    </row>
    <row r="1818" customFormat="false" ht="15" hidden="false" customHeight="false" outlineLevel="0" collapsed="false">
      <c r="A1818" s="0" t="n">
        <v>21</v>
      </c>
      <c r="B1818" s="0" t="s">
        <v>60</v>
      </c>
      <c r="C1818" s="0" t="n">
        <v>2012</v>
      </c>
      <c r="D1818" s="0" t="n">
        <v>12</v>
      </c>
      <c r="E1818" s="38" t="n">
        <v>507966.89</v>
      </c>
    </row>
    <row r="1819" customFormat="false" ht="15" hidden="false" customHeight="false" outlineLevel="0" collapsed="false">
      <c r="A1819" s="0" t="n">
        <v>21</v>
      </c>
      <c r="B1819" s="0" t="s">
        <v>60</v>
      </c>
      <c r="C1819" s="0" t="n">
        <v>2013</v>
      </c>
      <c r="D1819" s="0" t="n">
        <v>1</v>
      </c>
      <c r="E1819" s="38" t="n">
        <v>564058.54</v>
      </c>
    </row>
    <row r="1820" customFormat="false" ht="15" hidden="false" customHeight="false" outlineLevel="0" collapsed="false">
      <c r="A1820" s="0" t="n">
        <v>21</v>
      </c>
      <c r="B1820" s="0" t="s">
        <v>60</v>
      </c>
      <c r="C1820" s="0" t="n">
        <v>2013</v>
      </c>
      <c r="D1820" s="0" t="n">
        <v>2</v>
      </c>
      <c r="E1820" s="38" t="n">
        <v>644115.1</v>
      </c>
    </row>
    <row r="1821" customFormat="false" ht="15" hidden="false" customHeight="false" outlineLevel="0" collapsed="false">
      <c r="A1821" s="0" t="n">
        <v>21</v>
      </c>
      <c r="B1821" s="0" t="s">
        <v>60</v>
      </c>
      <c r="C1821" s="0" t="n">
        <v>2013</v>
      </c>
      <c r="D1821" s="0" t="n">
        <v>3</v>
      </c>
      <c r="E1821" s="38" t="n">
        <v>601405.68</v>
      </c>
    </row>
    <row r="1822" customFormat="false" ht="15" hidden="false" customHeight="false" outlineLevel="0" collapsed="false">
      <c r="A1822" s="0" t="n">
        <v>21</v>
      </c>
      <c r="B1822" s="0" t="s">
        <v>60</v>
      </c>
      <c r="C1822" s="0" t="n">
        <v>2013</v>
      </c>
      <c r="D1822" s="0" t="n">
        <v>4</v>
      </c>
      <c r="E1822" s="38" t="n">
        <v>542470.02</v>
      </c>
    </row>
    <row r="1823" customFormat="false" ht="15" hidden="false" customHeight="false" outlineLevel="0" collapsed="false">
      <c r="A1823" s="0" t="n">
        <v>21</v>
      </c>
      <c r="B1823" s="0" t="s">
        <v>60</v>
      </c>
      <c r="C1823" s="0" t="n">
        <v>2013</v>
      </c>
      <c r="D1823" s="0" t="n">
        <v>5</v>
      </c>
      <c r="E1823" s="38" t="n">
        <v>544217.93</v>
      </c>
    </row>
    <row r="1824" customFormat="false" ht="15" hidden="false" customHeight="false" outlineLevel="0" collapsed="false">
      <c r="A1824" s="0" t="n">
        <v>21</v>
      </c>
      <c r="B1824" s="0" t="s">
        <v>60</v>
      </c>
      <c r="C1824" s="0" t="n">
        <v>2013</v>
      </c>
      <c r="D1824" s="0" t="n">
        <v>6</v>
      </c>
      <c r="E1824" s="38" t="n">
        <v>575344.59</v>
      </c>
    </row>
    <row r="1825" customFormat="false" ht="15" hidden="false" customHeight="false" outlineLevel="0" collapsed="false">
      <c r="A1825" s="0" t="n">
        <v>21</v>
      </c>
      <c r="B1825" s="0" t="s">
        <v>60</v>
      </c>
      <c r="C1825" s="0" t="n">
        <v>2013</v>
      </c>
      <c r="D1825" s="0" t="n">
        <v>7</v>
      </c>
      <c r="E1825" s="38" t="n">
        <v>585373.91</v>
      </c>
    </row>
    <row r="1826" customFormat="false" ht="15" hidden="false" customHeight="false" outlineLevel="0" collapsed="false">
      <c r="A1826" s="0" t="n">
        <v>21</v>
      </c>
      <c r="B1826" s="0" t="s">
        <v>60</v>
      </c>
      <c r="C1826" s="0" t="n">
        <v>2013</v>
      </c>
      <c r="D1826" s="0" t="n">
        <v>8</v>
      </c>
      <c r="E1826" s="38" t="n">
        <v>546394.55</v>
      </c>
    </row>
    <row r="1827" customFormat="false" ht="15" hidden="false" customHeight="false" outlineLevel="0" collapsed="false">
      <c r="A1827" s="0" t="n">
        <v>21</v>
      </c>
      <c r="B1827" s="0" t="s">
        <v>62</v>
      </c>
      <c r="C1827" s="0" t="n">
        <v>2011</v>
      </c>
      <c r="D1827" s="0" t="n">
        <v>1</v>
      </c>
      <c r="E1827" s="38" t="n">
        <v>320702.55</v>
      </c>
    </row>
    <row r="1828" customFormat="false" ht="15" hidden="false" customHeight="false" outlineLevel="0" collapsed="false">
      <c r="A1828" s="0" t="n">
        <v>21</v>
      </c>
      <c r="B1828" s="0" t="s">
        <v>62</v>
      </c>
      <c r="C1828" s="0" t="n">
        <v>2011</v>
      </c>
      <c r="D1828" s="0" t="n">
        <v>2</v>
      </c>
      <c r="E1828" s="38" t="n">
        <v>366920.28</v>
      </c>
    </row>
    <row r="1829" customFormat="false" ht="15" hidden="false" customHeight="false" outlineLevel="0" collapsed="false">
      <c r="A1829" s="0" t="n">
        <v>21</v>
      </c>
      <c r="B1829" s="0" t="s">
        <v>62</v>
      </c>
      <c r="C1829" s="0" t="n">
        <v>2011</v>
      </c>
      <c r="D1829" s="0" t="n">
        <v>3</v>
      </c>
      <c r="E1829" s="38" t="n">
        <v>319153.66</v>
      </c>
    </row>
    <row r="1830" customFormat="false" ht="15" hidden="false" customHeight="false" outlineLevel="0" collapsed="false">
      <c r="A1830" s="0" t="n">
        <v>21</v>
      </c>
      <c r="B1830" s="0" t="s">
        <v>62</v>
      </c>
      <c r="C1830" s="0" t="n">
        <v>2011</v>
      </c>
      <c r="D1830" s="0" t="n">
        <v>4</v>
      </c>
      <c r="E1830" s="38" t="n">
        <v>320955.22</v>
      </c>
    </row>
    <row r="1831" customFormat="false" ht="15" hidden="false" customHeight="false" outlineLevel="0" collapsed="false">
      <c r="A1831" s="0" t="n">
        <v>21</v>
      </c>
      <c r="B1831" s="0" t="s">
        <v>62</v>
      </c>
      <c r="C1831" s="0" t="n">
        <v>2011</v>
      </c>
      <c r="D1831" s="0" t="n">
        <v>5</v>
      </c>
      <c r="E1831" s="38" t="n">
        <v>337279.21</v>
      </c>
    </row>
    <row r="1832" customFormat="false" ht="15" hidden="false" customHeight="false" outlineLevel="0" collapsed="false">
      <c r="A1832" s="0" t="n">
        <v>21</v>
      </c>
      <c r="B1832" s="0" t="s">
        <v>62</v>
      </c>
      <c r="C1832" s="0" t="n">
        <v>2011</v>
      </c>
      <c r="D1832" s="0" t="n">
        <v>6</v>
      </c>
      <c r="E1832" s="38" t="n">
        <v>351469.13</v>
      </c>
    </row>
    <row r="1833" customFormat="false" ht="15" hidden="false" customHeight="false" outlineLevel="0" collapsed="false">
      <c r="A1833" s="0" t="n">
        <v>21</v>
      </c>
      <c r="B1833" s="0" t="s">
        <v>62</v>
      </c>
      <c r="C1833" s="0" t="n">
        <v>2011</v>
      </c>
      <c r="D1833" s="0" t="n">
        <v>7</v>
      </c>
      <c r="E1833" s="38" t="n">
        <v>330673.83</v>
      </c>
    </row>
    <row r="1834" customFormat="false" ht="15" hidden="false" customHeight="false" outlineLevel="0" collapsed="false">
      <c r="A1834" s="0" t="n">
        <v>21</v>
      </c>
      <c r="B1834" s="0" t="s">
        <v>62</v>
      </c>
      <c r="C1834" s="0" t="n">
        <v>2011</v>
      </c>
      <c r="D1834" s="0" t="n">
        <v>8</v>
      </c>
      <c r="E1834" s="38" t="n">
        <v>297186.2</v>
      </c>
    </row>
    <row r="1835" customFormat="false" ht="15" hidden="false" customHeight="false" outlineLevel="0" collapsed="false">
      <c r="A1835" s="0" t="n">
        <v>21</v>
      </c>
      <c r="B1835" s="0" t="s">
        <v>62</v>
      </c>
      <c r="C1835" s="0" t="n">
        <v>2011</v>
      </c>
      <c r="D1835" s="0" t="n">
        <v>9</v>
      </c>
      <c r="E1835" s="38" t="n">
        <v>303100.91</v>
      </c>
    </row>
    <row r="1836" customFormat="false" ht="15" hidden="false" customHeight="false" outlineLevel="0" collapsed="false">
      <c r="A1836" s="0" t="n">
        <v>21</v>
      </c>
      <c r="B1836" s="0" t="s">
        <v>62</v>
      </c>
      <c r="C1836" s="0" t="n">
        <v>2011</v>
      </c>
      <c r="D1836" s="0" t="n">
        <v>10</v>
      </c>
      <c r="E1836" s="38" t="n">
        <v>331054.04</v>
      </c>
    </row>
    <row r="1837" customFormat="false" ht="15" hidden="false" customHeight="false" outlineLevel="0" collapsed="false">
      <c r="A1837" s="0" t="n">
        <v>21</v>
      </c>
      <c r="B1837" s="0" t="s">
        <v>62</v>
      </c>
      <c r="C1837" s="0" t="n">
        <v>2011</v>
      </c>
      <c r="D1837" s="0" t="n">
        <v>11</v>
      </c>
      <c r="E1837" s="38" t="n">
        <v>450403.78</v>
      </c>
    </row>
    <row r="1838" customFormat="false" ht="15" hidden="false" customHeight="false" outlineLevel="0" collapsed="false">
      <c r="A1838" s="0" t="n">
        <v>21</v>
      </c>
      <c r="B1838" s="0" t="s">
        <v>62</v>
      </c>
      <c r="C1838" s="0" t="n">
        <v>2011</v>
      </c>
      <c r="D1838" s="0" t="n">
        <v>12</v>
      </c>
      <c r="E1838" s="38" t="n">
        <v>261577.03</v>
      </c>
    </row>
    <row r="1839" customFormat="false" ht="15" hidden="false" customHeight="false" outlineLevel="0" collapsed="false">
      <c r="A1839" s="0" t="n">
        <v>21</v>
      </c>
      <c r="B1839" s="0" t="s">
        <v>62</v>
      </c>
      <c r="C1839" s="0" t="n">
        <v>2012</v>
      </c>
      <c r="D1839" s="0" t="n">
        <v>1</v>
      </c>
      <c r="E1839" s="38" t="n">
        <v>278590.2</v>
      </c>
    </row>
    <row r="1840" customFormat="false" ht="15" hidden="false" customHeight="false" outlineLevel="0" collapsed="false">
      <c r="A1840" s="0" t="n">
        <v>21</v>
      </c>
      <c r="B1840" s="0" t="s">
        <v>62</v>
      </c>
      <c r="C1840" s="0" t="n">
        <v>2012</v>
      </c>
      <c r="D1840" s="0" t="n">
        <v>2</v>
      </c>
      <c r="E1840" s="38" t="n">
        <v>294732.64</v>
      </c>
    </row>
    <row r="1841" customFormat="false" ht="15" hidden="false" customHeight="false" outlineLevel="0" collapsed="false">
      <c r="A1841" s="0" t="n">
        <v>21</v>
      </c>
      <c r="B1841" s="0" t="s">
        <v>62</v>
      </c>
      <c r="C1841" s="0" t="n">
        <v>2012</v>
      </c>
      <c r="D1841" s="0" t="n">
        <v>3</v>
      </c>
      <c r="E1841" s="38" t="n">
        <v>307339.83</v>
      </c>
    </row>
    <row r="1842" customFormat="false" ht="15" hidden="false" customHeight="false" outlineLevel="0" collapsed="false">
      <c r="A1842" s="0" t="n">
        <v>21</v>
      </c>
      <c r="B1842" s="0" t="s">
        <v>62</v>
      </c>
      <c r="C1842" s="0" t="n">
        <v>2012</v>
      </c>
      <c r="D1842" s="0" t="n">
        <v>4</v>
      </c>
      <c r="E1842" s="38" t="n">
        <v>280501.08</v>
      </c>
    </row>
    <row r="1843" customFormat="false" ht="15" hidden="false" customHeight="false" outlineLevel="0" collapsed="false">
      <c r="A1843" s="0" t="n">
        <v>21</v>
      </c>
      <c r="B1843" s="0" t="s">
        <v>62</v>
      </c>
      <c r="C1843" s="0" t="n">
        <v>2012</v>
      </c>
      <c r="D1843" s="0" t="n">
        <v>5</v>
      </c>
      <c r="E1843" s="38" t="n">
        <v>289884.41</v>
      </c>
    </row>
    <row r="1844" customFormat="false" ht="15" hidden="false" customHeight="false" outlineLevel="0" collapsed="false">
      <c r="A1844" s="0" t="n">
        <v>21</v>
      </c>
      <c r="B1844" s="0" t="s">
        <v>62</v>
      </c>
      <c r="C1844" s="0" t="n">
        <v>2012</v>
      </c>
      <c r="D1844" s="0" t="n">
        <v>6</v>
      </c>
      <c r="E1844" s="38" t="n">
        <v>299879.74</v>
      </c>
    </row>
    <row r="1845" customFormat="false" ht="15" hidden="false" customHeight="false" outlineLevel="0" collapsed="false">
      <c r="A1845" s="0" t="n">
        <v>21</v>
      </c>
      <c r="B1845" s="0" t="s">
        <v>62</v>
      </c>
      <c r="C1845" s="0" t="n">
        <v>2012</v>
      </c>
      <c r="D1845" s="0" t="n">
        <v>7</v>
      </c>
      <c r="E1845" s="38" t="n">
        <v>306197.03</v>
      </c>
    </row>
    <row r="1846" customFormat="false" ht="15" hidden="false" customHeight="false" outlineLevel="0" collapsed="false">
      <c r="A1846" s="0" t="n">
        <v>21</v>
      </c>
      <c r="B1846" s="0" t="s">
        <v>62</v>
      </c>
      <c r="C1846" s="0" t="n">
        <v>2012</v>
      </c>
      <c r="D1846" s="0" t="n">
        <v>8</v>
      </c>
      <c r="E1846" s="38" t="n">
        <v>284481.02</v>
      </c>
    </row>
    <row r="1847" customFormat="false" ht="15" hidden="false" customHeight="false" outlineLevel="0" collapsed="false">
      <c r="A1847" s="0" t="n">
        <v>21</v>
      </c>
      <c r="B1847" s="0" t="s">
        <v>62</v>
      </c>
      <c r="C1847" s="0" t="n">
        <v>2012</v>
      </c>
      <c r="D1847" s="0" t="n">
        <v>9</v>
      </c>
      <c r="E1847" s="38" t="n">
        <v>294613.73</v>
      </c>
    </row>
    <row r="1848" customFormat="false" ht="15" hidden="false" customHeight="false" outlineLevel="0" collapsed="false">
      <c r="A1848" s="0" t="n">
        <v>21</v>
      </c>
      <c r="B1848" s="0" t="s">
        <v>62</v>
      </c>
      <c r="C1848" s="0" t="n">
        <v>2012</v>
      </c>
      <c r="D1848" s="0" t="n">
        <v>10</v>
      </c>
      <c r="E1848" s="38" t="n">
        <v>341327.63</v>
      </c>
    </row>
    <row r="1849" customFormat="false" ht="15" hidden="false" customHeight="false" outlineLevel="0" collapsed="false">
      <c r="A1849" s="0" t="n">
        <v>21</v>
      </c>
      <c r="B1849" s="0" t="s">
        <v>62</v>
      </c>
      <c r="C1849" s="0" t="n">
        <v>2012</v>
      </c>
      <c r="D1849" s="0" t="n">
        <v>11</v>
      </c>
      <c r="E1849" s="38" t="n">
        <v>445452.44</v>
      </c>
    </row>
    <row r="1850" customFormat="false" ht="15" hidden="false" customHeight="false" outlineLevel="0" collapsed="false">
      <c r="A1850" s="0" t="n">
        <v>21</v>
      </c>
      <c r="B1850" s="0" t="s">
        <v>62</v>
      </c>
      <c r="C1850" s="0" t="n">
        <v>2012</v>
      </c>
      <c r="D1850" s="0" t="n">
        <v>12</v>
      </c>
      <c r="E1850" s="38" t="n">
        <v>251322.03</v>
      </c>
    </row>
    <row r="1851" customFormat="false" ht="15" hidden="false" customHeight="false" outlineLevel="0" collapsed="false">
      <c r="A1851" s="0" t="n">
        <v>21</v>
      </c>
      <c r="B1851" s="0" t="s">
        <v>62</v>
      </c>
      <c r="C1851" s="0" t="n">
        <v>2013</v>
      </c>
      <c r="D1851" s="0" t="n">
        <v>1</v>
      </c>
      <c r="E1851" s="38" t="n">
        <v>291839.83</v>
      </c>
    </row>
    <row r="1852" customFormat="false" ht="15" hidden="false" customHeight="false" outlineLevel="0" collapsed="false">
      <c r="A1852" s="0" t="n">
        <v>21</v>
      </c>
      <c r="B1852" s="0" t="s">
        <v>62</v>
      </c>
      <c r="C1852" s="0" t="n">
        <v>2013</v>
      </c>
      <c r="D1852" s="0" t="n">
        <v>2</v>
      </c>
      <c r="E1852" s="38" t="n">
        <v>347677.47</v>
      </c>
    </row>
    <row r="1853" customFormat="false" ht="15" hidden="false" customHeight="false" outlineLevel="0" collapsed="false">
      <c r="A1853" s="0" t="n">
        <v>21</v>
      </c>
      <c r="B1853" s="0" t="s">
        <v>62</v>
      </c>
      <c r="C1853" s="0" t="n">
        <v>2013</v>
      </c>
      <c r="D1853" s="0" t="n">
        <v>3</v>
      </c>
      <c r="E1853" s="38" t="n">
        <v>319366.6</v>
      </c>
    </row>
    <row r="1854" customFormat="false" ht="15" hidden="false" customHeight="false" outlineLevel="0" collapsed="false">
      <c r="A1854" s="0" t="n">
        <v>21</v>
      </c>
      <c r="B1854" s="0" t="s">
        <v>62</v>
      </c>
      <c r="C1854" s="0" t="n">
        <v>2013</v>
      </c>
      <c r="D1854" s="0" t="n">
        <v>4</v>
      </c>
      <c r="E1854" s="38" t="n">
        <v>276177.63</v>
      </c>
    </row>
    <row r="1855" customFormat="false" ht="15" hidden="false" customHeight="false" outlineLevel="0" collapsed="false">
      <c r="A1855" s="0" t="n">
        <v>21</v>
      </c>
      <c r="B1855" s="0" t="s">
        <v>62</v>
      </c>
      <c r="C1855" s="0" t="n">
        <v>2013</v>
      </c>
      <c r="D1855" s="0" t="n">
        <v>5</v>
      </c>
      <c r="E1855" s="38" t="n">
        <v>292748.96</v>
      </c>
    </row>
    <row r="1856" customFormat="false" ht="15" hidden="false" customHeight="false" outlineLevel="0" collapsed="false">
      <c r="A1856" s="0" t="n">
        <v>21</v>
      </c>
      <c r="B1856" s="0" t="s">
        <v>62</v>
      </c>
      <c r="C1856" s="0" t="n">
        <v>2013</v>
      </c>
      <c r="D1856" s="0" t="n">
        <v>6</v>
      </c>
      <c r="E1856" s="38" t="n">
        <v>305379.34</v>
      </c>
    </row>
    <row r="1857" customFormat="false" ht="15" hidden="false" customHeight="false" outlineLevel="0" collapsed="false">
      <c r="A1857" s="0" t="n">
        <v>21</v>
      </c>
      <c r="B1857" s="0" t="s">
        <v>62</v>
      </c>
      <c r="C1857" s="0" t="n">
        <v>2013</v>
      </c>
      <c r="D1857" s="0" t="n">
        <v>7</v>
      </c>
      <c r="E1857" s="38" t="n">
        <v>297073.1</v>
      </c>
    </row>
    <row r="1858" customFormat="false" ht="15" hidden="false" customHeight="false" outlineLevel="0" collapsed="false">
      <c r="A1858" s="0" t="n">
        <v>21</v>
      </c>
      <c r="B1858" s="0" t="s">
        <v>62</v>
      </c>
      <c r="C1858" s="0" t="n">
        <v>2013</v>
      </c>
      <c r="D1858" s="0" t="n">
        <v>8</v>
      </c>
      <c r="E1858" s="38" t="n">
        <v>271234.14</v>
      </c>
    </row>
    <row r="1859" customFormat="false" ht="15" hidden="false" customHeight="false" outlineLevel="0" collapsed="false">
      <c r="A1859" s="0" t="n">
        <v>21</v>
      </c>
      <c r="B1859" s="0" t="s">
        <v>64</v>
      </c>
      <c r="C1859" s="0" t="n">
        <v>2011</v>
      </c>
      <c r="D1859" s="0" t="n">
        <v>1</v>
      </c>
      <c r="E1859" s="38" t="n">
        <v>39673.36</v>
      </c>
    </row>
    <row r="1860" customFormat="false" ht="15" hidden="false" customHeight="false" outlineLevel="0" collapsed="false">
      <c r="A1860" s="0" t="n">
        <v>21</v>
      </c>
      <c r="B1860" s="0" t="s">
        <v>64</v>
      </c>
      <c r="C1860" s="0" t="n">
        <v>2011</v>
      </c>
      <c r="D1860" s="0" t="n">
        <v>2</v>
      </c>
      <c r="E1860" s="38" t="n">
        <v>40884.9</v>
      </c>
    </row>
    <row r="1861" customFormat="false" ht="15" hidden="false" customHeight="false" outlineLevel="0" collapsed="false">
      <c r="A1861" s="0" t="n">
        <v>21</v>
      </c>
      <c r="B1861" s="0" t="s">
        <v>64</v>
      </c>
      <c r="C1861" s="0" t="n">
        <v>2011</v>
      </c>
      <c r="D1861" s="0" t="n">
        <v>3</v>
      </c>
      <c r="E1861" s="38" t="n">
        <v>40219.09</v>
      </c>
    </row>
    <row r="1862" customFormat="false" ht="15" hidden="false" customHeight="false" outlineLevel="0" collapsed="false">
      <c r="A1862" s="0" t="n">
        <v>21</v>
      </c>
      <c r="B1862" s="0" t="s">
        <v>64</v>
      </c>
      <c r="C1862" s="0" t="n">
        <v>2011</v>
      </c>
      <c r="D1862" s="0" t="n">
        <v>4</v>
      </c>
      <c r="E1862" s="38" t="n">
        <v>41334.44</v>
      </c>
    </row>
    <row r="1863" customFormat="false" ht="15" hidden="false" customHeight="false" outlineLevel="0" collapsed="false">
      <c r="A1863" s="0" t="n">
        <v>21</v>
      </c>
      <c r="B1863" s="0" t="s">
        <v>64</v>
      </c>
      <c r="C1863" s="0" t="n">
        <v>2011</v>
      </c>
      <c r="D1863" s="0" t="n">
        <v>5</v>
      </c>
      <c r="E1863" s="38" t="n">
        <v>38029.18</v>
      </c>
    </row>
    <row r="1864" customFormat="false" ht="15" hidden="false" customHeight="false" outlineLevel="0" collapsed="false">
      <c r="A1864" s="0" t="n">
        <v>21</v>
      </c>
      <c r="B1864" s="0" t="s">
        <v>64</v>
      </c>
      <c r="C1864" s="0" t="n">
        <v>2011</v>
      </c>
      <c r="D1864" s="0" t="n">
        <v>6</v>
      </c>
      <c r="E1864" s="38" t="n">
        <v>39368.88</v>
      </c>
    </row>
    <row r="1865" customFormat="false" ht="15" hidden="false" customHeight="false" outlineLevel="0" collapsed="false">
      <c r="A1865" s="0" t="n">
        <v>21</v>
      </c>
      <c r="B1865" s="0" t="s">
        <v>64</v>
      </c>
      <c r="C1865" s="0" t="n">
        <v>2011</v>
      </c>
      <c r="D1865" s="0" t="n">
        <v>7</v>
      </c>
      <c r="E1865" s="38" t="n">
        <v>39654.01</v>
      </c>
    </row>
    <row r="1866" customFormat="false" ht="15" hidden="false" customHeight="false" outlineLevel="0" collapsed="false">
      <c r="A1866" s="0" t="n">
        <v>21</v>
      </c>
      <c r="B1866" s="0" t="s">
        <v>64</v>
      </c>
      <c r="C1866" s="0" t="n">
        <v>2011</v>
      </c>
      <c r="D1866" s="0" t="n">
        <v>8</v>
      </c>
      <c r="E1866" s="38" t="n">
        <v>38050.39</v>
      </c>
    </row>
    <row r="1867" customFormat="false" ht="15" hidden="false" customHeight="false" outlineLevel="0" collapsed="false">
      <c r="A1867" s="0" t="n">
        <v>21</v>
      </c>
      <c r="B1867" s="0" t="s">
        <v>64</v>
      </c>
      <c r="C1867" s="0" t="n">
        <v>2011</v>
      </c>
      <c r="D1867" s="0" t="n">
        <v>9</v>
      </c>
      <c r="E1867" s="38" t="n">
        <v>37764.18</v>
      </c>
    </row>
    <row r="1868" customFormat="false" ht="15" hidden="false" customHeight="false" outlineLevel="0" collapsed="false">
      <c r="A1868" s="0" t="n">
        <v>21</v>
      </c>
      <c r="B1868" s="0" t="s">
        <v>64</v>
      </c>
      <c r="C1868" s="0" t="n">
        <v>2011</v>
      </c>
      <c r="D1868" s="0" t="n">
        <v>10</v>
      </c>
      <c r="E1868" s="38" t="n">
        <v>36502.85</v>
      </c>
    </row>
    <row r="1869" customFormat="false" ht="15" hidden="false" customHeight="false" outlineLevel="0" collapsed="false">
      <c r="A1869" s="0" t="n">
        <v>21</v>
      </c>
      <c r="B1869" s="0" t="s">
        <v>64</v>
      </c>
      <c r="C1869" s="0" t="n">
        <v>2011</v>
      </c>
      <c r="D1869" s="0" t="n">
        <v>11</v>
      </c>
      <c r="E1869" s="38" t="n">
        <v>35024.03</v>
      </c>
    </row>
    <row r="1870" customFormat="false" ht="15" hidden="false" customHeight="false" outlineLevel="0" collapsed="false">
      <c r="A1870" s="0" t="n">
        <v>21</v>
      </c>
      <c r="B1870" s="0" t="s">
        <v>64</v>
      </c>
      <c r="C1870" s="0" t="n">
        <v>2011</v>
      </c>
      <c r="D1870" s="0" t="n">
        <v>12</v>
      </c>
      <c r="E1870" s="38" t="n">
        <v>35430.52</v>
      </c>
    </row>
    <row r="1871" customFormat="false" ht="15" hidden="false" customHeight="false" outlineLevel="0" collapsed="false">
      <c r="A1871" s="0" t="n">
        <v>21</v>
      </c>
      <c r="B1871" s="0" t="s">
        <v>64</v>
      </c>
      <c r="C1871" s="0" t="n">
        <v>2012</v>
      </c>
      <c r="D1871" s="0" t="n">
        <v>1</v>
      </c>
      <c r="E1871" s="38" t="n">
        <v>32087.96</v>
      </c>
    </row>
    <row r="1872" customFormat="false" ht="15" hidden="false" customHeight="false" outlineLevel="0" collapsed="false">
      <c r="A1872" s="0" t="n">
        <v>21</v>
      </c>
      <c r="B1872" s="0" t="s">
        <v>64</v>
      </c>
      <c r="C1872" s="0" t="n">
        <v>2012</v>
      </c>
      <c r="D1872" s="0" t="n">
        <v>2</v>
      </c>
      <c r="E1872" s="38" t="n">
        <v>35279.72</v>
      </c>
    </row>
    <row r="1873" customFormat="false" ht="15" hidden="false" customHeight="false" outlineLevel="0" collapsed="false">
      <c r="A1873" s="0" t="n">
        <v>21</v>
      </c>
      <c r="B1873" s="0" t="s">
        <v>64</v>
      </c>
      <c r="C1873" s="0" t="n">
        <v>2012</v>
      </c>
      <c r="D1873" s="0" t="n">
        <v>3</v>
      </c>
      <c r="E1873" s="38" t="n">
        <v>35033.56</v>
      </c>
    </row>
    <row r="1874" customFormat="false" ht="15" hidden="false" customHeight="false" outlineLevel="0" collapsed="false">
      <c r="A1874" s="0" t="n">
        <v>21</v>
      </c>
      <c r="B1874" s="0" t="s">
        <v>64</v>
      </c>
      <c r="C1874" s="0" t="n">
        <v>2012</v>
      </c>
      <c r="D1874" s="0" t="n">
        <v>4</v>
      </c>
      <c r="E1874" s="38" t="n">
        <v>37249.55</v>
      </c>
    </row>
    <row r="1875" customFormat="false" ht="15" hidden="false" customHeight="false" outlineLevel="0" collapsed="false">
      <c r="A1875" s="0" t="n">
        <v>21</v>
      </c>
      <c r="B1875" s="0" t="s">
        <v>64</v>
      </c>
      <c r="C1875" s="0" t="n">
        <v>2012</v>
      </c>
      <c r="D1875" s="0" t="n">
        <v>5</v>
      </c>
      <c r="E1875" s="38" t="n">
        <v>34899.89</v>
      </c>
    </row>
    <row r="1876" customFormat="false" ht="15" hidden="false" customHeight="false" outlineLevel="0" collapsed="false">
      <c r="A1876" s="0" t="n">
        <v>21</v>
      </c>
      <c r="B1876" s="0" t="s">
        <v>64</v>
      </c>
      <c r="C1876" s="0" t="n">
        <v>2012</v>
      </c>
      <c r="D1876" s="0" t="n">
        <v>6</v>
      </c>
      <c r="E1876" s="38" t="n">
        <v>35062.29</v>
      </c>
    </row>
    <row r="1877" customFormat="false" ht="15" hidden="false" customHeight="false" outlineLevel="0" collapsed="false">
      <c r="A1877" s="0" t="n">
        <v>21</v>
      </c>
      <c r="B1877" s="0" t="s">
        <v>64</v>
      </c>
      <c r="C1877" s="0" t="n">
        <v>2012</v>
      </c>
      <c r="D1877" s="0" t="n">
        <v>7</v>
      </c>
      <c r="E1877" s="38" t="n">
        <v>35622.18</v>
      </c>
    </row>
    <row r="1878" customFormat="false" ht="15" hidden="false" customHeight="false" outlineLevel="0" collapsed="false">
      <c r="A1878" s="0" t="n">
        <v>21</v>
      </c>
      <c r="B1878" s="0" t="s">
        <v>64</v>
      </c>
      <c r="C1878" s="0" t="n">
        <v>2012</v>
      </c>
      <c r="D1878" s="0" t="n">
        <v>8</v>
      </c>
      <c r="E1878" s="38" t="n">
        <v>34566.17</v>
      </c>
    </row>
    <row r="1879" customFormat="false" ht="15" hidden="false" customHeight="false" outlineLevel="0" collapsed="false">
      <c r="A1879" s="0" t="n">
        <v>21</v>
      </c>
      <c r="B1879" s="0" t="s">
        <v>64</v>
      </c>
      <c r="C1879" s="0" t="n">
        <v>2012</v>
      </c>
      <c r="D1879" s="0" t="n">
        <v>9</v>
      </c>
      <c r="E1879" s="38" t="n">
        <v>33307.08</v>
      </c>
    </row>
    <row r="1880" customFormat="false" ht="15" hidden="false" customHeight="false" outlineLevel="0" collapsed="false">
      <c r="A1880" s="0" t="n">
        <v>21</v>
      </c>
      <c r="B1880" s="0" t="s">
        <v>64</v>
      </c>
      <c r="C1880" s="0" t="n">
        <v>2012</v>
      </c>
      <c r="D1880" s="0" t="n">
        <v>10</v>
      </c>
      <c r="E1880" s="38" t="n">
        <v>33336.45</v>
      </c>
    </row>
    <row r="1881" customFormat="false" ht="15" hidden="false" customHeight="false" outlineLevel="0" collapsed="false">
      <c r="A1881" s="0" t="n">
        <v>21</v>
      </c>
      <c r="B1881" s="0" t="s">
        <v>64</v>
      </c>
      <c r="C1881" s="0" t="n">
        <v>2012</v>
      </c>
      <c r="D1881" s="0" t="n">
        <v>11</v>
      </c>
      <c r="E1881" s="38" t="n">
        <v>31523.42</v>
      </c>
    </row>
    <row r="1882" customFormat="false" ht="15" hidden="false" customHeight="false" outlineLevel="0" collapsed="false">
      <c r="A1882" s="0" t="n">
        <v>21</v>
      </c>
      <c r="B1882" s="0" t="s">
        <v>64</v>
      </c>
      <c r="C1882" s="0" t="n">
        <v>2012</v>
      </c>
      <c r="D1882" s="0" t="n">
        <v>12</v>
      </c>
      <c r="E1882" s="38" t="n">
        <v>34040.5</v>
      </c>
    </row>
    <row r="1883" customFormat="false" ht="15" hidden="false" customHeight="false" outlineLevel="0" collapsed="false">
      <c r="A1883" s="0" t="n">
        <v>21</v>
      </c>
      <c r="B1883" s="0" t="s">
        <v>64</v>
      </c>
      <c r="C1883" s="0" t="n">
        <v>2013</v>
      </c>
      <c r="D1883" s="0" t="n">
        <v>1</v>
      </c>
      <c r="E1883" s="38" t="n">
        <v>31980.61</v>
      </c>
    </row>
    <row r="1884" customFormat="false" ht="15" hidden="false" customHeight="false" outlineLevel="0" collapsed="false">
      <c r="A1884" s="0" t="n">
        <v>21</v>
      </c>
      <c r="B1884" s="0" t="s">
        <v>64</v>
      </c>
      <c r="C1884" s="0" t="n">
        <v>2013</v>
      </c>
      <c r="D1884" s="0" t="n">
        <v>2</v>
      </c>
      <c r="E1884" s="38" t="n">
        <v>34984.76</v>
      </c>
    </row>
    <row r="1885" customFormat="false" ht="15" hidden="false" customHeight="false" outlineLevel="0" collapsed="false">
      <c r="A1885" s="0" t="n">
        <v>21</v>
      </c>
      <c r="B1885" s="0" t="s">
        <v>64</v>
      </c>
      <c r="C1885" s="0" t="n">
        <v>2013</v>
      </c>
      <c r="D1885" s="0" t="n">
        <v>3</v>
      </c>
      <c r="E1885" s="38" t="n">
        <v>33045.56</v>
      </c>
    </row>
    <row r="1886" customFormat="false" ht="15" hidden="false" customHeight="false" outlineLevel="0" collapsed="false">
      <c r="A1886" s="0" t="n">
        <v>21</v>
      </c>
      <c r="B1886" s="0" t="s">
        <v>64</v>
      </c>
      <c r="C1886" s="0" t="n">
        <v>2013</v>
      </c>
      <c r="D1886" s="0" t="n">
        <v>4</v>
      </c>
      <c r="E1886" s="38" t="n">
        <v>31993.2</v>
      </c>
    </row>
    <row r="1887" customFormat="false" ht="15" hidden="false" customHeight="false" outlineLevel="0" collapsed="false">
      <c r="A1887" s="0" t="n">
        <v>21</v>
      </c>
      <c r="B1887" s="0" t="s">
        <v>64</v>
      </c>
      <c r="C1887" s="0" t="n">
        <v>2013</v>
      </c>
      <c r="D1887" s="0" t="n">
        <v>5</v>
      </c>
      <c r="E1887" s="38" t="n">
        <v>31658.22</v>
      </c>
    </row>
    <row r="1888" customFormat="false" ht="15" hidden="false" customHeight="false" outlineLevel="0" collapsed="false">
      <c r="A1888" s="0" t="n">
        <v>21</v>
      </c>
      <c r="B1888" s="0" t="s">
        <v>64</v>
      </c>
      <c r="C1888" s="0" t="n">
        <v>2013</v>
      </c>
      <c r="D1888" s="0" t="n">
        <v>6</v>
      </c>
      <c r="E1888" s="38" t="n">
        <v>32969.14</v>
      </c>
    </row>
    <row r="1889" customFormat="false" ht="15" hidden="false" customHeight="false" outlineLevel="0" collapsed="false">
      <c r="A1889" s="0" t="n">
        <v>21</v>
      </c>
      <c r="B1889" s="0" t="s">
        <v>64</v>
      </c>
      <c r="C1889" s="0" t="n">
        <v>2013</v>
      </c>
      <c r="D1889" s="0" t="n">
        <v>7</v>
      </c>
      <c r="E1889" s="38" t="n">
        <v>33906.96</v>
      </c>
    </row>
    <row r="1890" customFormat="false" ht="15" hidden="false" customHeight="false" outlineLevel="0" collapsed="false">
      <c r="A1890" s="0" t="n">
        <v>21</v>
      </c>
      <c r="B1890" s="0" t="s">
        <v>64</v>
      </c>
      <c r="C1890" s="0" t="n">
        <v>2013</v>
      </c>
      <c r="D1890" s="0" t="n">
        <v>8</v>
      </c>
      <c r="E1890" s="38" t="n">
        <v>30547.83</v>
      </c>
    </row>
    <row r="1891" customFormat="false" ht="15" hidden="false" customHeight="false" outlineLevel="0" collapsed="false">
      <c r="A1891" s="0" t="n">
        <v>22</v>
      </c>
      <c r="B1891" s="0" t="s">
        <v>60</v>
      </c>
      <c r="C1891" s="0" t="n">
        <v>2011</v>
      </c>
      <c r="D1891" s="0" t="n">
        <v>1</v>
      </c>
      <c r="E1891" s="38" t="n">
        <v>1117167.18</v>
      </c>
    </row>
    <row r="1892" customFormat="false" ht="15" hidden="false" customHeight="false" outlineLevel="0" collapsed="false">
      <c r="A1892" s="0" t="n">
        <v>22</v>
      </c>
      <c r="B1892" s="0" t="s">
        <v>60</v>
      </c>
      <c r="C1892" s="0" t="n">
        <v>2011</v>
      </c>
      <c r="D1892" s="0" t="n">
        <v>2</v>
      </c>
      <c r="E1892" s="38" t="n">
        <v>1036328.93</v>
      </c>
    </row>
    <row r="1893" customFormat="false" ht="15" hidden="false" customHeight="false" outlineLevel="0" collapsed="false">
      <c r="A1893" s="0" t="n">
        <v>22</v>
      </c>
      <c r="B1893" s="0" t="s">
        <v>60</v>
      </c>
      <c r="C1893" s="0" t="n">
        <v>2011</v>
      </c>
      <c r="D1893" s="0" t="n">
        <v>3</v>
      </c>
      <c r="E1893" s="38" t="n">
        <v>862619.57</v>
      </c>
    </row>
    <row r="1894" customFormat="false" ht="15" hidden="false" customHeight="false" outlineLevel="0" collapsed="false">
      <c r="A1894" s="0" t="n">
        <v>22</v>
      </c>
      <c r="B1894" s="0" t="s">
        <v>60</v>
      </c>
      <c r="C1894" s="0" t="n">
        <v>2011</v>
      </c>
      <c r="D1894" s="0" t="n">
        <v>4</v>
      </c>
      <c r="E1894" s="38" t="n">
        <v>899593.72</v>
      </c>
    </row>
    <row r="1895" customFormat="false" ht="15" hidden="false" customHeight="false" outlineLevel="0" collapsed="false">
      <c r="A1895" s="0" t="n">
        <v>22</v>
      </c>
      <c r="B1895" s="0" t="s">
        <v>60</v>
      </c>
      <c r="C1895" s="0" t="n">
        <v>2011</v>
      </c>
      <c r="D1895" s="0" t="n">
        <v>5</v>
      </c>
      <c r="E1895" s="38" t="n">
        <v>915219.85</v>
      </c>
    </row>
    <row r="1896" customFormat="false" ht="15" hidden="false" customHeight="false" outlineLevel="0" collapsed="false">
      <c r="A1896" s="0" t="n">
        <v>22</v>
      </c>
      <c r="B1896" s="0" t="s">
        <v>60</v>
      </c>
      <c r="C1896" s="0" t="n">
        <v>2011</v>
      </c>
      <c r="D1896" s="0" t="n">
        <v>6</v>
      </c>
      <c r="E1896" s="38" t="n">
        <v>1026374.33</v>
      </c>
    </row>
    <row r="1897" customFormat="false" ht="15" hidden="false" customHeight="false" outlineLevel="0" collapsed="false">
      <c r="A1897" s="0" t="n">
        <v>22</v>
      </c>
      <c r="B1897" s="0" t="s">
        <v>60</v>
      </c>
      <c r="C1897" s="0" t="n">
        <v>2011</v>
      </c>
      <c r="D1897" s="0" t="n">
        <v>7</v>
      </c>
      <c r="E1897" s="38" t="n">
        <v>1083338.89</v>
      </c>
    </row>
    <row r="1898" customFormat="false" ht="15" hidden="false" customHeight="false" outlineLevel="0" collapsed="false">
      <c r="A1898" s="0" t="n">
        <v>22</v>
      </c>
      <c r="B1898" s="0" t="s">
        <v>60</v>
      </c>
      <c r="C1898" s="0" t="n">
        <v>2011</v>
      </c>
      <c r="D1898" s="0" t="n">
        <v>8</v>
      </c>
      <c r="E1898" s="38" t="n">
        <v>1001622.12</v>
      </c>
    </row>
    <row r="1899" customFormat="false" ht="15" hidden="false" customHeight="false" outlineLevel="0" collapsed="false">
      <c r="A1899" s="0" t="n">
        <v>22</v>
      </c>
      <c r="B1899" s="0" t="s">
        <v>60</v>
      </c>
      <c r="C1899" s="0" t="n">
        <v>2011</v>
      </c>
      <c r="D1899" s="0" t="n">
        <v>9</v>
      </c>
      <c r="E1899" s="38" t="n">
        <v>1050857.51</v>
      </c>
    </row>
    <row r="1900" customFormat="false" ht="15" hidden="false" customHeight="false" outlineLevel="0" collapsed="false">
      <c r="A1900" s="0" t="n">
        <v>22</v>
      </c>
      <c r="B1900" s="0" t="s">
        <v>60</v>
      </c>
      <c r="C1900" s="0" t="n">
        <v>2011</v>
      </c>
      <c r="D1900" s="0" t="n">
        <v>10</v>
      </c>
      <c r="E1900" s="38" t="n">
        <v>1297565.07</v>
      </c>
    </row>
    <row r="1901" customFormat="false" ht="15" hidden="false" customHeight="false" outlineLevel="0" collapsed="false">
      <c r="A1901" s="0" t="n">
        <v>22</v>
      </c>
      <c r="B1901" s="0" t="s">
        <v>60</v>
      </c>
      <c r="C1901" s="0" t="n">
        <v>2011</v>
      </c>
      <c r="D1901" s="0" t="n">
        <v>11</v>
      </c>
      <c r="E1901" s="38" t="n">
        <v>1657362.82</v>
      </c>
    </row>
    <row r="1902" customFormat="false" ht="15" hidden="false" customHeight="false" outlineLevel="0" collapsed="false">
      <c r="A1902" s="0" t="n">
        <v>22</v>
      </c>
      <c r="B1902" s="0" t="s">
        <v>60</v>
      </c>
      <c r="C1902" s="0" t="n">
        <v>2011</v>
      </c>
      <c r="D1902" s="0" t="n">
        <v>12</v>
      </c>
      <c r="E1902" s="38" t="n">
        <v>939181.5</v>
      </c>
    </row>
    <row r="1903" customFormat="false" ht="15" hidden="false" customHeight="false" outlineLevel="0" collapsed="false">
      <c r="A1903" s="0" t="n">
        <v>22</v>
      </c>
      <c r="B1903" s="0" t="s">
        <v>60</v>
      </c>
      <c r="C1903" s="0" t="n">
        <v>2012</v>
      </c>
      <c r="D1903" s="0" t="n">
        <v>1</v>
      </c>
      <c r="E1903" s="38" t="n">
        <v>1095721.9</v>
      </c>
    </row>
    <row r="1904" customFormat="false" ht="15" hidden="false" customHeight="false" outlineLevel="0" collapsed="false">
      <c r="A1904" s="0" t="n">
        <v>22</v>
      </c>
      <c r="B1904" s="0" t="s">
        <v>60</v>
      </c>
      <c r="C1904" s="0" t="n">
        <v>2012</v>
      </c>
      <c r="D1904" s="0" t="n">
        <v>2</v>
      </c>
      <c r="E1904" s="38" t="n">
        <v>1034078.9</v>
      </c>
    </row>
    <row r="1905" customFormat="false" ht="15" hidden="false" customHeight="false" outlineLevel="0" collapsed="false">
      <c r="A1905" s="0" t="n">
        <v>22</v>
      </c>
      <c r="B1905" s="0" t="s">
        <v>60</v>
      </c>
      <c r="C1905" s="0" t="n">
        <v>2012</v>
      </c>
      <c r="D1905" s="0" t="n">
        <v>3</v>
      </c>
      <c r="E1905" s="38" t="n">
        <v>865507.14</v>
      </c>
    </row>
    <row r="1906" customFormat="false" ht="15" hidden="false" customHeight="false" outlineLevel="0" collapsed="false">
      <c r="A1906" s="0" t="n">
        <v>22</v>
      </c>
      <c r="B1906" s="0" t="s">
        <v>60</v>
      </c>
      <c r="C1906" s="0" t="n">
        <v>2012</v>
      </c>
      <c r="D1906" s="0" t="n">
        <v>4</v>
      </c>
      <c r="E1906" s="38" t="n">
        <v>876841.73</v>
      </c>
    </row>
    <row r="1907" customFormat="false" ht="15" hidden="false" customHeight="false" outlineLevel="0" collapsed="false">
      <c r="A1907" s="0" t="n">
        <v>22</v>
      </c>
      <c r="B1907" s="0" t="s">
        <v>60</v>
      </c>
      <c r="C1907" s="0" t="n">
        <v>2012</v>
      </c>
      <c r="D1907" s="0" t="n">
        <v>5</v>
      </c>
      <c r="E1907" s="38" t="n">
        <v>866309.88</v>
      </c>
    </row>
    <row r="1908" customFormat="false" ht="15" hidden="false" customHeight="false" outlineLevel="0" collapsed="false">
      <c r="A1908" s="0" t="n">
        <v>22</v>
      </c>
      <c r="B1908" s="0" t="s">
        <v>60</v>
      </c>
      <c r="C1908" s="0" t="n">
        <v>2012</v>
      </c>
      <c r="D1908" s="0" t="n">
        <v>6</v>
      </c>
      <c r="E1908" s="38" t="n">
        <v>994623.45</v>
      </c>
    </row>
    <row r="1909" customFormat="false" ht="15" hidden="false" customHeight="false" outlineLevel="0" collapsed="false">
      <c r="A1909" s="0" t="n">
        <v>22</v>
      </c>
      <c r="B1909" s="0" t="s">
        <v>60</v>
      </c>
      <c r="C1909" s="0" t="n">
        <v>2012</v>
      </c>
      <c r="D1909" s="0" t="n">
        <v>7</v>
      </c>
      <c r="E1909" s="38" t="n">
        <v>1032099.77</v>
      </c>
    </row>
    <row r="1910" customFormat="false" ht="15" hidden="false" customHeight="false" outlineLevel="0" collapsed="false">
      <c r="A1910" s="0" t="n">
        <v>22</v>
      </c>
      <c r="B1910" s="0" t="s">
        <v>60</v>
      </c>
      <c r="C1910" s="0" t="n">
        <v>2012</v>
      </c>
      <c r="D1910" s="0" t="n">
        <v>8</v>
      </c>
      <c r="E1910" s="38" t="n">
        <v>987601.54</v>
      </c>
    </row>
    <row r="1911" customFormat="false" ht="15" hidden="false" customHeight="false" outlineLevel="0" collapsed="false">
      <c r="A1911" s="0" t="n">
        <v>22</v>
      </c>
      <c r="B1911" s="0" t="s">
        <v>60</v>
      </c>
      <c r="C1911" s="0" t="n">
        <v>2012</v>
      </c>
      <c r="D1911" s="0" t="n">
        <v>9</v>
      </c>
      <c r="E1911" s="38" t="n">
        <v>1042733.85</v>
      </c>
    </row>
    <row r="1912" customFormat="false" ht="15" hidden="false" customHeight="false" outlineLevel="0" collapsed="false">
      <c r="A1912" s="0" t="n">
        <v>22</v>
      </c>
      <c r="B1912" s="0" t="s">
        <v>60</v>
      </c>
      <c r="C1912" s="0" t="n">
        <v>2012</v>
      </c>
      <c r="D1912" s="0" t="n">
        <v>10</v>
      </c>
      <c r="E1912" s="38" t="n">
        <v>1269224.77</v>
      </c>
    </row>
    <row r="1913" customFormat="false" ht="15" hidden="false" customHeight="false" outlineLevel="0" collapsed="false">
      <c r="A1913" s="0" t="n">
        <v>22</v>
      </c>
      <c r="B1913" s="0" t="s">
        <v>60</v>
      </c>
      <c r="C1913" s="0" t="n">
        <v>2012</v>
      </c>
      <c r="D1913" s="0" t="n">
        <v>11</v>
      </c>
      <c r="E1913" s="38" t="n">
        <v>1535956.28</v>
      </c>
    </row>
    <row r="1914" customFormat="false" ht="15" hidden="false" customHeight="false" outlineLevel="0" collapsed="false">
      <c r="A1914" s="0" t="n">
        <v>22</v>
      </c>
      <c r="B1914" s="0" t="s">
        <v>60</v>
      </c>
      <c r="C1914" s="0" t="n">
        <v>2012</v>
      </c>
      <c r="D1914" s="0" t="n">
        <v>12</v>
      </c>
      <c r="E1914" s="38" t="n">
        <v>919406.97</v>
      </c>
    </row>
    <row r="1915" customFormat="false" ht="15" hidden="false" customHeight="false" outlineLevel="0" collapsed="false">
      <c r="A1915" s="0" t="n">
        <v>22</v>
      </c>
      <c r="B1915" s="0" t="s">
        <v>60</v>
      </c>
      <c r="C1915" s="0" t="n">
        <v>2013</v>
      </c>
      <c r="D1915" s="0" t="n">
        <v>1</v>
      </c>
      <c r="E1915" s="38" t="n">
        <v>1199715.18</v>
      </c>
    </row>
    <row r="1916" customFormat="false" ht="15" hidden="false" customHeight="false" outlineLevel="0" collapsed="false">
      <c r="A1916" s="0" t="n">
        <v>22</v>
      </c>
      <c r="B1916" s="0" t="s">
        <v>60</v>
      </c>
      <c r="C1916" s="0" t="n">
        <v>2013</v>
      </c>
      <c r="D1916" s="0" t="n">
        <v>2</v>
      </c>
      <c r="E1916" s="38" t="n">
        <v>1074702.69</v>
      </c>
    </row>
    <row r="1917" customFormat="false" ht="15" hidden="false" customHeight="false" outlineLevel="0" collapsed="false">
      <c r="A1917" s="0" t="n">
        <v>22</v>
      </c>
      <c r="B1917" s="0" t="s">
        <v>60</v>
      </c>
      <c r="C1917" s="0" t="n">
        <v>2013</v>
      </c>
      <c r="D1917" s="0" t="n">
        <v>3</v>
      </c>
      <c r="E1917" s="38" t="n">
        <v>874025.57</v>
      </c>
    </row>
    <row r="1918" customFormat="false" ht="15" hidden="false" customHeight="false" outlineLevel="0" collapsed="false">
      <c r="A1918" s="0" t="n">
        <v>22</v>
      </c>
      <c r="B1918" s="0" t="s">
        <v>60</v>
      </c>
      <c r="C1918" s="0" t="n">
        <v>2013</v>
      </c>
      <c r="D1918" s="0" t="n">
        <v>4</v>
      </c>
      <c r="E1918" s="38" t="n">
        <v>899098.95</v>
      </c>
    </row>
    <row r="1919" customFormat="false" ht="15" hidden="false" customHeight="false" outlineLevel="0" collapsed="false">
      <c r="A1919" s="0" t="n">
        <v>22</v>
      </c>
      <c r="B1919" s="0" t="s">
        <v>60</v>
      </c>
      <c r="C1919" s="0" t="n">
        <v>2013</v>
      </c>
      <c r="D1919" s="0" t="n">
        <v>5</v>
      </c>
      <c r="E1919" s="38" t="n">
        <v>897799.59</v>
      </c>
    </row>
    <row r="1920" customFormat="false" ht="15" hidden="false" customHeight="false" outlineLevel="0" collapsed="false">
      <c r="A1920" s="0" t="n">
        <v>22</v>
      </c>
      <c r="B1920" s="0" t="s">
        <v>60</v>
      </c>
      <c r="C1920" s="0" t="n">
        <v>2013</v>
      </c>
      <c r="D1920" s="0" t="n">
        <v>6</v>
      </c>
      <c r="E1920" s="38" t="n">
        <v>1038769.32</v>
      </c>
    </row>
    <row r="1921" customFormat="false" ht="15" hidden="false" customHeight="false" outlineLevel="0" collapsed="false">
      <c r="A1921" s="0" t="n">
        <v>22</v>
      </c>
      <c r="B1921" s="0" t="s">
        <v>60</v>
      </c>
      <c r="C1921" s="0" t="n">
        <v>2013</v>
      </c>
      <c r="D1921" s="0" t="n">
        <v>7</v>
      </c>
      <c r="E1921" s="38" t="n">
        <v>1125016.86</v>
      </c>
    </row>
    <row r="1922" customFormat="false" ht="15" hidden="false" customHeight="false" outlineLevel="0" collapsed="false">
      <c r="A1922" s="0" t="n">
        <v>22</v>
      </c>
      <c r="B1922" s="0" t="s">
        <v>60</v>
      </c>
      <c r="C1922" s="0" t="n">
        <v>2013</v>
      </c>
      <c r="D1922" s="0" t="n">
        <v>8</v>
      </c>
      <c r="E1922" s="38" t="n">
        <v>997188.06</v>
      </c>
    </row>
    <row r="1923" customFormat="false" ht="15" hidden="false" customHeight="false" outlineLevel="0" collapsed="false">
      <c r="A1923" s="0" t="n">
        <v>22</v>
      </c>
      <c r="B1923" s="0" t="s">
        <v>62</v>
      </c>
      <c r="C1923" s="0" t="n">
        <v>2011</v>
      </c>
      <c r="D1923" s="0" t="n">
        <v>1</v>
      </c>
      <c r="E1923" s="38" t="n">
        <v>871688.69</v>
      </c>
    </row>
    <row r="1924" customFormat="false" ht="15" hidden="false" customHeight="false" outlineLevel="0" collapsed="false">
      <c r="A1924" s="0" t="n">
        <v>22</v>
      </c>
      <c r="B1924" s="0" t="s">
        <v>62</v>
      </c>
      <c r="C1924" s="0" t="n">
        <v>2011</v>
      </c>
      <c r="D1924" s="0" t="n">
        <v>2</v>
      </c>
      <c r="E1924" s="38" t="n">
        <v>781146.05</v>
      </c>
    </row>
    <row r="1925" customFormat="false" ht="15" hidden="false" customHeight="false" outlineLevel="0" collapsed="false">
      <c r="A1925" s="0" t="n">
        <v>22</v>
      </c>
      <c r="B1925" s="0" t="s">
        <v>62</v>
      </c>
      <c r="C1925" s="0" t="n">
        <v>2011</v>
      </c>
      <c r="D1925" s="0" t="n">
        <v>3</v>
      </c>
      <c r="E1925" s="38" t="n">
        <v>669024.89</v>
      </c>
    </row>
    <row r="1926" customFormat="false" ht="15" hidden="false" customHeight="false" outlineLevel="0" collapsed="false">
      <c r="A1926" s="0" t="n">
        <v>22</v>
      </c>
      <c r="B1926" s="0" t="s">
        <v>62</v>
      </c>
      <c r="C1926" s="0" t="n">
        <v>2011</v>
      </c>
      <c r="D1926" s="0" t="n">
        <v>4</v>
      </c>
      <c r="E1926" s="38" t="n">
        <v>673340.35</v>
      </c>
    </row>
    <row r="1927" customFormat="false" ht="15" hidden="false" customHeight="false" outlineLevel="0" collapsed="false">
      <c r="A1927" s="0" t="n">
        <v>22</v>
      </c>
      <c r="B1927" s="0" t="s">
        <v>62</v>
      </c>
      <c r="C1927" s="0" t="n">
        <v>2011</v>
      </c>
      <c r="D1927" s="0" t="n">
        <v>5</v>
      </c>
      <c r="E1927" s="38" t="n">
        <v>679628.72</v>
      </c>
    </row>
    <row r="1928" customFormat="false" ht="15" hidden="false" customHeight="false" outlineLevel="0" collapsed="false">
      <c r="A1928" s="0" t="n">
        <v>22</v>
      </c>
      <c r="B1928" s="0" t="s">
        <v>62</v>
      </c>
      <c r="C1928" s="0" t="n">
        <v>2011</v>
      </c>
      <c r="D1928" s="0" t="n">
        <v>6</v>
      </c>
      <c r="E1928" s="38" t="n">
        <v>774339.26</v>
      </c>
    </row>
    <row r="1929" customFormat="false" ht="15" hidden="false" customHeight="false" outlineLevel="0" collapsed="false">
      <c r="A1929" s="0" t="n">
        <v>22</v>
      </c>
      <c r="B1929" s="0" t="s">
        <v>62</v>
      </c>
      <c r="C1929" s="0" t="n">
        <v>2011</v>
      </c>
      <c r="D1929" s="0" t="n">
        <v>7</v>
      </c>
      <c r="E1929" s="38" t="n">
        <v>823098.09</v>
      </c>
    </row>
    <row r="1930" customFormat="false" ht="15" hidden="false" customHeight="false" outlineLevel="0" collapsed="false">
      <c r="A1930" s="0" t="n">
        <v>22</v>
      </c>
      <c r="B1930" s="0" t="s">
        <v>62</v>
      </c>
      <c r="C1930" s="0" t="n">
        <v>2011</v>
      </c>
      <c r="D1930" s="0" t="n">
        <v>8</v>
      </c>
      <c r="E1930" s="38" t="n">
        <v>741141.1</v>
      </c>
    </row>
    <row r="1931" customFormat="false" ht="15" hidden="false" customHeight="false" outlineLevel="0" collapsed="false">
      <c r="A1931" s="0" t="n">
        <v>22</v>
      </c>
      <c r="B1931" s="0" t="s">
        <v>62</v>
      </c>
      <c r="C1931" s="0" t="n">
        <v>2011</v>
      </c>
      <c r="D1931" s="0" t="n">
        <v>9</v>
      </c>
      <c r="E1931" s="38" t="n">
        <v>750424.7</v>
      </c>
    </row>
    <row r="1932" customFormat="false" ht="15" hidden="false" customHeight="false" outlineLevel="0" collapsed="false">
      <c r="A1932" s="0" t="n">
        <v>22</v>
      </c>
      <c r="B1932" s="0" t="s">
        <v>62</v>
      </c>
      <c r="C1932" s="0" t="n">
        <v>2011</v>
      </c>
      <c r="D1932" s="0" t="n">
        <v>10</v>
      </c>
      <c r="E1932" s="38" t="n">
        <v>892033.02</v>
      </c>
    </row>
    <row r="1933" customFormat="false" ht="15" hidden="false" customHeight="false" outlineLevel="0" collapsed="false">
      <c r="A1933" s="0" t="n">
        <v>22</v>
      </c>
      <c r="B1933" s="0" t="s">
        <v>62</v>
      </c>
      <c r="C1933" s="0" t="n">
        <v>2011</v>
      </c>
      <c r="D1933" s="0" t="n">
        <v>11</v>
      </c>
      <c r="E1933" s="38" t="n">
        <v>1075232.79</v>
      </c>
    </row>
    <row r="1934" customFormat="false" ht="15" hidden="false" customHeight="false" outlineLevel="0" collapsed="false">
      <c r="A1934" s="0" t="n">
        <v>22</v>
      </c>
      <c r="B1934" s="0" t="s">
        <v>62</v>
      </c>
      <c r="C1934" s="0" t="n">
        <v>2011</v>
      </c>
      <c r="D1934" s="0" t="n">
        <v>12</v>
      </c>
      <c r="E1934" s="38" t="n">
        <v>682210.98</v>
      </c>
    </row>
    <row r="1935" customFormat="false" ht="15" hidden="false" customHeight="false" outlineLevel="0" collapsed="false">
      <c r="A1935" s="0" t="n">
        <v>22</v>
      </c>
      <c r="B1935" s="0" t="s">
        <v>62</v>
      </c>
      <c r="C1935" s="0" t="n">
        <v>2012</v>
      </c>
      <c r="D1935" s="0" t="n">
        <v>1</v>
      </c>
      <c r="E1935" s="38" t="n">
        <v>810561.85</v>
      </c>
    </row>
    <row r="1936" customFormat="false" ht="15" hidden="false" customHeight="false" outlineLevel="0" collapsed="false">
      <c r="A1936" s="0" t="n">
        <v>22</v>
      </c>
      <c r="B1936" s="0" t="s">
        <v>62</v>
      </c>
      <c r="C1936" s="0" t="n">
        <v>2012</v>
      </c>
      <c r="D1936" s="0" t="n">
        <v>2</v>
      </c>
      <c r="E1936" s="38" t="n">
        <v>772682.28</v>
      </c>
    </row>
    <row r="1937" customFormat="false" ht="15" hidden="false" customHeight="false" outlineLevel="0" collapsed="false">
      <c r="A1937" s="0" t="n">
        <v>22</v>
      </c>
      <c r="B1937" s="0" t="s">
        <v>62</v>
      </c>
      <c r="C1937" s="0" t="n">
        <v>2012</v>
      </c>
      <c r="D1937" s="0" t="n">
        <v>3</v>
      </c>
      <c r="E1937" s="38" t="n">
        <v>646913.91</v>
      </c>
    </row>
    <row r="1938" customFormat="false" ht="15" hidden="false" customHeight="false" outlineLevel="0" collapsed="false">
      <c r="A1938" s="0" t="n">
        <v>22</v>
      </c>
      <c r="B1938" s="0" t="s">
        <v>62</v>
      </c>
      <c r="C1938" s="0" t="n">
        <v>2012</v>
      </c>
      <c r="D1938" s="0" t="n">
        <v>4</v>
      </c>
      <c r="E1938" s="38" t="n">
        <v>635863.74</v>
      </c>
    </row>
    <row r="1939" customFormat="false" ht="15" hidden="false" customHeight="false" outlineLevel="0" collapsed="false">
      <c r="A1939" s="0" t="n">
        <v>22</v>
      </c>
      <c r="B1939" s="0" t="s">
        <v>62</v>
      </c>
      <c r="C1939" s="0" t="n">
        <v>2012</v>
      </c>
      <c r="D1939" s="0" t="n">
        <v>5</v>
      </c>
      <c r="E1939" s="38" t="n">
        <v>649155.39</v>
      </c>
    </row>
    <row r="1940" customFormat="false" ht="15" hidden="false" customHeight="false" outlineLevel="0" collapsed="false">
      <c r="A1940" s="0" t="n">
        <v>22</v>
      </c>
      <c r="B1940" s="0" t="s">
        <v>62</v>
      </c>
      <c r="C1940" s="0" t="n">
        <v>2012</v>
      </c>
      <c r="D1940" s="0" t="n">
        <v>6</v>
      </c>
      <c r="E1940" s="38" t="n">
        <v>705614.37</v>
      </c>
    </row>
    <row r="1941" customFormat="false" ht="15" hidden="false" customHeight="false" outlineLevel="0" collapsed="false">
      <c r="A1941" s="0" t="n">
        <v>22</v>
      </c>
      <c r="B1941" s="0" t="s">
        <v>62</v>
      </c>
      <c r="C1941" s="0" t="n">
        <v>2012</v>
      </c>
      <c r="D1941" s="0" t="n">
        <v>7</v>
      </c>
      <c r="E1941" s="38" t="n">
        <v>770063.34</v>
      </c>
    </row>
    <row r="1942" customFormat="false" ht="15" hidden="false" customHeight="false" outlineLevel="0" collapsed="false">
      <c r="A1942" s="0" t="n">
        <v>22</v>
      </c>
      <c r="B1942" s="0" t="s">
        <v>62</v>
      </c>
      <c r="C1942" s="0" t="n">
        <v>2012</v>
      </c>
      <c r="D1942" s="0" t="n">
        <v>8</v>
      </c>
      <c r="E1942" s="38" t="n">
        <v>722026.75</v>
      </c>
    </row>
    <row r="1943" customFormat="false" ht="15" hidden="false" customHeight="false" outlineLevel="0" collapsed="false">
      <c r="A1943" s="0" t="n">
        <v>22</v>
      </c>
      <c r="B1943" s="0" t="s">
        <v>62</v>
      </c>
      <c r="C1943" s="0" t="n">
        <v>2012</v>
      </c>
      <c r="D1943" s="0" t="n">
        <v>9</v>
      </c>
      <c r="E1943" s="38" t="n">
        <v>738250.5</v>
      </c>
    </row>
    <row r="1944" customFormat="false" ht="15" hidden="false" customHeight="false" outlineLevel="0" collapsed="false">
      <c r="A1944" s="0" t="n">
        <v>22</v>
      </c>
      <c r="B1944" s="0" t="s">
        <v>62</v>
      </c>
      <c r="C1944" s="0" t="n">
        <v>2012</v>
      </c>
      <c r="D1944" s="0" t="n">
        <v>10</v>
      </c>
      <c r="E1944" s="38" t="n">
        <v>890328.09</v>
      </c>
    </row>
    <row r="1945" customFormat="false" ht="15" hidden="false" customHeight="false" outlineLevel="0" collapsed="false">
      <c r="A1945" s="0" t="n">
        <v>22</v>
      </c>
      <c r="B1945" s="0" t="s">
        <v>62</v>
      </c>
      <c r="C1945" s="0" t="n">
        <v>2012</v>
      </c>
      <c r="D1945" s="0" t="n">
        <v>11</v>
      </c>
      <c r="E1945" s="38" t="n">
        <v>1063693.99</v>
      </c>
    </row>
    <row r="1946" customFormat="false" ht="15" hidden="false" customHeight="false" outlineLevel="0" collapsed="false">
      <c r="A1946" s="0" t="n">
        <v>22</v>
      </c>
      <c r="B1946" s="0" t="s">
        <v>62</v>
      </c>
      <c r="C1946" s="0" t="n">
        <v>2012</v>
      </c>
      <c r="D1946" s="0" t="n">
        <v>12</v>
      </c>
      <c r="E1946" s="38" t="n">
        <v>693372.96</v>
      </c>
    </row>
    <row r="1947" customFormat="false" ht="15" hidden="false" customHeight="false" outlineLevel="0" collapsed="false">
      <c r="A1947" s="0" t="n">
        <v>22</v>
      </c>
      <c r="B1947" s="0" t="s">
        <v>62</v>
      </c>
      <c r="C1947" s="0" t="n">
        <v>2013</v>
      </c>
      <c r="D1947" s="0" t="n">
        <v>1</v>
      </c>
      <c r="E1947" s="38" t="n">
        <v>868640.03</v>
      </c>
    </row>
    <row r="1948" customFormat="false" ht="15" hidden="false" customHeight="false" outlineLevel="0" collapsed="false">
      <c r="A1948" s="0" t="n">
        <v>22</v>
      </c>
      <c r="B1948" s="0" t="s">
        <v>62</v>
      </c>
      <c r="C1948" s="0" t="n">
        <v>2013</v>
      </c>
      <c r="D1948" s="0" t="n">
        <v>2</v>
      </c>
      <c r="E1948" s="38" t="n">
        <v>778812.04</v>
      </c>
    </row>
    <row r="1949" customFormat="false" ht="15" hidden="false" customHeight="false" outlineLevel="0" collapsed="false">
      <c r="A1949" s="0" t="n">
        <v>22</v>
      </c>
      <c r="B1949" s="0" t="s">
        <v>62</v>
      </c>
      <c r="C1949" s="0" t="n">
        <v>2013</v>
      </c>
      <c r="D1949" s="0" t="n">
        <v>3</v>
      </c>
      <c r="E1949" s="38" t="n">
        <v>667661.41</v>
      </c>
    </row>
    <row r="1950" customFormat="false" ht="15" hidden="false" customHeight="false" outlineLevel="0" collapsed="false">
      <c r="A1950" s="0" t="n">
        <v>22</v>
      </c>
      <c r="B1950" s="0" t="s">
        <v>62</v>
      </c>
      <c r="C1950" s="0" t="n">
        <v>2013</v>
      </c>
      <c r="D1950" s="0" t="n">
        <v>4</v>
      </c>
      <c r="E1950" s="38" t="n">
        <v>660595.25</v>
      </c>
    </row>
    <row r="1951" customFormat="false" ht="15" hidden="false" customHeight="false" outlineLevel="0" collapsed="false">
      <c r="A1951" s="0" t="n">
        <v>22</v>
      </c>
      <c r="B1951" s="0" t="s">
        <v>62</v>
      </c>
      <c r="C1951" s="0" t="n">
        <v>2013</v>
      </c>
      <c r="D1951" s="0" t="n">
        <v>5</v>
      </c>
      <c r="E1951" s="38" t="n">
        <v>688993.87</v>
      </c>
    </row>
    <row r="1952" customFormat="false" ht="15" hidden="false" customHeight="false" outlineLevel="0" collapsed="false">
      <c r="A1952" s="0" t="n">
        <v>22</v>
      </c>
      <c r="B1952" s="0" t="s">
        <v>62</v>
      </c>
      <c r="C1952" s="0" t="n">
        <v>2013</v>
      </c>
      <c r="D1952" s="0" t="n">
        <v>6</v>
      </c>
      <c r="E1952" s="38" t="n">
        <v>770203.35</v>
      </c>
    </row>
    <row r="1953" customFormat="false" ht="15" hidden="false" customHeight="false" outlineLevel="0" collapsed="false">
      <c r="A1953" s="0" t="n">
        <v>22</v>
      </c>
      <c r="B1953" s="0" t="s">
        <v>62</v>
      </c>
      <c r="C1953" s="0" t="n">
        <v>2013</v>
      </c>
      <c r="D1953" s="0" t="n">
        <v>7</v>
      </c>
      <c r="E1953" s="38" t="n">
        <v>836692.78</v>
      </c>
    </row>
    <row r="1954" customFormat="false" ht="15" hidden="false" customHeight="false" outlineLevel="0" collapsed="false">
      <c r="A1954" s="0" t="n">
        <v>22</v>
      </c>
      <c r="B1954" s="0" t="s">
        <v>62</v>
      </c>
      <c r="C1954" s="0" t="n">
        <v>2013</v>
      </c>
      <c r="D1954" s="0" t="n">
        <v>8</v>
      </c>
      <c r="E1954" s="38" t="n">
        <v>758125.07</v>
      </c>
    </row>
    <row r="1955" customFormat="false" ht="15" hidden="false" customHeight="false" outlineLevel="0" collapsed="false">
      <c r="A1955" s="0" t="n">
        <v>22</v>
      </c>
      <c r="B1955" s="0" t="s">
        <v>64</v>
      </c>
      <c r="C1955" s="0" t="n">
        <v>2011</v>
      </c>
      <c r="D1955" s="0" t="n">
        <v>4</v>
      </c>
      <c r="E1955" s="38" t="n">
        <v>-1.96</v>
      </c>
    </row>
    <row r="1956" customFormat="false" ht="15" hidden="false" customHeight="false" outlineLevel="0" collapsed="false">
      <c r="A1956" s="0" t="n">
        <v>22</v>
      </c>
      <c r="B1956" s="0" t="s">
        <v>64</v>
      </c>
      <c r="C1956" s="0" t="n">
        <v>2011</v>
      </c>
      <c r="D1956" s="0" t="n">
        <v>11</v>
      </c>
      <c r="E1956" s="38" t="n">
        <v>-54.98</v>
      </c>
    </row>
    <row r="1957" customFormat="false" ht="15" hidden="false" customHeight="false" outlineLevel="0" collapsed="false">
      <c r="A1957" s="0" t="n">
        <v>22</v>
      </c>
      <c r="B1957" s="0" t="s">
        <v>64</v>
      </c>
      <c r="C1957" s="0" t="n">
        <v>2012</v>
      </c>
      <c r="D1957" s="0" t="n">
        <v>3</v>
      </c>
      <c r="E1957" s="38" t="n">
        <v>25.03</v>
      </c>
    </row>
    <row r="1958" customFormat="false" ht="15" hidden="false" customHeight="false" outlineLevel="0" collapsed="false">
      <c r="A1958" s="0" t="n">
        <v>22</v>
      </c>
      <c r="B1958" s="0" t="s">
        <v>64</v>
      </c>
      <c r="C1958" s="0" t="n">
        <v>2012</v>
      </c>
      <c r="D1958" s="0" t="n">
        <v>4</v>
      </c>
      <c r="E1958" s="38" t="n">
        <v>10.07</v>
      </c>
    </row>
    <row r="1959" customFormat="false" ht="15" hidden="false" customHeight="false" outlineLevel="0" collapsed="false">
      <c r="A1959" s="0" t="n">
        <v>22</v>
      </c>
      <c r="B1959" s="0" t="s">
        <v>64</v>
      </c>
      <c r="C1959" s="0" t="n">
        <v>2012</v>
      </c>
      <c r="D1959" s="0" t="n">
        <v>5</v>
      </c>
      <c r="E1959" s="38" t="n">
        <v>452.58</v>
      </c>
    </row>
    <row r="1960" customFormat="false" ht="15" hidden="false" customHeight="false" outlineLevel="0" collapsed="false">
      <c r="A1960" s="0" t="n">
        <v>22</v>
      </c>
      <c r="B1960" s="0" t="s">
        <v>64</v>
      </c>
      <c r="C1960" s="0" t="n">
        <v>2012</v>
      </c>
      <c r="D1960" s="0" t="n">
        <v>6</v>
      </c>
      <c r="E1960" s="38" t="n">
        <v>1363.71</v>
      </c>
    </row>
    <row r="1961" customFormat="false" ht="15" hidden="false" customHeight="false" outlineLevel="0" collapsed="false">
      <c r="A1961" s="0" t="n">
        <v>22</v>
      </c>
      <c r="B1961" s="0" t="s">
        <v>64</v>
      </c>
      <c r="C1961" s="0" t="n">
        <v>2012</v>
      </c>
      <c r="D1961" s="0" t="n">
        <v>7</v>
      </c>
      <c r="E1961" s="38" t="n">
        <v>275.49</v>
      </c>
    </row>
    <row r="1962" customFormat="false" ht="15" hidden="false" customHeight="false" outlineLevel="0" collapsed="false">
      <c r="A1962" s="0" t="n">
        <v>22</v>
      </c>
      <c r="B1962" s="0" t="s">
        <v>64</v>
      </c>
      <c r="C1962" s="0" t="n">
        <v>2012</v>
      </c>
      <c r="D1962" s="0" t="n">
        <v>8</v>
      </c>
      <c r="E1962" s="38" t="n">
        <v>35.1</v>
      </c>
    </row>
    <row r="1963" customFormat="false" ht="15" hidden="false" customHeight="false" outlineLevel="0" collapsed="false">
      <c r="A1963" s="0" t="n">
        <v>22</v>
      </c>
      <c r="B1963" s="0" t="s">
        <v>64</v>
      </c>
      <c r="C1963" s="0" t="n">
        <v>2012</v>
      </c>
      <c r="D1963" s="0" t="n">
        <v>9</v>
      </c>
      <c r="E1963" s="38" t="n">
        <v>0.2</v>
      </c>
    </row>
    <row r="1964" customFormat="false" ht="15" hidden="false" customHeight="false" outlineLevel="0" collapsed="false">
      <c r="A1964" s="0" t="n">
        <v>22</v>
      </c>
      <c r="B1964" s="0" t="s">
        <v>64</v>
      </c>
      <c r="C1964" s="0" t="n">
        <v>2012</v>
      </c>
      <c r="D1964" s="0" t="n">
        <v>10</v>
      </c>
      <c r="E1964" s="38" t="n">
        <v>414.5</v>
      </c>
    </row>
    <row r="1965" customFormat="false" ht="15" hidden="false" customHeight="false" outlineLevel="0" collapsed="false">
      <c r="A1965" s="0" t="n">
        <v>22</v>
      </c>
      <c r="B1965" s="0" t="s">
        <v>64</v>
      </c>
      <c r="C1965" s="0" t="n">
        <v>2012</v>
      </c>
      <c r="D1965" s="0" t="n">
        <v>11</v>
      </c>
      <c r="E1965" s="38" t="n">
        <v>2143.99</v>
      </c>
    </row>
    <row r="1966" customFormat="false" ht="15" hidden="false" customHeight="false" outlineLevel="0" collapsed="false">
      <c r="A1966" s="0" t="n">
        <v>22</v>
      </c>
      <c r="B1966" s="0" t="s">
        <v>64</v>
      </c>
      <c r="C1966" s="0" t="n">
        <v>2012</v>
      </c>
      <c r="D1966" s="0" t="n">
        <v>12</v>
      </c>
      <c r="E1966" s="38" t="n">
        <v>725.43</v>
      </c>
    </row>
    <row r="1967" customFormat="false" ht="15" hidden="false" customHeight="false" outlineLevel="0" collapsed="false">
      <c r="A1967" s="0" t="n">
        <v>22</v>
      </c>
      <c r="B1967" s="0" t="s">
        <v>64</v>
      </c>
      <c r="C1967" s="0" t="n">
        <v>2013</v>
      </c>
      <c r="D1967" s="0" t="n">
        <v>1</v>
      </c>
      <c r="E1967" s="38" t="n">
        <v>388.89</v>
      </c>
    </row>
    <row r="1968" customFormat="false" ht="15" hidden="false" customHeight="false" outlineLevel="0" collapsed="false">
      <c r="A1968" s="0" t="n">
        <v>22</v>
      </c>
      <c r="B1968" s="0" t="s">
        <v>64</v>
      </c>
      <c r="C1968" s="0" t="n">
        <v>2013</v>
      </c>
      <c r="D1968" s="0" t="n">
        <v>2</v>
      </c>
      <c r="E1968" s="38" t="n">
        <v>857.05</v>
      </c>
    </row>
    <row r="1969" customFormat="false" ht="15" hidden="false" customHeight="false" outlineLevel="0" collapsed="false">
      <c r="A1969" s="0" t="n">
        <v>22</v>
      </c>
      <c r="B1969" s="0" t="s">
        <v>64</v>
      </c>
      <c r="C1969" s="0" t="n">
        <v>2013</v>
      </c>
      <c r="D1969" s="0" t="n">
        <v>3</v>
      </c>
      <c r="E1969" s="38" t="n">
        <v>275.08</v>
      </c>
    </row>
    <row r="1970" customFormat="false" ht="15" hidden="false" customHeight="false" outlineLevel="0" collapsed="false">
      <c r="A1970" s="0" t="n">
        <v>22</v>
      </c>
      <c r="B1970" s="0" t="s">
        <v>64</v>
      </c>
      <c r="C1970" s="0" t="n">
        <v>2013</v>
      </c>
      <c r="D1970" s="0" t="n">
        <v>4</v>
      </c>
      <c r="E1970" s="38" t="n">
        <v>68.71</v>
      </c>
    </row>
    <row r="1971" customFormat="false" ht="15" hidden="false" customHeight="false" outlineLevel="0" collapsed="false">
      <c r="A1971" s="0" t="n">
        <v>22</v>
      </c>
      <c r="B1971" s="0" t="s">
        <v>64</v>
      </c>
      <c r="C1971" s="0" t="n">
        <v>2013</v>
      </c>
      <c r="D1971" s="0" t="n">
        <v>5</v>
      </c>
      <c r="E1971" s="38" t="n">
        <v>48.26</v>
      </c>
    </row>
    <row r="1972" customFormat="false" ht="15" hidden="false" customHeight="false" outlineLevel="0" collapsed="false">
      <c r="A1972" s="0" t="n">
        <v>22</v>
      </c>
      <c r="B1972" s="0" t="s">
        <v>64</v>
      </c>
      <c r="C1972" s="0" t="n">
        <v>2013</v>
      </c>
      <c r="D1972" s="0" t="n">
        <v>6</v>
      </c>
      <c r="E1972" s="38" t="n">
        <v>2549.53</v>
      </c>
    </row>
    <row r="1973" customFormat="false" ht="15" hidden="false" customHeight="false" outlineLevel="0" collapsed="false">
      <c r="A1973" s="0" t="n">
        <v>22</v>
      </c>
      <c r="B1973" s="0" t="s">
        <v>64</v>
      </c>
      <c r="C1973" s="0" t="n">
        <v>2013</v>
      </c>
      <c r="D1973" s="0" t="n">
        <v>7</v>
      </c>
      <c r="E1973" s="38" t="n">
        <v>1267.49</v>
      </c>
    </row>
    <row r="1974" customFormat="false" ht="15" hidden="false" customHeight="false" outlineLevel="0" collapsed="false">
      <c r="A1974" s="0" t="n">
        <v>22</v>
      </c>
      <c r="B1974" s="0" t="s">
        <v>64</v>
      </c>
      <c r="C1974" s="0" t="n">
        <v>2013</v>
      </c>
      <c r="D1974" s="0" t="n">
        <v>8</v>
      </c>
      <c r="E1974" s="38" t="n">
        <v>466.16</v>
      </c>
    </row>
    <row r="1975" customFormat="false" ht="15" hidden="false" customHeight="false" outlineLevel="0" collapsed="false">
      <c r="A1975" s="0" t="n">
        <v>23</v>
      </c>
      <c r="B1975" s="0" t="s">
        <v>60</v>
      </c>
      <c r="C1975" s="0" t="n">
        <v>2011</v>
      </c>
      <c r="D1975" s="0" t="n">
        <v>1</v>
      </c>
      <c r="E1975" s="38" t="n">
        <v>1864497.32</v>
      </c>
    </row>
    <row r="1976" customFormat="false" ht="15" hidden="false" customHeight="false" outlineLevel="0" collapsed="false">
      <c r="A1976" s="0" t="n">
        <v>23</v>
      </c>
      <c r="B1976" s="0" t="s">
        <v>60</v>
      </c>
      <c r="C1976" s="0" t="n">
        <v>2011</v>
      </c>
      <c r="D1976" s="0" t="n">
        <v>2</v>
      </c>
      <c r="E1976" s="38" t="n">
        <v>1965896.22</v>
      </c>
    </row>
    <row r="1977" customFormat="false" ht="15" hidden="false" customHeight="false" outlineLevel="0" collapsed="false">
      <c r="A1977" s="0" t="n">
        <v>23</v>
      </c>
      <c r="B1977" s="0" t="s">
        <v>60</v>
      </c>
      <c r="C1977" s="0" t="n">
        <v>2011</v>
      </c>
      <c r="D1977" s="0" t="n">
        <v>3</v>
      </c>
      <c r="E1977" s="38" t="n">
        <v>1967168.32</v>
      </c>
    </row>
    <row r="1978" customFormat="false" ht="15" hidden="false" customHeight="false" outlineLevel="0" collapsed="false">
      <c r="A1978" s="0" t="n">
        <v>23</v>
      </c>
      <c r="B1978" s="0" t="s">
        <v>60</v>
      </c>
      <c r="C1978" s="0" t="n">
        <v>2011</v>
      </c>
      <c r="D1978" s="0" t="n">
        <v>4</v>
      </c>
      <c r="E1978" s="38" t="n">
        <v>2299751.59</v>
      </c>
    </row>
    <row r="1979" customFormat="false" ht="15" hidden="false" customHeight="false" outlineLevel="0" collapsed="false">
      <c r="A1979" s="0" t="n">
        <v>23</v>
      </c>
      <c r="B1979" s="0" t="s">
        <v>60</v>
      </c>
      <c r="C1979" s="0" t="n">
        <v>2011</v>
      </c>
      <c r="D1979" s="0" t="n">
        <v>5</v>
      </c>
      <c r="E1979" s="38" t="n">
        <v>2633859.02</v>
      </c>
    </row>
    <row r="1980" customFormat="false" ht="15" hidden="false" customHeight="false" outlineLevel="0" collapsed="false">
      <c r="A1980" s="0" t="n">
        <v>23</v>
      </c>
      <c r="B1980" s="0" t="s">
        <v>60</v>
      </c>
      <c r="C1980" s="0" t="n">
        <v>2011</v>
      </c>
      <c r="D1980" s="0" t="n">
        <v>6</v>
      </c>
      <c r="E1980" s="38" t="n">
        <v>2251386.52</v>
      </c>
    </row>
    <row r="1981" customFormat="false" ht="15" hidden="false" customHeight="false" outlineLevel="0" collapsed="false">
      <c r="A1981" s="0" t="n">
        <v>23</v>
      </c>
      <c r="B1981" s="0" t="s">
        <v>60</v>
      </c>
      <c r="C1981" s="0" t="n">
        <v>2011</v>
      </c>
      <c r="D1981" s="0" t="n">
        <v>7</v>
      </c>
      <c r="E1981" s="38" t="n">
        <v>2344801.34</v>
      </c>
    </row>
    <row r="1982" customFormat="false" ht="15" hidden="false" customHeight="false" outlineLevel="0" collapsed="false">
      <c r="A1982" s="0" t="n">
        <v>23</v>
      </c>
      <c r="B1982" s="0" t="s">
        <v>60</v>
      </c>
      <c r="C1982" s="0" t="n">
        <v>2011</v>
      </c>
      <c r="D1982" s="0" t="n">
        <v>8</v>
      </c>
      <c r="E1982" s="38" t="n">
        <v>1837168.12</v>
      </c>
    </row>
    <row r="1983" customFormat="false" ht="15" hidden="false" customHeight="false" outlineLevel="0" collapsed="false">
      <c r="A1983" s="0" t="n">
        <v>23</v>
      </c>
      <c r="B1983" s="0" t="s">
        <v>60</v>
      </c>
      <c r="C1983" s="0" t="n">
        <v>2011</v>
      </c>
      <c r="D1983" s="0" t="n">
        <v>9</v>
      </c>
      <c r="E1983" s="38" t="n">
        <v>2251218.74</v>
      </c>
    </row>
    <row r="1984" customFormat="false" ht="15" hidden="false" customHeight="false" outlineLevel="0" collapsed="false">
      <c r="A1984" s="0" t="n">
        <v>23</v>
      </c>
      <c r="B1984" s="0" t="s">
        <v>60</v>
      </c>
      <c r="C1984" s="0" t="n">
        <v>2011</v>
      </c>
      <c r="D1984" s="0" t="n">
        <v>10</v>
      </c>
      <c r="E1984" s="38" t="n">
        <v>2631824.47</v>
      </c>
    </row>
    <row r="1985" customFormat="false" ht="15" hidden="false" customHeight="false" outlineLevel="0" collapsed="false">
      <c r="A1985" s="0" t="n">
        <v>23</v>
      </c>
      <c r="B1985" s="0" t="s">
        <v>60</v>
      </c>
      <c r="C1985" s="0" t="n">
        <v>2011</v>
      </c>
      <c r="D1985" s="0" t="n">
        <v>11</v>
      </c>
      <c r="E1985" s="38" t="n">
        <v>3755349.31</v>
      </c>
    </row>
    <row r="1986" customFormat="false" ht="15" hidden="false" customHeight="false" outlineLevel="0" collapsed="false">
      <c r="A1986" s="0" t="n">
        <v>23</v>
      </c>
      <c r="B1986" s="0" t="s">
        <v>60</v>
      </c>
      <c r="C1986" s="0" t="n">
        <v>2011</v>
      </c>
      <c r="D1986" s="0" t="n">
        <v>12</v>
      </c>
      <c r="E1986" s="38" t="n">
        <v>1701870.01</v>
      </c>
    </row>
    <row r="1987" customFormat="false" ht="15" hidden="false" customHeight="false" outlineLevel="0" collapsed="false">
      <c r="A1987" s="0" t="n">
        <v>23</v>
      </c>
      <c r="B1987" s="0" t="s">
        <v>60</v>
      </c>
      <c r="C1987" s="0" t="n">
        <v>2012</v>
      </c>
      <c r="D1987" s="0" t="n">
        <v>1</v>
      </c>
      <c r="E1987" s="38" t="n">
        <v>1883930.1</v>
      </c>
    </row>
    <row r="1988" customFormat="false" ht="15" hidden="false" customHeight="false" outlineLevel="0" collapsed="false">
      <c r="A1988" s="0" t="n">
        <v>23</v>
      </c>
      <c r="B1988" s="0" t="s">
        <v>60</v>
      </c>
      <c r="C1988" s="0" t="n">
        <v>2012</v>
      </c>
      <c r="D1988" s="0" t="n">
        <v>2</v>
      </c>
      <c r="E1988" s="38" t="n">
        <v>1977416.62</v>
      </c>
    </row>
    <row r="1989" customFormat="false" ht="15" hidden="false" customHeight="false" outlineLevel="0" collapsed="false">
      <c r="A1989" s="0" t="n">
        <v>23</v>
      </c>
      <c r="B1989" s="0" t="s">
        <v>60</v>
      </c>
      <c r="C1989" s="0" t="n">
        <v>2012</v>
      </c>
      <c r="D1989" s="0" t="n">
        <v>3</v>
      </c>
      <c r="E1989" s="38" t="n">
        <v>2004512.18</v>
      </c>
    </row>
    <row r="1990" customFormat="false" ht="15" hidden="false" customHeight="false" outlineLevel="0" collapsed="false">
      <c r="A1990" s="0" t="n">
        <v>23</v>
      </c>
      <c r="B1990" s="0" t="s">
        <v>60</v>
      </c>
      <c r="C1990" s="0" t="n">
        <v>2012</v>
      </c>
      <c r="D1990" s="0" t="n">
        <v>4</v>
      </c>
      <c r="E1990" s="38" t="n">
        <v>2200508.4</v>
      </c>
    </row>
    <row r="1991" customFormat="false" ht="15" hidden="false" customHeight="false" outlineLevel="0" collapsed="false">
      <c r="A1991" s="0" t="n">
        <v>23</v>
      </c>
      <c r="B1991" s="0" t="s">
        <v>60</v>
      </c>
      <c r="C1991" s="0" t="n">
        <v>2012</v>
      </c>
      <c r="D1991" s="0" t="n">
        <v>5</v>
      </c>
      <c r="E1991" s="38" t="n">
        <v>2558702.92</v>
      </c>
    </row>
    <row r="1992" customFormat="false" ht="15" hidden="false" customHeight="false" outlineLevel="0" collapsed="false">
      <c r="A1992" s="0" t="n">
        <v>23</v>
      </c>
      <c r="B1992" s="0" t="s">
        <v>60</v>
      </c>
      <c r="C1992" s="0" t="n">
        <v>2012</v>
      </c>
      <c r="D1992" s="0" t="n">
        <v>6</v>
      </c>
      <c r="E1992" s="38" t="n">
        <v>2238554.75</v>
      </c>
    </row>
    <row r="1993" customFormat="false" ht="15" hidden="false" customHeight="false" outlineLevel="0" collapsed="false">
      <c r="A1993" s="0" t="n">
        <v>23</v>
      </c>
      <c r="B1993" s="0" t="s">
        <v>60</v>
      </c>
      <c r="C1993" s="0" t="n">
        <v>2012</v>
      </c>
      <c r="D1993" s="0" t="n">
        <v>7</v>
      </c>
      <c r="E1993" s="38" t="n">
        <v>2233948.69</v>
      </c>
    </row>
    <row r="1994" customFormat="false" ht="15" hidden="false" customHeight="false" outlineLevel="0" collapsed="false">
      <c r="A1994" s="0" t="n">
        <v>23</v>
      </c>
      <c r="B1994" s="0" t="s">
        <v>60</v>
      </c>
      <c r="C1994" s="0" t="n">
        <v>2012</v>
      </c>
      <c r="D1994" s="0" t="n">
        <v>8</v>
      </c>
      <c r="E1994" s="38" t="n">
        <v>1873889.52</v>
      </c>
    </row>
    <row r="1995" customFormat="false" ht="15" hidden="false" customHeight="false" outlineLevel="0" collapsed="false">
      <c r="A1995" s="0" t="n">
        <v>23</v>
      </c>
      <c r="B1995" s="0" t="s">
        <v>60</v>
      </c>
      <c r="C1995" s="0" t="n">
        <v>2012</v>
      </c>
      <c r="D1995" s="0" t="n">
        <v>9</v>
      </c>
      <c r="E1995" s="38" t="n">
        <v>2309343.93</v>
      </c>
    </row>
    <row r="1996" customFormat="false" ht="15" hidden="false" customHeight="false" outlineLevel="0" collapsed="false">
      <c r="A1996" s="0" t="n">
        <v>23</v>
      </c>
      <c r="B1996" s="0" t="s">
        <v>60</v>
      </c>
      <c r="C1996" s="0" t="n">
        <v>2012</v>
      </c>
      <c r="D1996" s="0" t="n">
        <v>10</v>
      </c>
      <c r="E1996" s="38" t="n">
        <v>2596692.21</v>
      </c>
    </row>
    <row r="1997" customFormat="false" ht="15" hidden="false" customHeight="false" outlineLevel="0" collapsed="false">
      <c r="A1997" s="0" t="n">
        <v>23</v>
      </c>
      <c r="B1997" s="0" t="s">
        <v>60</v>
      </c>
      <c r="C1997" s="0" t="n">
        <v>2012</v>
      </c>
      <c r="D1997" s="0" t="n">
        <v>11</v>
      </c>
      <c r="E1997" s="38" t="n">
        <v>3830196.94</v>
      </c>
    </row>
    <row r="1998" customFormat="false" ht="15" hidden="false" customHeight="false" outlineLevel="0" collapsed="false">
      <c r="A1998" s="0" t="n">
        <v>23</v>
      </c>
      <c r="B1998" s="0" t="s">
        <v>60</v>
      </c>
      <c r="C1998" s="0" t="n">
        <v>2012</v>
      </c>
      <c r="D1998" s="0" t="n">
        <v>12</v>
      </c>
      <c r="E1998" s="38" t="n">
        <v>1668340.81</v>
      </c>
    </row>
    <row r="1999" customFormat="false" ht="15" hidden="false" customHeight="false" outlineLevel="0" collapsed="false">
      <c r="A1999" s="0" t="n">
        <v>23</v>
      </c>
      <c r="B1999" s="0" t="s">
        <v>60</v>
      </c>
      <c r="C1999" s="0" t="n">
        <v>2013</v>
      </c>
      <c r="D1999" s="0" t="n">
        <v>1</v>
      </c>
      <c r="E1999" s="38" t="n">
        <v>2023855.76</v>
      </c>
    </row>
    <row r="2000" customFormat="false" ht="15" hidden="false" customHeight="false" outlineLevel="0" collapsed="false">
      <c r="A2000" s="0" t="n">
        <v>23</v>
      </c>
      <c r="B2000" s="0" t="s">
        <v>60</v>
      </c>
      <c r="C2000" s="0" t="n">
        <v>2013</v>
      </c>
      <c r="D2000" s="0" t="n">
        <v>2</v>
      </c>
      <c r="E2000" s="38" t="n">
        <v>2212935.53</v>
      </c>
    </row>
    <row r="2001" customFormat="false" ht="15" hidden="false" customHeight="false" outlineLevel="0" collapsed="false">
      <c r="A2001" s="0" t="n">
        <v>23</v>
      </c>
      <c r="B2001" s="0" t="s">
        <v>60</v>
      </c>
      <c r="C2001" s="0" t="n">
        <v>2013</v>
      </c>
      <c r="D2001" s="0" t="n">
        <v>3</v>
      </c>
      <c r="E2001" s="38" t="n">
        <v>2144915.18</v>
      </c>
    </row>
    <row r="2002" customFormat="false" ht="15" hidden="false" customHeight="false" outlineLevel="0" collapsed="false">
      <c r="A2002" s="0" t="n">
        <v>23</v>
      </c>
      <c r="B2002" s="0" t="s">
        <v>60</v>
      </c>
      <c r="C2002" s="0" t="n">
        <v>2013</v>
      </c>
      <c r="D2002" s="0" t="n">
        <v>4</v>
      </c>
      <c r="E2002" s="38" t="n">
        <v>2365397.62</v>
      </c>
    </row>
    <row r="2003" customFormat="false" ht="15" hidden="false" customHeight="false" outlineLevel="0" collapsed="false">
      <c r="A2003" s="0" t="n">
        <v>23</v>
      </c>
      <c r="B2003" s="0" t="s">
        <v>60</v>
      </c>
      <c r="C2003" s="0" t="n">
        <v>2013</v>
      </c>
      <c r="D2003" s="0" t="n">
        <v>5</v>
      </c>
      <c r="E2003" s="38" t="n">
        <v>2627845.15</v>
      </c>
    </row>
    <row r="2004" customFormat="false" ht="15" hidden="false" customHeight="false" outlineLevel="0" collapsed="false">
      <c r="A2004" s="0" t="n">
        <v>23</v>
      </c>
      <c r="B2004" s="0" t="s">
        <v>60</v>
      </c>
      <c r="C2004" s="0" t="n">
        <v>2013</v>
      </c>
      <c r="D2004" s="0" t="n">
        <v>6</v>
      </c>
      <c r="E2004" s="38" t="n">
        <v>2311335.61</v>
      </c>
    </row>
    <row r="2005" customFormat="false" ht="15" hidden="false" customHeight="false" outlineLevel="0" collapsed="false">
      <c r="A2005" s="0" t="n">
        <v>23</v>
      </c>
      <c r="B2005" s="0" t="s">
        <v>60</v>
      </c>
      <c r="C2005" s="0" t="n">
        <v>2013</v>
      </c>
      <c r="D2005" s="0" t="n">
        <v>7</v>
      </c>
      <c r="E2005" s="38" t="n">
        <v>2385132.37</v>
      </c>
    </row>
    <row r="2006" customFormat="false" ht="15" hidden="false" customHeight="false" outlineLevel="0" collapsed="false">
      <c r="A2006" s="0" t="n">
        <v>23</v>
      </c>
      <c r="B2006" s="0" t="s">
        <v>60</v>
      </c>
      <c r="C2006" s="0" t="n">
        <v>2013</v>
      </c>
      <c r="D2006" s="0" t="n">
        <v>8</v>
      </c>
      <c r="E2006" s="38" t="n">
        <v>1913548.05</v>
      </c>
    </row>
    <row r="2007" customFormat="false" ht="15" hidden="false" customHeight="false" outlineLevel="0" collapsed="false">
      <c r="A2007" s="0" t="n">
        <v>23</v>
      </c>
      <c r="B2007" s="0" t="s">
        <v>62</v>
      </c>
      <c r="C2007" s="0" t="n">
        <v>2011</v>
      </c>
      <c r="D2007" s="0" t="n">
        <v>1</v>
      </c>
      <c r="E2007" s="38" t="n">
        <v>1617016.06</v>
      </c>
    </row>
    <row r="2008" customFormat="false" ht="15" hidden="false" customHeight="false" outlineLevel="0" collapsed="false">
      <c r="A2008" s="0" t="n">
        <v>23</v>
      </c>
      <c r="B2008" s="0" t="s">
        <v>62</v>
      </c>
      <c r="C2008" s="0" t="n">
        <v>2011</v>
      </c>
      <c r="D2008" s="0" t="n">
        <v>2</v>
      </c>
      <c r="E2008" s="38" t="n">
        <v>1769617.51</v>
      </c>
    </row>
    <row r="2009" customFormat="false" ht="15" hidden="false" customHeight="false" outlineLevel="0" collapsed="false">
      <c r="A2009" s="0" t="n">
        <v>23</v>
      </c>
      <c r="B2009" s="0" t="s">
        <v>62</v>
      </c>
      <c r="C2009" s="0" t="n">
        <v>2011</v>
      </c>
      <c r="D2009" s="0" t="n">
        <v>3</v>
      </c>
      <c r="E2009" s="38" t="n">
        <v>1744171.87</v>
      </c>
    </row>
    <row r="2010" customFormat="false" ht="15" hidden="false" customHeight="false" outlineLevel="0" collapsed="false">
      <c r="A2010" s="0" t="n">
        <v>23</v>
      </c>
      <c r="B2010" s="0" t="s">
        <v>62</v>
      </c>
      <c r="C2010" s="0" t="n">
        <v>2011</v>
      </c>
      <c r="D2010" s="0" t="n">
        <v>4</v>
      </c>
      <c r="E2010" s="38" t="n">
        <v>1969147.11</v>
      </c>
    </row>
    <row r="2011" customFormat="false" ht="15" hidden="false" customHeight="false" outlineLevel="0" collapsed="false">
      <c r="A2011" s="0" t="n">
        <v>23</v>
      </c>
      <c r="B2011" s="0" t="s">
        <v>62</v>
      </c>
      <c r="C2011" s="0" t="n">
        <v>2011</v>
      </c>
      <c r="D2011" s="0" t="n">
        <v>5</v>
      </c>
      <c r="E2011" s="38" t="n">
        <v>2190629.13</v>
      </c>
    </row>
    <row r="2012" customFormat="false" ht="15" hidden="false" customHeight="false" outlineLevel="0" collapsed="false">
      <c r="A2012" s="0" t="n">
        <v>23</v>
      </c>
      <c r="B2012" s="0" t="s">
        <v>62</v>
      </c>
      <c r="C2012" s="0" t="n">
        <v>2011</v>
      </c>
      <c r="D2012" s="0" t="n">
        <v>6</v>
      </c>
      <c r="E2012" s="38" t="n">
        <v>1941798.64</v>
      </c>
    </row>
    <row r="2013" customFormat="false" ht="15" hidden="false" customHeight="false" outlineLevel="0" collapsed="false">
      <c r="A2013" s="0" t="n">
        <v>23</v>
      </c>
      <c r="B2013" s="0" t="s">
        <v>62</v>
      </c>
      <c r="C2013" s="0" t="n">
        <v>2011</v>
      </c>
      <c r="D2013" s="0" t="n">
        <v>7</v>
      </c>
      <c r="E2013" s="38" t="n">
        <v>1957281.17</v>
      </c>
    </row>
    <row r="2014" customFormat="false" ht="15" hidden="false" customHeight="false" outlineLevel="0" collapsed="false">
      <c r="A2014" s="0" t="n">
        <v>23</v>
      </c>
      <c r="B2014" s="0" t="s">
        <v>62</v>
      </c>
      <c r="C2014" s="0" t="n">
        <v>2011</v>
      </c>
      <c r="D2014" s="0" t="n">
        <v>8</v>
      </c>
      <c r="E2014" s="38" t="n">
        <v>1534531.14</v>
      </c>
    </row>
    <row r="2015" customFormat="false" ht="15" hidden="false" customHeight="false" outlineLevel="0" collapsed="false">
      <c r="A2015" s="0" t="n">
        <v>23</v>
      </c>
      <c r="B2015" s="0" t="s">
        <v>62</v>
      </c>
      <c r="C2015" s="0" t="n">
        <v>2011</v>
      </c>
      <c r="D2015" s="0" t="n">
        <v>9</v>
      </c>
      <c r="E2015" s="38" t="n">
        <v>1924127.05</v>
      </c>
    </row>
    <row r="2016" customFormat="false" ht="15" hidden="false" customHeight="false" outlineLevel="0" collapsed="false">
      <c r="A2016" s="0" t="n">
        <v>23</v>
      </c>
      <c r="B2016" s="0" t="s">
        <v>62</v>
      </c>
      <c r="C2016" s="0" t="n">
        <v>2011</v>
      </c>
      <c r="D2016" s="0" t="n">
        <v>10</v>
      </c>
      <c r="E2016" s="38" t="n">
        <v>2211255.11</v>
      </c>
    </row>
    <row r="2017" customFormat="false" ht="15" hidden="false" customHeight="false" outlineLevel="0" collapsed="false">
      <c r="A2017" s="0" t="n">
        <v>23</v>
      </c>
      <c r="B2017" s="0" t="s">
        <v>62</v>
      </c>
      <c r="C2017" s="0" t="n">
        <v>2011</v>
      </c>
      <c r="D2017" s="0" t="n">
        <v>11</v>
      </c>
      <c r="E2017" s="38" t="n">
        <v>3094392.83</v>
      </c>
    </row>
    <row r="2018" customFormat="false" ht="15" hidden="false" customHeight="false" outlineLevel="0" collapsed="false">
      <c r="A2018" s="0" t="n">
        <v>23</v>
      </c>
      <c r="B2018" s="0" t="s">
        <v>62</v>
      </c>
      <c r="C2018" s="0" t="n">
        <v>2011</v>
      </c>
      <c r="D2018" s="0" t="n">
        <v>12</v>
      </c>
      <c r="E2018" s="38" t="n">
        <v>1421912.48</v>
      </c>
    </row>
    <row r="2019" customFormat="false" ht="15" hidden="false" customHeight="false" outlineLevel="0" collapsed="false">
      <c r="A2019" s="0" t="n">
        <v>23</v>
      </c>
      <c r="B2019" s="0" t="s">
        <v>62</v>
      </c>
      <c r="C2019" s="0" t="n">
        <v>2012</v>
      </c>
      <c r="D2019" s="0" t="n">
        <v>1</v>
      </c>
      <c r="E2019" s="38" t="n">
        <v>1562488.39</v>
      </c>
    </row>
    <row r="2020" customFormat="false" ht="15" hidden="false" customHeight="false" outlineLevel="0" collapsed="false">
      <c r="A2020" s="0" t="n">
        <v>23</v>
      </c>
      <c r="B2020" s="0" t="s">
        <v>62</v>
      </c>
      <c r="C2020" s="0" t="n">
        <v>2012</v>
      </c>
      <c r="D2020" s="0" t="n">
        <v>2</v>
      </c>
      <c r="E2020" s="38" t="n">
        <v>1686203.56</v>
      </c>
    </row>
    <row r="2021" customFormat="false" ht="15" hidden="false" customHeight="false" outlineLevel="0" collapsed="false">
      <c r="A2021" s="0" t="n">
        <v>23</v>
      </c>
      <c r="B2021" s="0" t="s">
        <v>62</v>
      </c>
      <c r="C2021" s="0" t="n">
        <v>2012</v>
      </c>
      <c r="D2021" s="0" t="n">
        <v>3</v>
      </c>
      <c r="E2021" s="38" t="n">
        <v>1698305.56</v>
      </c>
    </row>
    <row r="2022" customFormat="false" ht="15" hidden="false" customHeight="false" outlineLevel="0" collapsed="false">
      <c r="A2022" s="0" t="n">
        <v>23</v>
      </c>
      <c r="B2022" s="0" t="s">
        <v>62</v>
      </c>
      <c r="C2022" s="0" t="n">
        <v>2012</v>
      </c>
      <c r="D2022" s="0" t="n">
        <v>4</v>
      </c>
      <c r="E2022" s="38" t="n">
        <v>1881606.9</v>
      </c>
    </row>
    <row r="2023" customFormat="false" ht="15" hidden="false" customHeight="false" outlineLevel="0" collapsed="false">
      <c r="A2023" s="0" t="n">
        <v>23</v>
      </c>
      <c r="B2023" s="0" t="s">
        <v>62</v>
      </c>
      <c r="C2023" s="0" t="n">
        <v>2012</v>
      </c>
      <c r="D2023" s="0" t="n">
        <v>5</v>
      </c>
      <c r="E2023" s="38" t="n">
        <v>2121837.35</v>
      </c>
    </row>
    <row r="2024" customFormat="false" ht="15" hidden="false" customHeight="false" outlineLevel="0" collapsed="false">
      <c r="A2024" s="0" t="n">
        <v>23</v>
      </c>
      <c r="B2024" s="0" t="s">
        <v>62</v>
      </c>
      <c r="C2024" s="0" t="n">
        <v>2012</v>
      </c>
      <c r="D2024" s="0" t="n">
        <v>6</v>
      </c>
      <c r="E2024" s="38" t="n">
        <v>1869536.5</v>
      </c>
    </row>
    <row r="2025" customFormat="false" ht="15" hidden="false" customHeight="false" outlineLevel="0" collapsed="false">
      <c r="A2025" s="0" t="n">
        <v>23</v>
      </c>
      <c r="B2025" s="0" t="s">
        <v>62</v>
      </c>
      <c r="C2025" s="0" t="n">
        <v>2012</v>
      </c>
      <c r="D2025" s="0" t="n">
        <v>7</v>
      </c>
      <c r="E2025" s="38" t="n">
        <v>1840497.38</v>
      </c>
    </row>
    <row r="2026" customFormat="false" ht="15" hidden="false" customHeight="false" outlineLevel="0" collapsed="false">
      <c r="A2026" s="0" t="n">
        <v>23</v>
      </c>
      <c r="B2026" s="0" t="s">
        <v>62</v>
      </c>
      <c r="C2026" s="0" t="n">
        <v>2012</v>
      </c>
      <c r="D2026" s="0" t="n">
        <v>8</v>
      </c>
      <c r="E2026" s="38" t="n">
        <v>1584058.26</v>
      </c>
    </row>
    <row r="2027" customFormat="false" ht="15" hidden="false" customHeight="false" outlineLevel="0" collapsed="false">
      <c r="A2027" s="0" t="n">
        <v>23</v>
      </c>
      <c r="B2027" s="0" t="s">
        <v>62</v>
      </c>
      <c r="C2027" s="0" t="n">
        <v>2012</v>
      </c>
      <c r="D2027" s="0" t="n">
        <v>9</v>
      </c>
      <c r="E2027" s="38" t="n">
        <v>1935927.31</v>
      </c>
    </row>
    <row r="2028" customFormat="false" ht="15" hidden="false" customHeight="false" outlineLevel="0" collapsed="false">
      <c r="A2028" s="0" t="n">
        <v>23</v>
      </c>
      <c r="B2028" s="0" t="s">
        <v>62</v>
      </c>
      <c r="C2028" s="0" t="n">
        <v>2012</v>
      </c>
      <c r="D2028" s="0" t="n">
        <v>10</v>
      </c>
      <c r="E2028" s="38" t="n">
        <v>2207990.1</v>
      </c>
    </row>
    <row r="2029" customFormat="false" ht="15" hidden="false" customHeight="false" outlineLevel="0" collapsed="false">
      <c r="A2029" s="0" t="n">
        <v>23</v>
      </c>
      <c r="B2029" s="0" t="s">
        <v>62</v>
      </c>
      <c r="C2029" s="0" t="n">
        <v>2012</v>
      </c>
      <c r="D2029" s="0" t="n">
        <v>11</v>
      </c>
      <c r="E2029" s="38" t="n">
        <v>3114880.72</v>
      </c>
    </row>
    <row r="2030" customFormat="false" ht="15" hidden="false" customHeight="false" outlineLevel="0" collapsed="false">
      <c r="A2030" s="0" t="n">
        <v>23</v>
      </c>
      <c r="B2030" s="0" t="s">
        <v>62</v>
      </c>
      <c r="C2030" s="0" t="n">
        <v>2012</v>
      </c>
      <c r="D2030" s="0" t="n">
        <v>12</v>
      </c>
      <c r="E2030" s="38" t="n">
        <v>1441234.92</v>
      </c>
    </row>
    <row r="2031" customFormat="false" ht="15" hidden="false" customHeight="false" outlineLevel="0" collapsed="false">
      <c r="A2031" s="0" t="n">
        <v>23</v>
      </c>
      <c r="B2031" s="0" t="s">
        <v>62</v>
      </c>
      <c r="C2031" s="0" t="n">
        <v>2013</v>
      </c>
      <c r="D2031" s="0" t="n">
        <v>1</v>
      </c>
      <c r="E2031" s="38" t="n">
        <v>1657517.95</v>
      </c>
    </row>
    <row r="2032" customFormat="false" ht="15" hidden="false" customHeight="false" outlineLevel="0" collapsed="false">
      <c r="A2032" s="0" t="n">
        <v>23</v>
      </c>
      <c r="B2032" s="0" t="s">
        <v>62</v>
      </c>
      <c r="C2032" s="0" t="n">
        <v>2013</v>
      </c>
      <c r="D2032" s="0" t="n">
        <v>2</v>
      </c>
      <c r="E2032" s="38" t="n">
        <v>1879981.27</v>
      </c>
    </row>
    <row r="2033" customFormat="false" ht="15" hidden="false" customHeight="false" outlineLevel="0" collapsed="false">
      <c r="A2033" s="0" t="n">
        <v>23</v>
      </c>
      <c r="B2033" s="0" t="s">
        <v>62</v>
      </c>
      <c r="C2033" s="0" t="n">
        <v>2013</v>
      </c>
      <c r="D2033" s="0" t="n">
        <v>3</v>
      </c>
      <c r="E2033" s="38" t="n">
        <v>1824898.19</v>
      </c>
    </row>
    <row r="2034" customFormat="false" ht="15" hidden="false" customHeight="false" outlineLevel="0" collapsed="false">
      <c r="A2034" s="0" t="n">
        <v>23</v>
      </c>
      <c r="B2034" s="0" t="s">
        <v>62</v>
      </c>
      <c r="C2034" s="0" t="n">
        <v>2013</v>
      </c>
      <c r="D2034" s="0" t="n">
        <v>4</v>
      </c>
      <c r="E2034" s="38" t="n">
        <v>1975928.09</v>
      </c>
    </row>
    <row r="2035" customFormat="false" ht="15" hidden="false" customHeight="false" outlineLevel="0" collapsed="false">
      <c r="A2035" s="0" t="n">
        <v>23</v>
      </c>
      <c r="B2035" s="0" t="s">
        <v>62</v>
      </c>
      <c r="C2035" s="0" t="n">
        <v>2013</v>
      </c>
      <c r="D2035" s="0" t="n">
        <v>5</v>
      </c>
      <c r="E2035" s="38" t="n">
        <v>2211375.55</v>
      </c>
    </row>
    <row r="2036" customFormat="false" ht="15" hidden="false" customHeight="false" outlineLevel="0" collapsed="false">
      <c r="A2036" s="0" t="n">
        <v>23</v>
      </c>
      <c r="B2036" s="0" t="s">
        <v>62</v>
      </c>
      <c r="C2036" s="0" t="n">
        <v>2013</v>
      </c>
      <c r="D2036" s="0" t="n">
        <v>6</v>
      </c>
      <c r="E2036" s="38" t="n">
        <v>2005624.43</v>
      </c>
    </row>
    <row r="2037" customFormat="false" ht="15" hidden="false" customHeight="false" outlineLevel="0" collapsed="false">
      <c r="A2037" s="0" t="n">
        <v>23</v>
      </c>
      <c r="B2037" s="0" t="s">
        <v>62</v>
      </c>
      <c r="C2037" s="0" t="n">
        <v>2013</v>
      </c>
      <c r="D2037" s="0" t="n">
        <v>7</v>
      </c>
      <c r="E2037" s="38" t="n">
        <v>1961198.92</v>
      </c>
    </row>
    <row r="2038" customFormat="false" ht="15" hidden="false" customHeight="false" outlineLevel="0" collapsed="false">
      <c r="A2038" s="0" t="n">
        <v>23</v>
      </c>
      <c r="B2038" s="0" t="s">
        <v>62</v>
      </c>
      <c r="C2038" s="0" t="n">
        <v>2013</v>
      </c>
      <c r="D2038" s="0" t="n">
        <v>8</v>
      </c>
      <c r="E2038" s="38" t="n">
        <v>1643322.34</v>
      </c>
    </row>
    <row r="2039" customFormat="false" ht="15" hidden="false" customHeight="false" outlineLevel="0" collapsed="false">
      <c r="A2039" s="0" t="n">
        <v>23</v>
      </c>
      <c r="B2039" s="0" t="s">
        <v>64</v>
      </c>
      <c r="C2039" s="0" t="n">
        <v>2011</v>
      </c>
      <c r="D2039" s="0" t="n">
        <v>1</v>
      </c>
      <c r="E2039" s="38" t="n">
        <v>80.39</v>
      </c>
    </row>
    <row r="2040" customFormat="false" ht="15" hidden="false" customHeight="false" outlineLevel="0" collapsed="false">
      <c r="A2040" s="0" t="n">
        <v>23</v>
      </c>
      <c r="B2040" s="0" t="s">
        <v>64</v>
      </c>
      <c r="C2040" s="0" t="n">
        <v>2011</v>
      </c>
      <c r="D2040" s="0" t="n">
        <v>2</v>
      </c>
      <c r="E2040" s="38" t="n">
        <v>131.25</v>
      </c>
    </row>
    <row r="2041" customFormat="false" ht="15" hidden="false" customHeight="false" outlineLevel="0" collapsed="false">
      <c r="A2041" s="0" t="n">
        <v>23</v>
      </c>
      <c r="B2041" s="0" t="s">
        <v>64</v>
      </c>
      <c r="C2041" s="0" t="n">
        <v>2011</v>
      </c>
      <c r="D2041" s="0" t="n">
        <v>3</v>
      </c>
      <c r="E2041" s="38" t="n">
        <v>152.2</v>
      </c>
    </row>
    <row r="2042" customFormat="false" ht="15" hidden="false" customHeight="false" outlineLevel="0" collapsed="false">
      <c r="A2042" s="0" t="n">
        <v>23</v>
      </c>
      <c r="B2042" s="0" t="s">
        <v>64</v>
      </c>
      <c r="C2042" s="0" t="n">
        <v>2011</v>
      </c>
      <c r="D2042" s="0" t="n">
        <v>4</v>
      </c>
      <c r="E2042" s="38" t="n">
        <v>145.33</v>
      </c>
    </row>
    <row r="2043" customFormat="false" ht="15" hidden="false" customHeight="false" outlineLevel="0" collapsed="false">
      <c r="A2043" s="0" t="n">
        <v>23</v>
      </c>
      <c r="B2043" s="0" t="s">
        <v>64</v>
      </c>
      <c r="C2043" s="0" t="n">
        <v>2011</v>
      </c>
      <c r="D2043" s="0" t="n">
        <v>5</v>
      </c>
      <c r="E2043" s="38" t="n">
        <v>129.95</v>
      </c>
    </row>
    <row r="2044" customFormat="false" ht="15" hidden="false" customHeight="false" outlineLevel="0" collapsed="false">
      <c r="A2044" s="0" t="n">
        <v>23</v>
      </c>
      <c r="B2044" s="0" t="s">
        <v>64</v>
      </c>
      <c r="C2044" s="0" t="n">
        <v>2011</v>
      </c>
      <c r="D2044" s="0" t="n">
        <v>6</v>
      </c>
      <c r="E2044" s="38" t="n">
        <v>74.49</v>
      </c>
    </row>
    <row r="2045" customFormat="false" ht="15" hidden="false" customHeight="false" outlineLevel="0" collapsed="false">
      <c r="A2045" s="0" t="n">
        <v>23</v>
      </c>
      <c r="B2045" s="0" t="s">
        <v>64</v>
      </c>
      <c r="C2045" s="0" t="n">
        <v>2011</v>
      </c>
      <c r="D2045" s="0" t="n">
        <v>7</v>
      </c>
      <c r="E2045" s="38" t="n">
        <v>105.44</v>
      </c>
    </row>
    <row r="2046" customFormat="false" ht="15" hidden="false" customHeight="false" outlineLevel="0" collapsed="false">
      <c r="A2046" s="0" t="n">
        <v>23</v>
      </c>
      <c r="B2046" s="0" t="s">
        <v>64</v>
      </c>
      <c r="C2046" s="0" t="n">
        <v>2011</v>
      </c>
      <c r="D2046" s="0" t="n">
        <v>8</v>
      </c>
      <c r="E2046" s="38" t="n">
        <v>137.4</v>
      </c>
    </row>
    <row r="2047" customFormat="false" ht="15" hidden="false" customHeight="false" outlineLevel="0" collapsed="false">
      <c r="A2047" s="0" t="n">
        <v>23</v>
      </c>
      <c r="B2047" s="0" t="s">
        <v>64</v>
      </c>
      <c r="C2047" s="0" t="n">
        <v>2011</v>
      </c>
      <c r="D2047" s="0" t="n">
        <v>9</v>
      </c>
      <c r="E2047" s="38" t="n">
        <v>175.45</v>
      </c>
    </row>
    <row r="2048" customFormat="false" ht="15" hidden="false" customHeight="false" outlineLevel="0" collapsed="false">
      <c r="A2048" s="0" t="n">
        <v>23</v>
      </c>
      <c r="B2048" s="0" t="s">
        <v>64</v>
      </c>
      <c r="C2048" s="0" t="n">
        <v>2011</v>
      </c>
      <c r="D2048" s="0" t="n">
        <v>10</v>
      </c>
      <c r="E2048" s="38" t="n">
        <v>236.91</v>
      </c>
    </row>
    <row r="2049" customFormat="false" ht="15" hidden="false" customHeight="false" outlineLevel="0" collapsed="false">
      <c r="A2049" s="0" t="n">
        <v>23</v>
      </c>
      <c r="B2049" s="0" t="s">
        <v>64</v>
      </c>
      <c r="C2049" s="0" t="n">
        <v>2011</v>
      </c>
      <c r="D2049" s="0" t="n">
        <v>11</v>
      </c>
      <c r="E2049" s="38" t="n">
        <v>97.43</v>
      </c>
    </row>
    <row r="2050" customFormat="false" ht="15" hidden="false" customHeight="false" outlineLevel="0" collapsed="false">
      <c r="A2050" s="0" t="n">
        <v>23</v>
      </c>
      <c r="B2050" s="0" t="s">
        <v>64</v>
      </c>
      <c r="C2050" s="0" t="n">
        <v>2011</v>
      </c>
      <c r="D2050" s="0" t="n">
        <v>12</v>
      </c>
      <c r="E2050" s="38" t="n">
        <v>43.28</v>
      </c>
    </row>
    <row r="2051" customFormat="false" ht="15" hidden="false" customHeight="false" outlineLevel="0" collapsed="false">
      <c r="A2051" s="0" t="n">
        <v>23</v>
      </c>
      <c r="B2051" s="0" t="s">
        <v>64</v>
      </c>
      <c r="C2051" s="0" t="n">
        <v>2012</v>
      </c>
      <c r="D2051" s="0" t="n">
        <v>1</v>
      </c>
      <c r="E2051" s="38" t="n">
        <v>79.9</v>
      </c>
    </row>
    <row r="2052" customFormat="false" ht="15" hidden="false" customHeight="false" outlineLevel="0" collapsed="false">
      <c r="A2052" s="0" t="n">
        <v>23</v>
      </c>
      <c r="B2052" s="0" t="s">
        <v>64</v>
      </c>
      <c r="C2052" s="0" t="n">
        <v>2012</v>
      </c>
      <c r="D2052" s="0" t="n">
        <v>2</v>
      </c>
      <c r="E2052" s="38" t="n">
        <v>576.73</v>
      </c>
    </row>
    <row r="2053" customFormat="false" ht="15" hidden="false" customHeight="false" outlineLevel="0" collapsed="false">
      <c r="A2053" s="0" t="n">
        <v>23</v>
      </c>
      <c r="B2053" s="0" t="s">
        <v>64</v>
      </c>
      <c r="C2053" s="0" t="n">
        <v>2012</v>
      </c>
      <c r="D2053" s="0" t="n">
        <v>3</v>
      </c>
      <c r="E2053" s="38" t="n">
        <v>731.97</v>
      </c>
    </row>
    <row r="2054" customFormat="false" ht="15" hidden="false" customHeight="false" outlineLevel="0" collapsed="false">
      <c r="A2054" s="0" t="n">
        <v>23</v>
      </c>
      <c r="B2054" s="0" t="s">
        <v>64</v>
      </c>
      <c r="C2054" s="0" t="n">
        <v>2012</v>
      </c>
      <c r="D2054" s="0" t="n">
        <v>4</v>
      </c>
      <c r="E2054" s="38" t="n">
        <v>742.8</v>
      </c>
    </row>
    <row r="2055" customFormat="false" ht="15" hidden="false" customHeight="false" outlineLevel="0" collapsed="false">
      <c r="A2055" s="0" t="n">
        <v>23</v>
      </c>
      <c r="B2055" s="0" t="s">
        <v>64</v>
      </c>
      <c r="C2055" s="0" t="n">
        <v>2012</v>
      </c>
      <c r="D2055" s="0" t="n">
        <v>5</v>
      </c>
      <c r="E2055" s="38" t="n">
        <v>839.67</v>
      </c>
    </row>
    <row r="2056" customFormat="false" ht="15" hidden="false" customHeight="false" outlineLevel="0" collapsed="false">
      <c r="A2056" s="0" t="n">
        <v>23</v>
      </c>
      <c r="B2056" s="0" t="s">
        <v>64</v>
      </c>
      <c r="C2056" s="0" t="n">
        <v>2012</v>
      </c>
      <c r="D2056" s="0" t="n">
        <v>6</v>
      </c>
      <c r="E2056" s="38" t="n">
        <v>655.12</v>
      </c>
    </row>
    <row r="2057" customFormat="false" ht="15" hidden="false" customHeight="false" outlineLevel="0" collapsed="false">
      <c r="A2057" s="0" t="n">
        <v>23</v>
      </c>
      <c r="B2057" s="0" t="s">
        <v>64</v>
      </c>
      <c r="C2057" s="0" t="n">
        <v>2012</v>
      </c>
      <c r="D2057" s="0" t="n">
        <v>7</v>
      </c>
      <c r="E2057" s="38" t="n">
        <v>350.02</v>
      </c>
    </row>
    <row r="2058" customFormat="false" ht="15" hidden="false" customHeight="false" outlineLevel="0" collapsed="false">
      <c r="A2058" s="0" t="n">
        <v>23</v>
      </c>
      <c r="B2058" s="0" t="s">
        <v>64</v>
      </c>
      <c r="C2058" s="0" t="n">
        <v>2012</v>
      </c>
      <c r="D2058" s="0" t="n">
        <v>8</v>
      </c>
      <c r="E2058" s="38" t="n">
        <v>313.96</v>
      </c>
    </row>
    <row r="2059" customFormat="false" ht="15" hidden="false" customHeight="false" outlineLevel="0" collapsed="false">
      <c r="A2059" s="0" t="n">
        <v>23</v>
      </c>
      <c r="B2059" s="0" t="s">
        <v>64</v>
      </c>
      <c r="C2059" s="0" t="n">
        <v>2012</v>
      </c>
      <c r="D2059" s="0" t="n">
        <v>9</v>
      </c>
      <c r="E2059" s="38" t="n">
        <v>567.37</v>
      </c>
    </row>
    <row r="2060" customFormat="false" ht="15" hidden="false" customHeight="false" outlineLevel="0" collapsed="false">
      <c r="A2060" s="0" t="n">
        <v>23</v>
      </c>
      <c r="B2060" s="0" t="s">
        <v>64</v>
      </c>
      <c r="C2060" s="0" t="n">
        <v>2012</v>
      </c>
      <c r="D2060" s="0" t="n">
        <v>10</v>
      </c>
      <c r="E2060" s="38" t="n">
        <v>541.5</v>
      </c>
    </row>
    <row r="2061" customFormat="false" ht="15" hidden="false" customHeight="false" outlineLevel="0" collapsed="false">
      <c r="A2061" s="0" t="n">
        <v>23</v>
      </c>
      <c r="B2061" s="0" t="s">
        <v>64</v>
      </c>
      <c r="C2061" s="0" t="n">
        <v>2012</v>
      </c>
      <c r="D2061" s="0" t="n">
        <v>11</v>
      </c>
      <c r="E2061" s="38" t="n">
        <v>789.24</v>
      </c>
    </row>
    <row r="2062" customFormat="false" ht="15" hidden="false" customHeight="false" outlineLevel="0" collapsed="false">
      <c r="A2062" s="0" t="n">
        <v>23</v>
      </c>
      <c r="B2062" s="0" t="s">
        <v>64</v>
      </c>
      <c r="C2062" s="0" t="n">
        <v>2012</v>
      </c>
      <c r="D2062" s="0" t="n">
        <v>12</v>
      </c>
      <c r="E2062" s="38" t="n">
        <v>641.45</v>
      </c>
    </row>
    <row r="2063" customFormat="false" ht="15" hidden="false" customHeight="false" outlineLevel="0" collapsed="false">
      <c r="A2063" s="0" t="n">
        <v>23</v>
      </c>
      <c r="B2063" s="0" t="s">
        <v>64</v>
      </c>
      <c r="C2063" s="0" t="n">
        <v>2013</v>
      </c>
      <c r="D2063" s="0" t="n">
        <v>1</v>
      </c>
      <c r="E2063" s="38" t="n">
        <v>723.09</v>
      </c>
    </row>
    <row r="2064" customFormat="false" ht="15" hidden="false" customHeight="false" outlineLevel="0" collapsed="false">
      <c r="A2064" s="0" t="n">
        <v>23</v>
      </c>
      <c r="B2064" s="0" t="s">
        <v>64</v>
      </c>
      <c r="C2064" s="0" t="n">
        <v>2013</v>
      </c>
      <c r="D2064" s="0" t="n">
        <v>2</v>
      </c>
      <c r="E2064" s="38" t="n">
        <v>860.7</v>
      </c>
    </row>
    <row r="2065" customFormat="false" ht="15" hidden="false" customHeight="false" outlineLevel="0" collapsed="false">
      <c r="A2065" s="0" t="n">
        <v>23</v>
      </c>
      <c r="B2065" s="0" t="s">
        <v>64</v>
      </c>
      <c r="C2065" s="0" t="n">
        <v>2013</v>
      </c>
      <c r="D2065" s="0" t="n">
        <v>3</v>
      </c>
      <c r="E2065" s="38" t="n">
        <v>675.81</v>
      </c>
    </row>
    <row r="2066" customFormat="false" ht="15" hidden="false" customHeight="false" outlineLevel="0" collapsed="false">
      <c r="A2066" s="0" t="n">
        <v>23</v>
      </c>
      <c r="B2066" s="0" t="s">
        <v>64</v>
      </c>
      <c r="C2066" s="0" t="n">
        <v>2013</v>
      </c>
      <c r="D2066" s="0" t="n">
        <v>4</v>
      </c>
      <c r="E2066" s="38" t="n">
        <v>921.69</v>
      </c>
    </row>
    <row r="2067" customFormat="false" ht="15" hidden="false" customHeight="false" outlineLevel="0" collapsed="false">
      <c r="A2067" s="0" t="n">
        <v>23</v>
      </c>
      <c r="B2067" s="0" t="s">
        <v>64</v>
      </c>
      <c r="C2067" s="0" t="n">
        <v>2013</v>
      </c>
      <c r="D2067" s="0" t="n">
        <v>5</v>
      </c>
      <c r="E2067" s="38" t="n">
        <v>854.62</v>
      </c>
    </row>
    <row r="2068" customFormat="false" ht="15" hidden="false" customHeight="false" outlineLevel="0" collapsed="false">
      <c r="A2068" s="0" t="n">
        <v>23</v>
      </c>
      <c r="B2068" s="0" t="s">
        <v>64</v>
      </c>
      <c r="C2068" s="0" t="n">
        <v>2013</v>
      </c>
      <c r="D2068" s="0" t="n">
        <v>6</v>
      </c>
      <c r="E2068" s="38" t="n">
        <v>866.7</v>
      </c>
    </row>
    <row r="2069" customFormat="false" ht="15" hidden="false" customHeight="false" outlineLevel="0" collapsed="false">
      <c r="A2069" s="0" t="n">
        <v>23</v>
      </c>
      <c r="B2069" s="0" t="s">
        <v>64</v>
      </c>
      <c r="C2069" s="0" t="n">
        <v>2013</v>
      </c>
      <c r="D2069" s="0" t="n">
        <v>7</v>
      </c>
      <c r="E2069" s="38" t="n">
        <v>717.14</v>
      </c>
    </row>
    <row r="2070" customFormat="false" ht="15" hidden="false" customHeight="false" outlineLevel="0" collapsed="false">
      <c r="A2070" s="0" t="n">
        <v>23</v>
      </c>
      <c r="B2070" s="0" t="s">
        <v>64</v>
      </c>
      <c r="C2070" s="0" t="n">
        <v>2013</v>
      </c>
      <c r="D2070" s="0" t="n">
        <v>8</v>
      </c>
      <c r="E2070" s="38" t="n">
        <v>479.82</v>
      </c>
    </row>
    <row r="2071" customFormat="false" ht="15" hidden="false" customHeight="false" outlineLevel="0" collapsed="false">
      <c r="A2071" s="0" t="n">
        <v>24</v>
      </c>
      <c r="B2071" s="0" t="s">
        <v>60</v>
      </c>
      <c r="C2071" s="0" t="n">
        <v>2011</v>
      </c>
      <c r="D2071" s="0" t="n">
        <v>1</v>
      </c>
      <c r="E2071" s="38" t="n">
        <v>512509.68</v>
      </c>
    </row>
    <row r="2072" customFormat="false" ht="15" hidden="false" customHeight="false" outlineLevel="0" collapsed="false">
      <c r="A2072" s="0" t="n">
        <v>24</v>
      </c>
      <c r="B2072" s="0" t="s">
        <v>60</v>
      </c>
      <c r="C2072" s="0" t="n">
        <v>2011</v>
      </c>
      <c r="D2072" s="0" t="n">
        <v>2</v>
      </c>
      <c r="E2072" s="38" t="n">
        <v>566202.02</v>
      </c>
    </row>
    <row r="2073" customFormat="false" ht="15" hidden="false" customHeight="false" outlineLevel="0" collapsed="false">
      <c r="A2073" s="0" t="n">
        <v>24</v>
      </c>
      <c r="B2073" s="0" t="s">
        <v>60</v>
      </c>
      <c r="C2073" s="0" t="n">
        <v>2011</v>
      </c>
      <c r="D2073" s="0" t="n">
        <v>3</v>
      </c>
      <c r="E2073" s="38" t="n">
        <v>523625.21</v>
      </c>
    </row>
    <row r="2074" customFormat="false" ht="15" hidden="false" customHeight="false" outlineLevel="0" collapsed="false">
      <c r="A2074" s="0" t="n">
        <v>24</v>
      </c>
      <c r="B2074" s="0" t="s">
        <v>60</v>
      </c>
      <c r="C2074" s="0" t="n">
        <v>2011</v>
      </c>
      <c r="D2074" s="0" t="n">
        <v>4</v>
      </c>
      <c r="E2074" s="38" t="n">
        <v>519998.39</v>
      </c>
    </row>
    <row r="2075" customFormat="false" ht="15" hidden="false" customHeight="false" outlineLevel="0" collapsed="false">
      <c r="A2075" s="0" t="n">
        <v>24</v>
      </c>
      <c r="B2075" s="0" t="s">
        <v>60</v>
      </c>
      <c r="C2075" s="0" t="n">
        <v>2011</v>
      </c>
      <c r="D2075" s="0" t="n">
        <v>5</v>
      </c>
      <c r="E2075" s="38" t="n">
        <v>503433.44</v>
      </c>
    </row>
    <row r="2076" customFormat="false" ht="15" hidden="false" customHeight="false" outlineLevel="0" collapsed="false">
      <c r="A2076" s="0" t="n">
        <v>24</v>
      </c>
      <c r="B2076" s="0" t="s">
        <v>60</v>
      </c>
      <c r="C2076" s="0" t="n">
        <v>2011</v>
      </c>
      <c r="D2076" s="0" t="n">
        <v>6</v>
      </c>
      <c r="E2076" s="38" t="n">
        <v>486744.04</v>
      </c>
    </row>
    <row r="2077" customFormat="false" ht="15" hidden="false" customHeight="false" outlineLevel="0" collapsed="false">
      <c r="A2077" s="0" t="n">
        <v>24</v>
      </c>
      <c r="B2077" s="0" t="s">
        <v>60</v>
      </c>
      <c r="C2077" s="0" t="n">
        <v>2011</v>
      </c>
      <c r="D2077" s="0" t="n">
        <v>7</v>
      </c>
      <c r="E2077" s="38" t="n">
        <v>920278.2</v>
      </c>
    </row>
    <row r="2078" customFormat="false" ht="15" hidden="false" customHeight="false" outlineLevel="0" collapsed="false">
      <c r="A2078" s="0" t="n">
        <v>24</v>
      </c>
      <c r="B2078" s="0" t="s">
        <v>60</v>
      </c>
      <c r="C2078" s="0" t="n">
        <v>2011</v>
      </c>
      <c r="D2078" s="0" t="n">
        <v>8</v>
      </c>
      <c r="E2078" s="38" t="n">
        <v>470766.64</v>
      </c>
    </row>
    <row r="2079" customFormat="false" ht="15" hidden="false" customHeight="false" outlineLevel="0" collapsed="false">
      <c r="A2079" s="0" t="n">
        <v>24</v>
      </c>
      <c r="B2079" s="0" t="s">
        <v>60</v>
      </c>
      <c r="C2079" s="0" t="n">
        <v>2011</v>
      </c>
      <c r="D2079" s="0" t="n">
        <v>9</v>
      </c>
      <c r="E2079" s="38" t="n">
        <v>559475.51</v>
      </c>
    </row>
    <row r="2080" customFormat="false" ht="15" hidden="false" customHeight="false" outlineLevel="0" collapsed="false">
      <c r="A2080" s="0" t="n">
        <v>24</v>
      </c>
      <c r="B2080" s="0" t="s">
        <v>60</v>
      </c>
      <c r="C2080" s="0" t="n">
        <v>2011</v>
      </c>
      <c r="D2080" s="0" t="n">
        <v>10</v>
      </c>
      <c r="E2080" s="38" t="n">
        <v>773659.03</v>
      </c>
    </row>
    <row r="2081" customFormat="false" ht="15" hidden="false" customHeight="false" outlineLevel="0" collapsed="false">
      <c r="A2081" s="0" t="n">
        <v>24</v>
      </c>
      <c r="B2081" s="0" t="s">
        <v>60</v>
      </c>
      <c r="C2081" s="0" t="n">
        <v>2011</v>
      </c>
      <c r="D2081" s="0" t="n">
        <v>11</v>
      </c>
      <c r="E2081" s="38" t="n">
        <v>945503.31</v>
      </c>
    </row>
    <row r="2082" customFormat="false" ht="15" hidden="false" customHeight="false" outlineLevel="0" collapsed="false">
      <c r="A2082" s="0" t="n">
        <v>24</v>
      </c>
      <c r="B2082" s="0" t="s">
        <v>60</v>
      </c>
      <c r="C2082" s="0" t="n">
        <v>2011</v>
      </c>
      <c r="D2082" s="0" t="n">
        <v>12</v>
      </c>
      <c r="E2082" s="38" t="n">
        <v>370452.48</v>
      </c>
    </row>
    <row r="2083" customFormat="false" ht="15" hidden="false" customHeight="false" outlineLevel="0" collapsed="false">
      <c r="A2083" s="0" t="n">
        <v>24</v>
      </c>
      <c r="B2083" s="0" t="s">
        <v>60</v>
      </c>
      <c r="C2083" s="0" t="n">
        <v>2012</v>
      </c>
      <c r="D2083" s="0" t="n">
        <v>1</v>
      </c>
      <c r="E2083" s="38" t="n">
        <v>463856.84</v>
      </c>
    </row>
    <row r="2084" customFormat="false" ht="15" hidden="false" customHeight="false" outlineLevel="0" collapsed="false">
      <c r="A2084" s="0" t="n">
        <v>24</v>
      </c>
      <c r="B2084" s="0" t="s">
        <v>60</v>
      </c>
      <c r="C2084" s="0" t="n">
        <v>2012</v>
      </c>
      <c r="D2084" s="0" t="n">
        <v>2</v>
      </c>
      <c r="E2084" s="38" t="n">
        <v>456959.37</v>
      </c>
    </row>
    <row r="2085" customFormat="false" ht="15" hidden="false" customHeight="false" outlineLevel="0" collapsed="false">
      <c r="A2085" s="0" t="n">
        <v>24</v>
      </c>
      <c r="B2085" s="0" t="s">
        <v>60</v>
      </c>
      <c r="C2085" s="0" t="n">
        <v>2012</v>
      </c>
      <c r="D2085" s="0" t="n">
        <v>3</v>
      </c>
      <c r="E2085" s="38" t="n">
        <v>493976.02</v>
      </c>
    </row>
    <row r="2086" customFormat="false" ht="15" hidden="false" customHeight="false" outlineLevel="0" collapsed="false">
      <c r="A2086" s="0" t="n">
        <v>24</v>
      </c>
      <c r="B2086" s="0" t="s">
        <v>60</v>
      </c>
      <c r="C2086" s="0" t="n">
        <v>2012</v>
      </c>
      <c r="D2086" s="0" t="n">
        <v>4</v>
      </c>
      <c r="E2086" s="38" t="n">
        <v>451052.43</v>
      </c>
    </row>
    <row r="2087" customFormat="false" ht="15" hidden="false" customHeight="false" outlineLevel="0" collapsed="false">
      <c r="A2087" s="0" t="n">
        <v>24</v>
      </c>
      <c r="B2087" s="0" t="s">
        <v>60</v>
      </c>
      <c r="C2087" s="0" t="n">
        <v>2012</v>
      </c>
      <c r="D2087" s="0" t="n">
        <v>5</v>
      </c>
      <c r="E2087" s="38" t="n">
        <v>462374.07</v>
      </c>
    </row>
    <row r="2088" customFormat="false" ht="15" hidden="false" customHeight="false" outlineLevel="0" collapsed="false">
      <c r="A2088" s="0" t="n">
        <v>24</v>
      </c>
      <c r="B2088" s="0" t="s">
        <v>60</v>
      </c>
      <c r="C2088" s="0" t="n">
        <v>2012</v>
      </c>
      <c r="D2088" s="0" t="n">
        <v>6</v>
      </c>
      <c r="E2088" s="38" t="n">
        <v>484585.08</v>
      </c>
    </row>
    <row r="2089" customFormat="false" ht="15" hidden="false" customHeight="false" outlineLevel="0" collapsed="false">
      <c r="A2089" s="0" t="n">
        <v>24</v>
      </c>
      <c r="B2089" s="0" t="s">
        <v>60</v>
      </c>
      <c r="C2089" s="0" t="n">
        <v>2012</v>
      </c>
      <c r="D2089" s="0" t="n">
        <v>7</v>
      </c>
      <c r="E2089" s="38" t="n">
        <v>881828.99</v>
      </c>
    </row>
    <row r="2090" customFormat="false" ht="15" hidden="false" customHeight="false" outlineLevel="0" collapsed="false">
      <c r="A2090" s="0" t="n">
        <v>24</v>
      </c>
      <c r="B2090" s="0" t="s">
        <v>60</v>
      </c>
      <c r="C2090" s="0" t="n">
        <v>2012</v>
      </c>
      <c r="D2090" s="0" t="n">
        <v>8</v>
      </c>
      <c r="E2090" s="38" t="n">
        <v>478633.59</v>
      </c>
    </row>
    <row r="2091" customFormat="false" ht="15" hidden="false" customHeight="false" outlineLevel="0" collapsed="false">
      <c r="A2091" s="0" t="n">
        <v>24</v>
      </c>
      <c r="B2091" s="0" t="s">
        <v>60</v>
      </c>
      <c r="C2091" s="0" t="n">
        <v>2012</v>
      </c>
      <c r="D2091" s="0" t="n">
        <v>9</v>
      </c>
      <c r="E2091" s="38" t="n">
        <v>573552.61</v>
      </c>
    </row>
    <row r="2092" customFormat="false" ht="15" hidden="false" customHeight="false" outlineLevel="0" collapsed="false">
      <c r="A2092" s="0" t="n">
        <v>24</v>
      </c>
      <c r="B2092" s="0" t="s">
        <v>60</v>
      </c>
      <c r="C2092" s="0" t="n">
        <v>2012</v>
      </c>
      <c r="D2092" s="0" t="n">
        <v>10</v>
      </c>
      <c r="E2092" s="38" t="n">
        <v>726120.44</v>
      </c>
    </row>
    <row r="2093" customFormat="false" ht="15" hidden="false" customHeight="false" outlineLevel="0" collapsed="false">
      <c r="A2093" s="0" t="n">
        <v>24</v>
      </c>
      <c r="B2093" s="0" t="s">
        <v>60</v>
      </c>
      <c r="C2093" s="0" t="n">
        <v>2012</v>
      </c>
      <c r="D2093" s="0" t="n">
        <v>11</v>
      </c>
      <c r="E2093" s="38" t="n">
        <v>935903.43</v>
      </c>
    </row>
    <row r="2094" customFormat="false" ht="15" hidden="false" customHeight="false" outlineLevel="0" collapsed="false">
      <c r="A2094" s="0" t="n">
        <v>24</v>
      </c>
      <c r="B2094" s="0" t="s">
        <v>60</v>
      </c>
      <c r="C2094" s="0" t="n">
        <v>2012</v>
      </c>
      <c r="D2094" s="0" t="n">
        <v>12</v>
      </c>
      <c r="E2094" s="38" t="n">
        <v>339930.88</v>
      </c>
    </row>
    <row r="2095" customFormat="false" ht="15" hidden="false" customHeight="false" outlineLevel="0" collapsed="false">
      <c r="A2095" s="0" t="n">
        <v>24</v>
      </c>
      <c r="B2095" s="0" t="s">
        <v>60</v>
      </c>
      <c r="C2095" s="0" t="n">
        <v>2013</v>
      </c>
      <c r="D2095" s="0" t="n">
        <v>1</v>
      </c>
      <c r="E2095" s="38" t="n">
        <v>487670.63</v>
      </c>
    </row>
    <row r="2096" customFormat="false" ht="15" hidden="false" customHeight="false" outlineLevel="0" collapsed="false">
      <c r="A2096" s="0" t="n">
        <v>24</v>
      </c>
      <c r="B2096" s="0" t="s">
        <v>60</v>
      </c>
      <c r="C2096" s="0" t="n">
        <v>2013</v>
      </c>
      <c r="D2096" s="0" t="n">
        <v>2</v>
      </c>
      <c r="E2096" s="38" t="n">
        <v>529781.43</v>
      </c>
    </row>
    <row r="2097" customFormat="false" ht="15" hidden="false" customHeight="false" outlineLevel="0" collapsed="false">
      <c r="A2097" s="0" t="n">
        <v>24</v>
      </c>
      <c r="B2097" s="0" t="s">
        <v>60</v>
      </c>
      <c r="C2097" s="0" t="n">
        <v>2013</v>
      </c>
      <c r="D2097" s="0" t="n">
        <v>3</v>
      </c>
      <c r="E2097" s="38" t="n">
        <v>509572.5</v>
      </c>
    </row>
    <row r="2098" customFormat="false" ht="15" hidden="false" customHeight="false" outlineLevel="0" collapsed="false">
      <c r="A2098" s="0" t="n">
        <v>24</v>
      </c>
      <c r="B2098" s="0" t="s">
        <v>60</v>
      </c>
      <c r="C2098" s="0" t="n">
        <v>2013</v>
      </c>
      <c r="D2098" s="0" t="n">
        <v>4</v>
      </c>
      <c r="E2098" s="38" t="n">
        <v>493199.69</v>
      </c>
    </row>
    <row r="2099" customFormat="false" ht="15" hidden="false" customHeight="false" outlineLevel="0" collapsed="false">
      <c r="A2099" s="0" t="n">
        <v>24</v>
      </c>
      <c r="B2099" s="0" t="s">
        <v>60</v>
      </c>
      <c r="C2099" s="0" t="n">
        <v>2013</v>
      </c>
      <c r="D2099" s="0" t="n">
        <v>5</v>
      </c>
      <c r="E2099" s="38" t="n">
        <v>451243.41</v>
      </c>
    </row>
    <row r="2100" customFormat="false" ht="15" hidden="false" customHeight="false" outlineLevel="0" collapsed="false">
      <c r="A2100" s="0" t="n">
        <v>24</v>
      </c>
      <c r="B2100" s="0" t="s">
        <v>60</v>
      </c>
      <c r="C2100" s="0" t="n">
        <v>2013</v>
      </c>
      <c r="D2100" s="0" t="n">
        <v>6</v>
      </c>
      <c r="E2100" s="38" t="n">
        <v>516314.11</v>
      </c>
    </row>
    <row r="2101" customFormat="false" ht="15" hidden="false" customHeight="false" outlineLevel="0" collapsed="false">
      <c r="A2101" s="0" t="n">
        <v>24</v>
      </c>
      <c r="B2101" s="0" t="s">
        <v>60</v>
      </c>
      <c r="C2101" s="0" t="n">
        <v>2013</v>
      </c>
      <c r="D2101" s="0" t="n">
        <v>7</v>
      </c>
      <c r="E2101" s="38" t="n">
        <v>898006.64</v>
      </c>
    </row>
    <row r="2102" customFormat="false" ht="15" hidden="false" customHeight="false" outlineLevel="0" collapsed="false">
      <c r="A2102" s="0" t="n">
        <v>24</v>
      </c>
      <c r="B2102" s="0" t="s">
        <v>60</v>
      </c>
      <c r="C2102" s="0" t="n">
        <v>2013</v>
      </c>
      <c r="D2102" s="0" t="n">
        <v>8</v>
      </c>
      <c r="E2102" s="38" t="n">
        <v>506387.53</v>
      </c>
    </row>
    <row r="2103" customFormat="false" ht="15" hidden="false" customHeight="false" outlineLevel="0" collapsed="false">
      <c r="A2103" s="0" t="n">
        <v>24</v>
      </c>
      <c r="B2103" s="0" t="s">
        <v>62</v>
      </c>
      <c r="C2103" s="0" t="n">
        <v>2011</v>
      </c>
      <c r="D2103" s="0" t="n">
        <v>1</v>
      </c>
      <c r="E2103" s="38" t="n">
        <v>424312.21</v>
      </c>
    </row>
    <row r="2104" customFormat="false" ht="15" hidden="false" customHeight="false" outlineLevel="0" collapsed="false">
      <c r="A2104" s="0" t="n">
        <v>24</v>
      </c>
      <c r="B2104" s="0" t="s">
        <v>62</v>
      </c>
      <c r="C2104" s="0" t="n">
        <v>2011</v>
      </c>
      <c r="D2104" s="0" t="n">
        <v>2</v>
      </c>
      <c r="E2104" s="38" t="n">
        <v>496621.66</v>
      </c>
    </row>
    <row r="2105" customFormat="false" ht="15" hidden="false" customHeight="false" outlineLevel="0" collapsed="false">
      <c r="A2105" s="0" t="n">
        <v>24</v>
      </c>
      <c r="B2105" s="0" t="s">
        <v>62</v>
      </c>
      <c r="C2105" s="0" t="n">
        <v>2011</v>
      </c>
      <c r="D2105" s="0" t="n">
        <v>3</v>
      </c>
      <c r="E2105" s="38" t="n">
        <v>460618.14</v>
      </c>
    </row>
    <row r="2106" customFormat="false" ht="15" hidden="false" customHeight="false" outlineLevel="0" collapsed="false">
      <c r="A2106" s="0" t="n">
        <v>24</v>
      </c>
      <c r="B2106" s="0" t="s">
        <v>62</v>
      </c>
      <c r="C2106" s="0" t="n">
        <v>2011</v>
      </c>
      <c r="D2106" s="0" t="n">
        <v>4</v>
      </c>
      <c r="E2106" s="38" t="n">
        <v>443183.78</v>
      </c>
    </row>
    <row r="2107" customFormat="false" ht="15" hidden="false" customHeight="false" outlineLevel="0" collapsed="false">
      <c r="A2107" s="0" t="n">
        <v>24</v>
      </c>
      <c r="B2107" s="0" t="s">
        <v>62</v>
      </c>
      <c r="C2107" s="0" t="n">
        <v>2011</v>
      </c>
      <c r="D2107" s="0" t="n">
        <v>5</v>
      </c>
      <c r="E2107" s="38" t="n">
        <v>412013.08</v>
      </c>
    </row>
    <row r="2108" customFormat="false" ht="15" hidden="false" customHeight="false" outlineLevel="0" collapsed="false">
      <c r="A2108" s="0" t="n">
        <v>24</v>
      </c>
      <c r="B2108" s="0" t="s">
        <v>62</v>
      </c>
      <c r="C2108" s="0" t="n">
        <v>2011</v>
      </c>
      <c r="D2108" s="0" t="n">
        <v>6</v>
      </c>
      <c r="E2108" s="38" t="n">
        <v>415631.9</v>
      </c>
    </row>
    <row r="2109" customFormat="false" ht="15" hidden="false" customHeight="false" outlineLevel="0" collapsed="false">
      <c r="A2109" s="0" t="n">
        <v>24</v>
      </c>
      <c r="B2109" s="0" t="s">
        <v>62</v>
      </c>
      <c r="C2109" s="0" t="n">
        <v>2011</v>
      </c>
      <c r="D2109" s="0" t="n">
        <v>7</v>
      </c>
      <c r="E2109" s="38" t="n">
        <v>738045.46</v>
      </c>
    </row>
    <row r="2110" customFormat="false" ht="15" hidden="false" customHeight="false" outlineLevel="0" collapsed="false">
      <c r="A2110" s="0" t="n">
        <v>24</v>
      </c>
      <c r="B2110" s="0" t="s">
        <v>62</v>
      </c>
      <c r="C2110" s="0" t="n">
        <v>2011</v>
      </c>
      <c r="D2110" s="0" t="n">
        <v>8</v>
      </c>
      <c r="E2110" s="38" t="n">
        <v>403255.05</v>
      </c>
    </row>
    <row r="2111" customFormat="false" ht="15" hidden="false" customHeight="false" outlineLevel="0" collapsed="false">
      <c r="A2111" s="0" t="n">
        <v>24</v>
      </c>
      <c r="B2111" s="0" t="s">
        <v>62</v>
      </c>
      <c r="C2111" s="0" t="n">
        <v>2011</v>
      </c>
      <c r="D2111" s="0" t="n">
        <v>9</v>
      </c>
      <c r="E2111" s="38" t="n">
        <v>466963.79</v>
      </c>
    </row>
    <row r="2112" customFormat="false" ht="15" hidden="false" customHeight="false" outlineLevel="0" collapsed="false">
      <c r="A2112" s="0" t="n">
        <v>24</v>
      </c>
      <c r="B2112" s="0" t="s">
        <v>62</v>
      </c>
      <c r="C2112" s="0" t="n">
        <v>2011</v>
      </c>
      <c r="D2112" s="0" t="n">
        <v>10</v>
      </c>
      <c r="E2112" s="38" t="n">
        <v>600624.78</v>
      </c>
    </row>
    <row r="2113" customFormat="false" ht="15" hidden="false" customHeight="false" outlineLevel="0" collapsed="false">
      <c r="A2113" s="0" t="n">
        <v>24</v>
      </c>
      <c r="B2113" s="0" t="s">
        <v>62</v>
      </c>
      <c r="C2113" s="0" t="n">
        <v>2011</v>
      </c>
      <c r="D2113" s="0" t="n">
        <v>11</v>
      </c>
      <c r="E2113" s="38" t="n">
        <v>730834.64</v>
      </c>
    </row>
    <row r="2114" customFormat="false" ht="15" hidden="false" customHeight="false" outlineLevel="0" collapsed="false">
      <c r="A2114" s="0" t="n">
        <v>24</v>
      </c>
      <c r="B2114" s="0" t="s">
        <v>62</v>
      </c>
      <c r="C2114" s="0" t="n">
        <v>2011</v>
      </c>
      <c r="D2114" s="0" t="n">
        <v>12</v>
      </c>
      <c r="E2114" s="38" t="n">
        <v>294190.01</v>
      </c>
    </row>
    <row r="2115" customFormat="false" ht="15" hidden="false" customHeight="false" outlineLevel="0" collapsed="false">
      <c r="A2115" s="0" t="n">
        <v>24</v>
      </c>
      <c r="B2115" s="0" t="s">
        <v>62</v>
      </c>
      <c r="C2115" s="0" t="n">
        <v>2012</v>
      </c>
      <c r="D2115" s="0" t="n">
        <v>1</v>
      </c>
      <c r="E2115" s="38" t="n">
        <v>369878.01</v>
      </c>
    </row>
    <row r="2116" customFormat="false" ht="15" hidden="false" customHeight="false" outlineLevel="0" collapsed="false">
      <c r="A2116" s="0" t="n">
        <v>24</v>
      </c>
      <c r="B2116" s="0" t="s">
        <v>62</v>
      </c>
      <c r="C2116" s="0" t="n">
        <v>2012</v>
      </c>
      <c r="D2116" s="0" t="n">
        <v>2</v>
      </c>
      <c r="E2116" s="38" t="n">
        <v>396004.04</v>
      </c>
    </row>
    <row r="2117" customFormat="false" ht="15" hidden="false" customHeight="false" outlineLevel="0" collapsed="false">
      <c r="A2117" s="0" t="n">
        <v>24</v>
      </c>
      <c r="B2117" s="0" t="s">
        <v>62</v>
      </c>
      <c r="C2117" s="0" t="n">
        <v>2012</v>
      </c>
      <c r="D2117" s="0" t="n">
        <v>3</v>
      </c>
      <c r="E2117" s="38" t="n">
        <v>404951.54</v>
      </c>
    </row>
    <row r="2118" customFormat="false" ht="15" hidden="false" customHeight="false" outlineLevel="0" collapsed="false">
      <c r="A2118" s="0" t="n">
        <v>24</v>
      </c>
      <c r="B2118" s="0" t="s">
        <v>62</v>
      </c>
      <c r="C2118" s="0" t="n">
        <v>2012</v>
      </c>
      <c r="D2118" s="0" t="n">
        <v>4</v>
      </c>
      <c r="E2118" s="38" t="n">
        <v>386785.91</v>
      </c>
    </row>
    <row r="2119" customFormat="false" ht="15" hidden="false" customHeight="false" outlineLevel="0" collapsed="false">
      <c r="A2119" s="0" t="n">
        <v>24</v>
      </c>
      <c r="B2119" s="0" t="s">
        <v>62</v>
      </c>
      <c r="C2119" s="0" t="n">
        <v>2012</v>
      </c>
      <c r="D2119" s="0" t="n">
        <v>5</v>
      </c>
      <c r="E2119" s="38" t="n">
        <v>386848.64</v>
      </c>
    </row>
    <row r="2120" customFormat="false" ht="15" hidden="false" customHeight="false" outlineLevel="0" collapsed="false">
      <c r="A2120" s="0" t="n">
        <v>24</v>
      </c>
      <c r="B2120" s="0" t="s">
        <v>62</v>
      </c>
      <c r="C2120" s="0" t="n">
        <v>2012</v>
      </c>
      <c r="D2120" s="0" t="n">
        <v>6</v>
      </c>
      <c r="E2120" s="38" t="n">
        <v>413626.28</v>
      </c>
    </row>
    <row r="2121" customFormat="false" ht="15" hidden="false" customHeight="false" outlineLevel="0" collapsed="false">
      <c r="A2121" s="0" t="n">
        <v>24</v>
      </c>
      <c r="B2121" s="0" t="s">
        <v>62</v>
      </c>
      <c r="C2121" s="0" t="n">
        <v>2012</v>
      </c>
      <c r="D2121" s="0" t="n">
        <v>7</v>
      </c>
      <c r="E2121" s="38" t="n">
        <v>691641.44</v>
      </c>
    </row>
    <row r="2122" customFormat="false" ht="15" hidden="false" customHeight="false" outlineLevel="0" collapsed="false">
      <c r="A2122" s="0" t="n">
        <v>24</v>
      </c>
      <c r="B2122" s="0" t="s">
        <v>62</v>
      </c>
      <c r="C2122" s="0" t="n">
        <v>2012</v>
      </c>
      <c r="D2122" s="0" t="n">
        <v>8</v>
      </c>
      <c r="E2122" s="38" t="n">
        <v>411145.63</v>
      </c>
    </row>
    <row r="2123" customFormat="false" ht="15" hidden="false" customHeight="false" outlineLevel="0" collapsed="false">
      <c r="A2123" s="0" t="n">
        <v>24</v>
      </c>
      <c r="B2123" s="0" t="s">
        <v>62</v>
      </c>
      <c r="C2123" s="0" t="n">
        <v>2012</v>
      </c>
      <c r="D2123" s="0" t="n">
        <v>9</v>
      </c>
      <c r="E2123" s="38" t="n">
        <v>475082.34</v>
      </c>
    </row>
    <row r="2124" customFormat="false" ht="15" hidden="false" customHeight="false" outlineLevel="0" collapsed="false">
      <c r="A2124" s="0" t="n">
        <v>24</v>
      </c>
      <c r="B2124" s="0" t="s">
        <v>62</v>
      </c>
      <c r="C2124" s="0" t="n">
        <v>2012</v>
      </c>
      <c r="D2124" s="0" t="n">
        <v>10</v>
      </c>
      <c r="E2124" s="38" t="n">
        <v>600478.13</v>
      </c>
    </row>
    <row r="2125" customFormat="false" ht="15" hidden="false" customHeight="false" outlineLevel="0" collapsed="false">
      <c r="A2125" s="0" t="n">
        <v>24</v>
      </c>
      <c r="B2125" s="0" t="s">
        <v>62</v>
      </c>
      <c r="C2125" s="0" t="n">
        <v>2012</v>
      </c>
      <c r="D2125" s="0" t="n">
        <v>11</v>
      </c>
      <c r="E2125" s="38" t="n">
        <v>736371.61</v>
      </c>
    </row>
    <row r="2126" customFormat="false" ht="15" hidden="false" customHeight="false" outlineLevel="0" collapsed="false">
      <c r="A2126" s="0" t="n">
        <v>24</v>
      </c>
      <c r="B2126" s="0" t="s">
        <v>62</v>
      </c>
      <c r="C2126" s="0" t="n">
        <v>2012</v>
      </c>
      <c r="D2126" s="0" t="n">
        <v>12</v>
      </c>
      <c r="E2126" s="38" t="n">
        <v>289461.39</v>
      </c>
    </row>
    <row r="2127" customFormat="false" ht="15" hidden="false" customHeight="false" outlineLevel="0" collapsed="false">
      <c r="A2127" s="0" t="n">
        <v>24</v>
      </c>
      <c r="B2127" s="0" t="s">
        <v>62</v>
      </c>
      <c r="C2127" s="0" t="n">
        <v>2013</v>
      </c>
      <c r="D2127" s="0" t="n">
        <v>1</v>
      </c>
      <c r="E2127" s="38" t="n">
        <v>399604.21</v>
      </c>
    </row>
    <row r="2128" customFormat="false" ht="15" hidden="false" customHeight="false" outlineLevel="0" collapsed="false">
      <c r="A2128" s="0" t="n">
        <v>24</v>
      </c>
      <c r="B2128" s="0" t="s">
        <v>62</v>
      </c>
      <c r="C2128" s="0" t="n">
        <v>2013</v>
      </c>
      <c r="D2128" s="0" t="n">
        <v>2</v>
      </c>
      <c r="E2128" s="38" t="n">
        <v>441371.91</v>
      </c>
    </row>
    <row r="2129" customFormat="false" ht="15" hidden="false" customHeight="false" outlineLevel="0" collapsed="false">
      <c r="A2129" s="0" t="n">
        <v>24</v>
      </c>
      <c r="B2129" s="0" t="s">
        <v>62</v>
      </c>
      <c r="C2129" s="0" t="n">
        <v>2013</v>
      </c>
      <c r="D2129" s="0" t="n">
        <v>3</v>
      </c>
      <c r="E2129" s="38" t="n">
        <v>405275.65</v>
      </c>
    </row>
    <row r="2130" customFormat="false" ht="15" hidden="false" customHeight="false" outlineLevel="0" collapsed="false">
      <c r="A2130" s="0" t="n">
        <v>24</v>
      </c>
      <c r="B2130" s="0" t="s">
        <v>62</v>
      </c>
      <c r="C2130" s="0" t="n">
        <v>2013</v>
      </c>
      <c r="D2130" s="0" t="n">
        <v>4</v>
      </c>
      <c r="E2130" s="38" t="n">
        <v>398838.19</v>
      </c>
    </row>
    <row r="2131" customFormat="false" ht="15" hidden="false" customHeight="false" outlineLevel="0" collapsed="false">
      <c r="A2131" s="0" t="n">
        <v>24</v>
      </c>
      <c r="B2131" s="0" t="s">
        <v>62</v>
      </c>
      <c r="C2131" s="0" t="n">
        <v>2013</v>
      </c>
      <c r="D2131" s="0" t="n">
        <v>5</v>
      </c>
      <c r="E2131" s="38" t="n">
        <v>374286.99</v>
      </c>
    </row>
    <row r="2132" customFormat="false" ht="15" hidden="false" customHeight="false" outlineLevel="0" collapsed="false">
      <c r="A2132" s="0" t="n">
        <v>24</v>
      </c>
      <c r="B2132" s="0" t="s">
        <v>62</v>
      </c>
      <c r="C2132" s="0" t="n">
        <v>2013</v>
      </c>
      <c r="D2132" s="0" t="n">
        <v>6</v>
      </c>
      <c r="E2132" s="38" t="n">
        <v>459822.73</v>
      </c>
    </row>
    <row r="2133" customFormat="false" ht="15" hidden="false" customHeight="false" outlineLevel="0" collapsed="false">
      <c r="A2133" s="0" t="n">
        <v>24</v>
      </c>
      <c r="B2133" s="0" t="s">
        <v>62</v>
      </c>
      <c r="C2133" s="0" t="n">
        <v>2013</v>
      </c>
      <c r="D2133" s="0" t="n">
        <v>7</v>
      </c>
      <c r="E2133" s="38" t="n">
        <v>704555.43</v>
      </c>
    </row>
    <row r="2134" customFormat="false" ht="15" hidden="false" customHeight="false" outlineLevel="0" collapsed="false">
      <c r="A2134" s="0" t="n">
        <v>24</v>
      </c>
      <c r="B2134" s="0" t="s">
        <v>62</v>
      </c>
      <c r="C2134" s="0" t="n">
        <v>2013</v>
      </c>
      <c r="D2134" s="0" t="n">
        <v>8</v>
      </c>
      <c r="E2134" s="38" t="n">
        <v>422535.75</v>
      </c>
    </row>
    <row r="2135" customFormat="false" ht="15" hidden="false" customHeight="false" outlineLevel="0" collapsed="false">
      <c r="A2135" s="0" t="n">
        <v>24</v>
      </c>
      <c r="B2135" s="0" t="s">
        <v>64</v>
      </c>
      <c r="C2135" s="0" t="n">
        <v>2011</v>
      </c>
      <c r="D2135" s="0" t="n">
        <v>1</v>
      </c>
      <c r="E2135" s="38" t="n">
        <v>4.75</v>
      </c>
    </row>
    <row r="2136" customFormat="false" ht="15" hidden="false" customHeight="false" outlineLevel="0" collapsed="false">
      <c r="A2136" s="0" t="n">
        <v>24</v>
      </c>
      <c r="B2136" s="0" t="s">
        <v>64</v>
      </c>
      <c r="C2136" s="0" t="n">
        <v>2011</v>
      </c>
      <c r="D2136" s="0" t="n">
        <v>2</v>
      </c>
      <c r="E2136" s="38" t="n">
        <v>14.79</v>
      </c>
    </row>
    <row r="2137" customFormat="false" ht="15" hidden="false" customHeight="false" outlineLevel="0" collapsed="false">
      <c r="A2137" s="0" t="n">
        <v>24</v>
      </c>
      <c r="B2137" s="0" t="s">
        <v>64</v>
      </c>
      <c r="C2137" s="0" t="n">
        <v>2011</v>
      </c>
      <c r="D2137" s="0" t="n">
        <v>3</v>
      </c>
      <c r="E2137" s="38" t="n">
        <v>1.71</v>
      </c>
    </row>
    <row r="2138" customFormat="false" ht="15" hidden="false" customHeight="false" outlineLevel="0" collapsed="false">
      <c r="A2138" s="0" t="n">
        <v>24</v>
      </c>
      <c r="B2138" s="0" t="s">
        <v>64</v>
      </c>
      <c r="C2138" s="0" t="n">
        <v>2011</v>
      </c>
      <c r="D2138" s="0" t="n">
        <v>5</v>
      </c>
      <c r="E2138" s="38" t="n">
        <v>20.5</v>
      </c>
    </row>
    <row r="2139" customFormat="false" ht="15" hidden="false" customHeight="false" outlineLevel="0" collapsed="false">
      <c r="A2139" s="0" t="n">
        <v>24</v>
      </c>
      <c r="B2139" s="0" t="s">
        <v>64</v>
      </c>
      <c r="C2139" s="0" t="n">
        <v>2011</v>
      </c>
      <c r="D2139" s="0" t="n">
        <v>7</v>
      </c>
      <c r="E2139" s="38" t="n">
        <v>6</v>
      </c>
    </row>
    <row r="2140" customFormat="false" ht="15" hidden="false" customHeight="false" outlineLevel="0" collapsed="false">
      <c r="A2140" s="0" t="n">
        <v>24</v>
      </c>
      <c r="B2140" s="0" t="s">
        <v>64</v>
      </c>
      <c r="C2140" s="0" t="n">
        <v>2011</v>
      </c>
      <c r="D2140" s="0" t="n">
        <v>8</v>
      </c>
      <c r="E2140" s="38" t="n">
        <v>-4.5</v>
      </c>
    </row>
    <row r="2141" customFormat="false" ht="15" hidden="false" customHeight="false" outlineLevel="0" collapsed="false">
      <c r="A2141" s="0" t="n">
        <v>24</v>
      </c>
      <c r="B2141" s="0" t="s">
        <v>64</v>
      </c>
      <c r="C2141" s="0" t="n">
        <v>2011</v>
      </c>
      <c r="D2141" s="0" t="n">
        <v>11</v>
      </c>
      <c r="E2141" s="38" t="n">
        <v>6.37</v>
      </c>
    </row>
    <row r="2142" customFormat="false" ht="15" hidden="false" customHeight="false" outlineLevel="0" collapsed="false">
      <c r="A2142" s="0" t="n">
        <v>24</v>
      </c>
      <c r="B2142" s="0" t="s">
        <v>64</v>
      </c>
      <c r="C2142" s="0" t="n">
        <v>2011</v>
      </c>
      <c r="D2142" s="0" t="n">
        <v>12</v>
      </c>
      <c r="E2142" s="38" t="n">
        <v>51.93</v>
      </c>
    </row>
    <row r="2143" customFormat="false" ht="15" hidden="false" customHeight="false" outlineLevel="0" collapsed="false">
      <c r="A2143" s="0" t="n">
        <v>24</v>
      </c>
      <c r="B2143" s="0" t="s">
        <v>64</v>
      </c>
      <c r="C2143" s="0" t="n">
        <v>2012</v>
      </c>
      <c r="D2143" s="0" t="n">
        <v>1</v>
      </c>
      <c r="E2143" s="38" t="n">
        <v>15.52</v>
      </c>
    </row>
    <row r="2144" customFormat="false" ht="15" hidden="false" customHeight="false" outlineLevel="0" collapsed="false">
      <c r="A2144" s="0" t="n">
        <v>24</v>
      </c>
      <c r="B2144" s="0" t="s">
        <v>64</v>
      </c>
      <c r="C2144" s="0" t="n">
        <v>2012</v>
      </c>
      <c r="D2144" s="0" t="n">
        <v>2</v>
      </c>
      <c r="E2144" s="38" t="n">
        <v>17.52</v>
      </c>
    </row>
    <row r="2145" customFormat="false" ht="15" hidden="false" customHeight="false" outlineLevel="0" collapsed="false">
      <c r="A2145" s="0" t="n">
        <v>24</v>
      </c>
      <c r="B2145" s="0" t="s">
        <v>64</v>
      </c>
      <c r="C2145" s="0" t="n">
        <v>2012</v>
      </c>
      <c r="D2145" s="0" t="n">
        <v>3</v>
      </c>
      <c r="E2145" s="38" t="n">
        <v>44.25</v>
      </c>
    </row>
    <row r="2146" customFormat="false" ht="15" hidden="false" customHeight="false" outlineLevel="0" collapsed="false">
      <c r="A2146" s="0" t="n">
        <v>24</v>
      </c>
      <c r="B2146" s="0" t="s">
        <v>64</v>
      </c>
      <c r="C2146" s="0" t="n">
        <v>2012</v>
      </c>
      <c r="D2146" s="0" t="n">
        <v>4</v>
      </c>
      <c r="E2146" s="38" t="n">
        <v>57.31</v>
      </c>
    </row>
    <row r="2147" customFormat="false" ht="15" hidden="false" customHeight="false" outlineLevel="0" collapsed="false">
      <c r="A2147" s="0" t="n">
        <v>24</v>
      </c>
      <c r="B2147" s="0" t="s">
        <v>64</v>
      </c>
      <c r="C2147" s="0" t="n">
        <v>2012</v>
      </c>
      <c r="D2147" s="0" t="n">
        <v>5</v>
      </c>
      <c r="E2147" s="38" t="n">
        <v>14.76</v>
      </c>
    </row>
    <row r="2148" customFormat="false" ht="15" hidden="false" customHeight="false" outlineLevel="0" collapsed="false">
      <c r="A2148" s="0" t="n">
        <v>24</v>
      </c>
      <c r="B2148" s="0" t="s">
        <v>64</v>
      </c>
      <c r="C2148" s="0" t="n">
        <v>2012</v>
      </c>
      <c r="D2148" s="0" t="n">
        <v>6</v>
      </c>
      <c r="E2148" s="38" t="n">
        <v>19.74</v>
      </c>
    </row>
    <row r="2149" customFormat="false" ht="15" hidden="false" customHeight="false" outlineLevel="0" collapsed="false">
      <c r="A2149" s="0" t="n">
        <v>24</v>
      </c>
      <c r="B2149" s="0" t="s">
        <v>64</v>
      </c>
      <c r="C2149" s="0" t="n">
        <v>2012</v>
      </c>
      <c r="D2149" s="0" t="n">
        <v>7</v>
      </c>
      <c r="E2149" s="38" t="n">
        <v>57.14</v>
      </c>
    </row>
    <row r="2150" customFormat="false" ht="15" hidden="false" customHeight="false" outlineLevel="0" collapsed="false">
      <c r="A2150" s="0" t="n">
        <v>24</v>
      </c>
      <c r="B2150" s="0" t="s">
        <v>64</v>
      </c>
      <c r="C2150" s="0" t="n">
        <v>2012</v>
      </c>
      <c r="D2150" s="0" t="n">
        <v>8</v>
      </c>
      <c r="E2150" s="38" t="n">
        <v>28.05</v>
      </c>
    </row>
    <row r="2151" customFormat="false" ht="15" hidden="false" customHeight="false" outlineLevel="0" collapsed="false">
      <c r="A2151" s="0" t="n">
        <v>24</v>
      </c>
      <c r="B2151" s="0" t="s">
        <v>64</v>
      </c>
      <c r="C2151" s="0" t="n">
        <v>2012</v>
      </c>
      <c r="D2151" s="0" t="n">
        <v>10</v>
      </c>
      <c r="E2151" s="38" t="n">
        <v>14.56</v>
      </c>
    </row>
    <row r="2152" customFormat="false" ht="15" hidden="false" customHeight="false" outlineLevel="0" collapsed="false">
      <c r="A2152" s="0" t="n">
        <v>24</v>
      </c>
      <c r="B2152" s="0" t="s">
        <v>64</v>
      </c>
      <c r="C2152" s="0" t="n">
        <v>2012</v>
      </c>
      <c r="D2152" s="0" t="n">
        <v>11</v>
      </c>
      <c r="E2152" s="38" t="n">
        <v>6.97</v>
      </c>
    </row>
    <row r="2153" customFormat="false" ht="15" hidden="false" customHeight="false" outlineLevel="0" collapsed="false">
      <c r="A2153" s="0" t="n">
        <v>24</v>
      </c>
      <c r="B2153" s="0" t="s">
        <v>64</v>
      </c>
      <c r="C2153" s="0" t="n">
        <v>2013</v>
      </c>
      <c r="D2153" s="0" t="n">
        <v>1</v>
      </c>
      <c r="E2153" s="38" t="n">
        <v>20.91</v>
      </c>
    </row>
    <row r="2154" customFormat="false" ht="15" hidden="false" customHeight="false" outlineLevel="0" collapsed="false">
      <c r="A2154" s="0" t="n">
        <v>24</v>
      </c>
      <c r="B2154" s="0" t="s">
        <v>64</v>
      </c>
      <c r="C2154" s="0" t="n">
        <v>2013</v>
      </c>
      <c r="D2154" s="0" t="n">
        <v>2</v>
      </c>
      <c r="E2154" s="38" t="n">
        <v>10.05</v>
      </c>
    </row>
    <row r="2155" customFormat="false" ht="15" hidden="false" customHeight="false" outlineLevel="0" collapsed="false">
      <c r="A2155" s="0" t="n">
        <v>24</v>
      </c>
      <c r="B2155" s="0" t="s">
        <v>64</v>
      </c>
      <c r="C2155" s="0" t="n">
        <v>2013</v>
      </c>
      <c r="D2155" s="0" t="n">
        <v>3</v>
      </c>
      <c r="E2155" s="38" t="n">
        <v>70.53</v>
      </c>
    </row>
    <row r="2156" customFormat="false" ht="15" hidden="false" customHeight="false" outlineLevel="0" collapsed="false">
      <c r="A2156" s="0" t="n">
        <v>24</v>
      </c>
      <c r="B2156" s="0" t="s">
        <v>64</v>
      </c>
      <c r="C2156" s="0" t="n">
        <v>2013</v>
      </c>
      <c r="D2156" s="0" t="n">
        <v>4</v>
      </c>
      <c r="E2156" s="38" t="n">
        <v>59.48</v>
      </c>
    </row>
    <row r="2157" customFormat="false" ht="15" hidden="false" customHeight="false" outlineLevel="0" collapsed="false">
      <c r="A2157" s="0" t="n">
        <v>24</v>
      </c>
      <c r="B2157" s="0" t="s">
        <v>64</v>
      </c>
      <c r="C2157" s="0" t="n">
        <v>2013</v>
      </c>
      <c r="D2157" s="0" t="n">
        <v>5</v>
      </c>
      <c r="E2157" s="38" t="n">
        <v>45.51</v>
      </c>
    </row>
    <row r="2158" customFormat="false" ht="15" hidden="false" customHeight="false" outlineLevel="0" collapsed="false">
      <c r="A2158" s="0" t="n">
        <v>24</v>
      </c>
      <c r="B2158" s="0" t="s">
        <v>64</v>
      </c>
      <c r="C2158" s="0" t="n">
        <v>2013</v>
      </c>
      <c r="D2158" s="0" t="n">
        <v>6</v>
      </c>
      <c r="E2158" s="38" t="n">
        <v>56.97</v>
      </c>
    </row>
    <row r="2159" customFormat="false" ht="15" hidden="false" customHeight="false" outlineLevel="0" collapsed="false">
      <c r="A2159" s="0" t="n">
        <v>24</v>
      </c>
      <c r="B2159" s="0" t="s">
        <v>64</v>
      </c>
      <c r="C2159" s="0" t="n">
        <v>2013</v>
      </c>
      <c r="D2159" s="0" t="n">
        <v>7</v>
      </c>
      <c r="E2159" s="38" t="n">
        <v>69.84</v>
      </c>
    </row>
    <row r="2160" customFormat="false" ht="15" hidden="false" customHeight="false" outlineLevel="0" collapsed="false">
      <c r="A2160" s="0" t="n">
        <v>24</v>
      </c>
      <c r="B2160" s="0" t="s">
        <v>64</v>
      </c>
      <c r="C2160" s="0" t="n">
        <v>2013</v>
      </c>
      <c r="D2160" s="0" t="n">
        <v>8</v>
      </c>
      <c r="E2160" s="38" t="n">
        <v>66.32</v>
      </c>
    </row>
    <row r="2161" customFormat="false" ht="15" hidden="false" customHeight="false" outlineLevel="0" collapsed="false">
      <c r="A2161" s="0" t="n">
        <v>25</v>
      </c>
      <c r="B2161" s="0" t="s">
        <v>60</v>
      </c>
      <c r="C2161" s="0" t="n">
        <v>2011</v>
      </c>
      <c r="D2161" s="0" t="n">
        <v>1</v>
      </c>
      <c r="E2161" s="38" t="n">
        <v>825402.49</v>
      </c>
    </row>
    <row r="2162" customFormat="false" ht="15" hidden="false" customHeight="false" outlineLevel="0" collapsed="false">
      <c r="A2162" s="0" t="n">
        <v>25</v>
      </c>
      <c r="B2162" s="0" t="s">
        <v>60</v>
      </c>
      <c r="C2162" s="0" t="n">
        <v>2011</v>
      </c>
      <c r="D2162" s="0" t="n">
        <v>2</v>
      </c>
      <c r="E2162" s="38" t="n">
        <v>1025344.82</v>
      </c>
    </row>
    <row r="2163" customFormat="false" ht="15" hidden="false" customHeight="false" outlineLevel="0" collapsed="false">
      <c r="A2163" s="0" t="n">
        <v>25</v>
      </c>
      <c r="B2163" s="0" t="s">
        <v>60</v>
      </c>
      <c r="C2163" s="0" t="n">
        <v>2011</v>
      </c>
      <c r="D2163" s="0" t="n">
        <v>3</v>
      </c>
      <c r="E2163" s="38" t="n">
        <v>1060027.56</v>
      </c>
    </row>
    <row r="2164" customFormat="false" ht="15" hidden="false" customHeight="false" outlineLevel="0" collapsed="false">
      <c r="A2164" s="0" t="n">
        <v>25</v>
      </c>
      <c r="B2164" s="0" t="s">
        <v>60</v>
      </c>
      <c r="C2164" s="0" t="n">
        <v>2011</v>
      </c>
      <c r="D2164" s="0" t="n">
        <v>4</v>
      </c>
      <c r="E2164" s="38" t="n">
        <v>1111080.3</v>
      </c>
    </row>
    <row r="2165" customFormat="false" ht="15" hidden="false" customHeight="false" outlineLevel="0" collapsed="false">
      <c r="A2165" s="0" t="n">
        <v>25</v>
      </c>
      <c r="B2165" s="0" t="s">
        <v>60</v>
      </c>
      <c r="C2165" s="0" t="n">
        <v>2011</v>
      </c>
      <c r="D2165" s="0" t="n">
        <v>5</v>
      </c>
      <c r="E2165" s="38" t="n">
        <v>1057569.18</v>
      </c>
    </row>
    <row r="2166" customFormat="false" ht="15" hidden="false" customHeight="false" outlineLevel="0" collapsed="false">
      <c r="A2166" s="0" t="n">
        <v>25</v>
      </c>
      <c r="B2166" s="0" t="s">
        <v>60</v>
      </c>
      <c r="C2166" s="0" t="n">
        <v>2011</v>
      </c>
      <c r="D2166" s="0" t="n">
        <v>6</v>
      </c>
      <c r="E2166" s="38" t="n">
        <v>911066.48</v>
      </c>
    </row>
    <row r="2167" customFormat="false" ht="15" hidden="false" customHeight="false" outlineLevel="0" collapsed="false">
      <c r="A2167" s="0" t="n">
        <v>25</v>
      </c>
      <c r="B2167" s="0" t="s">
        <v>60</v>
      </c>
      <c r="C2167" s="0" t="n">
        <v>2011</v>
      </c>
      <c r="D2167" s="0" t="n">
        <v>7</v>
      </c>
      <c r="E2167" s="38" t="n">
        <v>976312.94</v>
      </c>
    </row>
    <row r="2168" customFormat="false" ht="15" hidden="false" customHeight="false" outlineLevel="0" collapsed="false">
      <c r="A2168" s="0" t="n">
        <v>25</v>
      </c>
      <c r="B2168" s="0" t="s">
        <v>60</v>
      </c>
      <c r="C2168" s="0" t="n">
        <v>2011</v>
      </c>
      <c r="D2168" s="0" t="n">
        <v>8</v>
      </c>
      <c r="E2168" s="38" t="n">
        <v>855232.18</v>
      </c>
    </row>
    <row r="2169" customFormat="false" ht="15" hidden="false" customHeight="false" outlineLevel="0" collapsed="false">
      <c r="A2169" s="0" t="n">
        <v>25</v>
      </c>
      <c r="B2169" s="0" t="s">
        <v>60</v>
      </c>
      <c r="C2169" s="0" t="n">
        <v>2011</v>
      </c>
      <c r="D2169" s="0" t="n">
        <v>9</v>
      </c>
      <c r="E2169" s="38" t="n">
        <v>992186.63</v>
      </c>
    </row>
    <row r="2170" customFormat="false" ht="15" hidden="false" customHeight="false" outlineLevel="0" collapsed="false">
      <c r="A2170" s="0" t="n">
        <v>25</v>
      </c>
      <c r="B2170" s="0" t="s">
        <v>60</v>
      </c>
      <c r="C2170" s="0" t="n">
        <v>2011</v>
      </c>
      <c r="D2170" s="0" t="n">
        <v>10</v>
      </c>
      <c r="E2170" s="38" t="n">
        <v>1013229.01</v>
      </c>
    </row>
    <row r="2171" customFormat="false" ht="15" hidden="false" customHeight="false" outlineLevel="0" collapsed="false">
      <c r="A2171" s="0" t="n">
        <v>25</v>
      </c>
      <c r="B2171" s="0" t="s">
        <v>60</v>
      </c>
      <c r="C2171" s="0" t="n">
        <v>2011</v>
      </c>
      <c r="D2171" s="0" t="n">
        <v>11</v>
      </c>
      <c r="E2171" s="38" t="n">
        <v>1255197.48</v>
      </c>
    </row>
    <row r="2172" customFormat="false" ht="15" hidden="false" customHeight="false" outlineLevel="0" collapsed="false">
      <c r="A2172" s="0" t="n">
        <v>25</v>
      </c>
      <c r="B2172" s="0" t="s">
        <v>60</v>
      </c>
      <c r="C2172" s="0" t="n">
        <v>2011</v>
      </c>
      <c r="D2172" s="0" t="n">
        <v>12</v>
      </c>
      <c r="E2172" s="38" t="n">
        <v>698932.76</v>
      </c>
    </row>
    <row r="2173" customFormat="false" ht="15" hidden="false" customHeight="false" outlineLevel="0" collapsed="false">
      <c r="A2173" s="0" t="n">
        <v>25</v>
      </c>
      <c r="B2173" s="0" t="s">
        <v>60</v>
      </c>
      <c r="C2173" s="0" t="n">
        <v>2012</v>
      </c>
      <c r="D2173" s="0" t="n">
        <v>1</v>
      </c>
      <c r="E2173" s="38" t="n">
        <v>782216.61</v>
      </c>
    </row>
    <row r="2174" customFormat="false" ht="15" hidden="false" customHeight="false" outlineLevel="0" collapsed="false">
      <c r="A2174" s="0" t="n">
        <v>25</v>
      </c>
      <c r="B2174" s="0" t="s">
        <v>60</v>
      </c>
      <c r="C2174" s="0" t="n">
        <v>2012</v>
      </c>
      <c r="D2174" s="0" t="n">
        <v>2</v>
      </c>
      <c r="E2174" s="38" t="n">
        <v>936462.22</v>
      </c>
    </row>
    <row r="2175" customFormat="false" ht="15" hidden="false" customHeight="false" outlineLevel="0" collapsed="false">
      <c r="A2175" s="0" t="n">
        <v>25</v>
      </c>
      <c r="B2175" s="0" t="s">
        <v>60</v>
      </c>
      <c r="C2175" s="0" t="n">
        <v>2012</v>
      </c>
      <c r="D2175" s="0" t="n">
        <v>3</v>
      </c>
      <c r="E2175" s="38" t="n">
        <v>999453.36</v>
      </c>
    </row>
    <row r="2176" customFormat="false" ht="15" hidden="false" customHeight="false" outlineLevel="0" collapsed="false">
      <c r="A2176" s="0" t="n">
        <v>25</v>
      </c>
      <c r="B2176" s="0" t="s">
        <v>60</v>
      </c>
      <c r="C2176" s="0" t="n">
        <v>2012</v>
      </c>
      <c r="D2176" s="0" t="n">
        <v>4</v>
      </c>
      <c r="E2176" s="38" t="n">
        <v>1053465.89</v>
      </c>
    </row>
    <row r="2177" customFormat="false" ht="15" hidden="false" customHeight="false" outlineLevel="0" collapsed="false">
      <c r="A2177" s="0" t="n">
        <v>25</v>
      </c>
      <c r="B2177" s="0" t="s">
        <v>60</v>
      </c>
      <c r="C2177" s="0" t="n">
        <v>2012</v>
      </c>
      <c r="D2177" s="0" t="n">
        <v>5</v>
      </c>
      <c r="E2177" s="38" t="n">
        <v>1030174.19</v>
      </c>
    </row>
    <row r="2178" customFormat="false" ht="15" hidden="false" customHeight="false" outlineLevel="0" collapsed="false">
      <c r="A2178" s="0" t="n">
        <v>25</v>
      </c>
      <c r="B2178" s="0" t="s">
        <v>60</v>
      </c>
      <c r="C2178" s="0" t="n">
        <v>2012</v>
      </c>
      <c r="D2178" s="0" t="n">
        <v>6</v>
      </c>
      <c r="E2178" s="38" t="n">
        <v>933460.85</v>
      </c>
    </row>
    <row r="2179" customFormat="false" ht="15" hidden="false" customHeight="false" outlineLevel="0" collapsed="false">
      <c r="A2179" s="0" t="n">
        <v>25</v>
      </c>
      <c r="B2179" s="0" t="s">
        <v>60</v>
      </c>
      <c r="C2179" s="0" t="n">
        <v>2012</v>
      </c>
      <c r="D2179" s="0" t="n">
        <v>7</v>
      </c>
      <c r="E2179" s="38" t="n">
        <v>975931.25</v>
      </c>
    </row>
    <row r="2180" customFormat="false" ht="15" hidden="false" customHeight="false" outlineLevel="0" collapsed="false">
      <c r="A2180" s="0" t="n">
        <v>25</v>
      </c>
      <c r="B2180" s="0" t="s">
        <v>60</v>
      </c>
      <c r="C2180" s="0" t="n">
        <v>2012</v>
      </c>
      <c r="D2180" s="0" t="n">
        <v>8</v>
      </c>
      <c r="E2180" s="38" t="n">
        <v>897204.53</v>
      </c>
    </row>
    <row r="2181" customFormat="false" ht="15" hidden="false" customHeight="false" outlineLevel="0" collapsed="false">
      <c r="A2181" s="0" t="n">
        <v>25</v>
      </c>
      <c r="B2181" s="0" t="s">
        <v>60</v>
      </c>
      <c r="C2181" s="0" t="n">
        <v>2012</v>
      </c>
      <c r="D2181" s="0" t="n">
        <v>9</v>
      </c>
      <c r="E2181" s="38" t="n">
        <v>1044270.41</v>
      </c>
    </row>
    <row r="2182" customFormat="false" ht="15" hidden="false" customHeight="false" outlineLevel="0" collapsed="false">
      <c r="A2182" s="0" t="n">
        <v>25</v>
      </c>
      <c r="B2182" s="0" t="s">
        <v>60</v>
      </c>
      <c r="C2182" s="0" t="n">
        <v>2012</v>
      </c>
      <c r="D2182" s="0" t="n">
        <v>10</v>
      </c>
      <c r="E2182" s="38" t="n">
        <v>1028658.25</v>
      </c>
    </row>
    <row r="2183" customFormat="false" ht="15" hidden="false" customHeight="false" outlineLevel="0" collapsed="false">
      <c r="A2183" s="0" t="n">
        <v>25</v>
      </c>
      <c r="B2183" s="0" t="s">
        <v>60</v>
      </c>
      <c r="C2183" s="0" t="n">
        <v>2012</v>
      </c>
      <c r="D2183" s="0" t="n">
        <v>11</v>
      </c>
      <c r="E2183" s="38" t="n">
        <v>1212552.95</v>
      </c>
    </row>
    <row r="2184" customFormat="false" ht="15" hidden="false" customHeight="false" outlineLevel="0" collapsed="false">
      <c r="A2184" s="0" t="n">
        <v>25</v>
      </c>
      <c r="B2184" s="0" t="s">
        <v>60</v>
      </c>
      <c r="C2184" s="0" t="n">
        <v>2012</v>
      </c>
      <c r="D2184" s="0" t="n">
        <v>12</v>
      </c>
      <c r="E2184" s="38" t="n">
        <v>693918.39</v>
      </c>
    </row>
    <row r="2185" customFormat="false" ht="15" hidden="false" customHeight="false" outlineLevel="0" collapsed="false">
      <c r="A2185" s="0" t="n">
        <v>25</v>
      </c>
      <c r="B2185" s="0" t="s">
        <v>60</v>
      </c>
      <c r="C2185" s="0" t="n">
        <v>2013</v>
      </c>
      <c r="D2185" s="0" t="n">
        <v>1</v>
      </c>
      <c r="E2185" s="38" t="n">
        <v>819349.39</v>
      </c>
    </row>
    <row r="2186" customFormat="false" ht="15" hidden="false" customHeight="false" outlineLevel="0" collapsed="false">
      <c r="A2186" s="0" t="n">
        <v>25</v>
      </c>
      <c r="B2186" s="0" t="s">
        <v>60</v>
      </c>
      <c r="C2186" s="0" t="n">
        <v>2013</v>
      </c>
      <c r="D2186" s="0" t="n">
        <v>2</v>
      </c>
      <c r="E2186" s="38" t="n">
        <v>1081539.97</v>
      </c>
    </row>
    <row r="2187" customFormat="false" ht="15" hidden="false" customHeight="false" outlineLevel="0" collapsed="false">
      <c r="A2187" s="0" t="n">
        <v>25</v>
      </c>
      <c r="B2187" s="0" t="s">
        <v>60</v>
      </c>
      <c r="C2187" s="0" t="n">
        <v>2013</v>
      </c>
      <c r="D2187" s="0" t="n">
        <v>3</v>
      </c>
      <c r="E2187" s="38" t="n">
        <v>1039956.37</v>
      </c>
    </row>
    <row r="2188" customFormat="false" ht="15" hidden="false" customHeight="false" outlineLevel="0" collapsed="false">
      <c r="A2188" s="0" t="n">
        <v>25</v>
      </c>
      <c r="B2188" s="0" t="s">
        <v>60</v>
      </c>
      <c r="C2188" s="0" t="n">
        <v>2013</v>
      </c>
      <c r="D2188" s="0" t="n">
        <v>4</v>
      </c>
      <c r="E2188" s="38" t="n">
        <v>1077296.98</v>
      </c>
    </row>
    <row r="2189" customFormat="false" ht="15" hidden="false" customHeight="false" outlineLevel="0" collapsed="false">
      <c r="A2189" s="0" t="n">
        <v>25</v>
      </c>
      <c r="B2189" s="0" t="s">
        <v>60</v>
      </c>
      <c r="C2189" s="0" t="n">
        <v>2013</v>
      </c>
      <c r="D2189" s="0" t="n">
        <v>5</v>
      </c>
      <c r="E2189" s="38" t="n">
        <v>1023941.16</v>
      </c>
    </row>
    <row r="2190" customFormat="false" ht="15" hidden="false" customHeight="false" outlineLevel="0" collapsed="false">
      <c r="A2190" s="0" t="n">
        <v>25</v>
      </c>
      <c r="B2190" s="0" t="s">
        <v>60</v>
      </c>
      <c r="C2190" s="0" t="n">
        <v>2013</v>
      </c>
      <c r="D2190" s="0" t="n">
        <v>6</v>
      </c>
      <c r="E2190" s="38" t="n">
        <v>887625.71</v>
      </c>
    </row>
    <row r="2191" customFormat="false" ht="15" hidden="false" customHeight="false" outlineLevel="0" collapsed="false">
      <c r="A2191" s="0" t="n">
        <v>25</v>
      </c>
      <c r="B2191" s="0" t="s">
        <v>60</v>
      </c>
      <c r="C2191" s="0" t="n">
        <v>2013</v>
      </c>
      <c r="D2191" s="0" t="n">
        <v>7</v>
      </c>
      <c r="E2191" s="38" t="n">
        <v>954757.28</v>
      </c>
    </row>
    <row r="2192" customFormat="false" ht="15" hidden="false" customHeight="false" outlineLevel="0" collapsed="false">
      <c r="A2192" s="0" t="n">
        <v>25</v>
      </c>
      <c r="B2192" s="0" t="s">
        <v>60</v>
      </c>
      <c r="C2192" s="0" t="n">
        <v>2013</v>
      </c>
      <c r="D2192" s="0" t="n">
        <v>8</v>
      </c>
      <c r="E2192" s="38" t="n">
        <v>860487.13</v>
      </c>
    </row>
    <row r="2193" customFormat="false" ht="15" hidden="false" customHeight="false" outlineLevel="0" collapsed="false">
      <c r="A2193" s="0" t="n">
        <v>25</v>
      </c>
      <c r="B2193" s="0" t="s">
        <v>62</v>
      </c>
      <c r="C2193" s="0" t="n">
        <v>2011</v>
      </c>
      <c r="D2193" s="0" t="n">
        <v>1</v>
      </c>
      <c r="E2193" s="38" t="n">
        <v>668167.11</v>
      </c>
    </row>
    <row r="2194" customFormat="false" ht="15" hidden="false" customHeight="false" outlineLevel="0" collapsed="false">
      <c r="A2194" s="0" t="n">
        <v>25</v>
      </c>
      <c r="B2194" s="0" t="s">
        <v>62</v>
      </c>
      <c r="C2194" s="0" t="n">
        <v>2011</v>
      </c>
      <c r="D2194" s="0" t="n">
        <v>2</v>
      </c>
      <c r="E2194" s="38" t="n">
        <v>834178.08</v>
      </c>
    </row>
    <row r="2195" customFormat="false" ht="15" hidden="false" customHeight="false" outlineLevel="0" collapsed="false">
      <c r="A2195" s="0" t="n">
        <v>25</v>
      </c>
      <c r="B2195" s="0" t="s">
        <v>62</v>
      </c>
      <c r="C2195" s="0" t="n">
        <v>2011</v>
      </c>
      <c r="D2195" s="0" t="n">
        <v>3</v>
      </c>
      <c r="E2195" s="38" t="n">
        <v>851636.47</v>
      </c>
    </row>
    <row r="2196" customFormat="false" ht="15" hidden="false" customHeight="false" outlineLevel="0" collapsed="false">
      <c r="A2196" s="0" t="n">
        <v>25</v>
      </c>
      <c r="B2196" s="0" t="s">
        <v>62</v>
      </c>
      <c r="C2196" s="0" t="n">
        <v>2011</v>
      </c>
      <c r="D2196" s="0" t="n">
        <v>4</v>
      </c>
      <c r="E2196" s="38" t="n">
        <v>877626.92</v>
      </c>
    </row>
    <row r="2197" customFormat="false" ht="15" hidden="false" customHeight="false" outlineLevel="0" collapsed="false">
      <c r="A2197" s="0" t="n">
        <v>25</v>
      </c>
      <c r="B2197" s="0" t="s">
        <v>62</v>
      </c>
      <c r="C2197" s="0" t="n">
        <v>2011</v>
      </c>
      <c r="D2197" s="0" t="n">
        <v>5</v>
      </c>
      <c r="E2197" s="38" t="n">
        <v>829078.65</v>
      </c>
    </row>
    <row r="2198" customFormat="false" ht="15" hidden="false" customHeight="false" outlineLevel="0" collapsed="false">
      <c r="A2198" s="0" t="n">
        <v>25</v>
      </c>
      <c r="B2198" s="0" t="s">
        <v>62</v>
      </c>
      <c r="C2198" s="0" t="n">
        <v>2011</v>
      </c>
      <c r="D2198" s="0" t="n">
        <v>6</v>
      </c>
      <c r="E2198" s="38" t="n">
        <v>724385.68</v>
      </c>
    </row>
    <row r="2199" customFormat="false" ht="15" hidden="false" customHeight="false" outlineLevel="0" collapsed="false">
      <c r="A2199" s="0" t="n">
        <v>25</v>
      </c>
      <c r="B2199" s="0" t="s">
        <v>62</v>
      </c>
      <c r="C2199" s="0" t="n">
        <v>2011</v>
      </c>
      <c r="D2199" s="0" t="n">
        <v>7</v>
      </c>
      <c r="E2199" s="38" t="n">
        <v>758763.48</v>
      </c>
    </row>
    <row r="2200" customFormat="false" ht="15" hidden="false" customHeight="false" outlineLevel="0" collapsed="false">
      <c r="A2200" s="0" t="n">
        <v>25</v>
      </c>
      <c r="B2200" s="0" t="s">
        <v>62</v>
      </c>
      <c r="C2200" s="0" t="n">
        <v>2011</v>
      </c>
      <c r="D2200" s="0" t="n">
        <v>8</v>
      </c>
      <c r="E2200" s="38" t="n">
        <v>648917</v>
      </c>
    </row>
    <row r="2201" customFormat="false" ht="15" hidden="false" customHeight="false" outlineLevel="0" collapsed="false">
      <c r="A2201" s="0" t="n">
        <v>25</v>
      </c>
      <c r="B2201" s="0" t="s">
        <v>62</v>
      </c>
      <c r="C2201" s="0" t="n">
        <v>2011</v>
      </c>
      <c r="D2201" s="0" t="n">
        <v>9</v>
      </c>
      <c r="E2201" s="38" t="n">
        <v>769871.44</v>
      </c>
    </row>
    <row r="2202" customFormat="false" ht="15" hidden="false" customHeight="false" outlineLevel="0" collapsed="false">
      <c r="A2202" s="0" t="n">
        <v>25</v>
      </c>
      <c r="B2202" s="0" t="s">
        <v>62</v>
      </c>
      <c r="C2202" s="0" t="n">
        <v>2011</v>
      </c>
      <c r="D2202" s="0" t="n">
        <v>10</v>
      </c>
      <c r="E2202" s="38" t="n">
        <v>787316.75</v>
      </c>
    </row>
    <row r="2203" customFormat="false" ht="15" hidden="false" customHeight="false" outlineLevel="0" collapsed="false">
      <c r="A2203" s="0" t="n">
        <v>25</v>
      </c>
      <c r="B2203" s="0" t="s">
        <v>62</v>
      </c>
      <c r="C2203" s="0" t="n">
        <v>2011</v>
      </c>
      <c r="D2203" s="0" t="n">
        <v>11</v>
      </c>
      <c r="E2203" s="38" t="n">
        <v>966752.43</v>
      </c>
    </row>
    <row r="2204" customFormat="false" ht="15" hidden="false" customHeight="false" outlineLevel="0" collapsed="false">
      <c r="A2204" s="0" t="n">
        <v>25</v>
      </c>
      <c r="B2204" s="0" t="s">
        <v>62</v>
      </c>
      <c r="C2204" s="0" t="n">
        <v>2011</v>
      </c>
      <c r="D2204" s="0" t="n">
        <v>12</v>
      </c>
      <c r="E2204" s="38" t="n">
        <v>584244.27</v>
      </c>
    </row>
    <row r="2205" customFormat="false" ht="15" hidden="false" customHeight="false" outlineLevel="0" collapsed="false">
      <c r="A2205" s="0" t="n">
        <v>25</v>
      </c>
      <c r="B2205" s="0" t="s">
        <v>62</v>
      </c>
      <c r="C2205" s="0" t="n">
        <v>2012</v>
      </c>
      <c r="D2205" s="0" t="n">
        <v>1</v>
      </c>
      <c r="E2205" s="38" t="n">
        <v>622833.1</v>
      </c>
    </row>
    <row r="2206" customFormat="false" ht="15" hidden="false" customHeight="false" outlineLevel="0" collapsed="false">
      <c r="A2206" s="0" t="n">
        <v>25</v>
      </c>
      <c r="B2206" s="0" t="s">
        <v>62</v>
      </c>
      <c r="C2206" s="0" t="n">
        <v>2012</v>
      </c>
      <c r="D2206" s="0" t="n">
        <v>2</v>
      </c>
      <c r="E2206" s="38" t="n">
        <v>729199.49</v>
      </c>
    </row>
    <row r="2207" customFormat="false" ht="15" hidden="false" customHeight="false" outlineLevel="0" collapsed="false">
      <c r="A2207" s="0" t="n">
        <v>25</v>
      </c>
      <c r="B2207" s="0" t="s">
        <v>62</v>
      </c>
      <c r="C2207" s="0" t="n">
        <v>2012</v>
      </c>
      <c r="D2207" s="0" t="n">
        <v>3</v>
      </c>
      <c r="E2207" s="38" t="n">
        <v>798504.27</v>
      </c>
    </row>
    <row r="2208" customFormat="false" ht="15" hidden="false" customHeight="false" outlineLevel="0" collapsed="false">
      <c r="A2208" s="0" t="n">
        <v>25</v>
      </c>
      <c r="B2208" s="0" t="s">
        <v>62</v>
      </c>
      <c r="C2208" s="0" t="n">
        <v>2012</v>
      </c>
      <c r="D2208" s="0" t="n">
        <v>4</v>
      </c>
      <c r="E2208" s="38" t="n">
        <v>832961.78</v>
      </c>
    </row>
    <row r="2209" customFormat="false" ht="15" hidden="false" customHeight="false" outlineLevel="0" collapsed="false">
      <c r="A2209" s="0" t="n">
        <v>25</v>
      </c>
      <c r="B2209" s="0" t="s">
        <v>62</v>
      </c>
      <c r="C2209" s="0" t="n">
        <v>2012</v>
      </c>
      <c r="D2209" s="0" t="n">
        <v>5</v>
      </c>
      <c r="E2209" s="38" t="n">
        <v>818087.65</v>
      </c>
    </row>
    <row r="2210" customFormat="false" ht="15" hidden="false" customHeight="false" outlineLevel="0" collapsed="false">
      <c r="A2210" s="0" t="n">
        <v>25</v>
      </c>
      <c r="B2210" s="0" t="s">
        <v>62</v>
      </c>
      <c r="C2210" s="0" t="n">
        <v>2012</v>
      </c>
      <c r="D2210" s="0" t="n">
        <v>6</v>
      </c>
      <c r="E2210" s="38" t="n">
        <v>731375.55</v>
      </c>
    </row>
    <row r="2211" customFormat="false" ht="15" hidden="false" customHeight="false" outlineLevel="0" collapsed="false">
      <c r="A2211" s="0" t="n">
        <v>25</v>
      </c>
      <c r="B2211" s="0" t="s">
        <v>62</v>
      </c>
      <c r="C2211" s="0" t="n">
        <v>2012</v>
      </c>
      <c r="D2211" s="0" t="n">
        <v>7</v>
      </c>
      <c r="E2211" s="38" t="n">
        <v>735101.8</v>
      </c>
    </row>
    <row r="2212" customFormat="false" ht="15" hidden="false" customHeight="false" outlineLevel="0" collapsed="false">
      <c r="A2212" s="0" t="n">
        <v>25</v>
      </c>
      <c r="B2212" s="0" t="s">
        <v>62</v>
      </c>
      <c r="C2212" s="0" t="n">
        <v>2012</v>
      </c>
      <c r="D2212" s="0" t="n">
        <v>8</v>
      </c>
      <c r="E2212" s="38" t="n">
        <v>681378.56</v>
      </c>
    </row>
    <row r="2213" customFormat="false" ht="15" hidden="false" customHeight="false" outlineLevel="0" collapsed="false">
      <c r="A2213" s="0" t="n">
        <v>25</v>
      </c>
      <c r="B2213" s="0" t="s">
        <v>62</v>
      </c>
      <c r="C2213" s="0" t="n">
        <v>2012</v>
      </c>
      <c r="D2213" s="0" t="n">
        <v>9</v>
      </c>
      <c r="E2213" s="38" t="n">
        <v>811659.09</v>
      </c>
    </row>
    <row r="2214" customFormat="false" ht="15" hidden="false" customHeight="false" outlineLevel="0" collapsed="false">
      <c r="A2214" s="0" t="n">
        <v>25</v>
      </c>
      <c r="B2214" s="0" t="s">
        <v>62</v>
      </c>
      <c r="C2214" s="0" t="n">
        <v>2012</v>
      </c>
      <c r="D2214" s="0" t="n">
        <v>10</v>
      </c>
      <c r="E2214" s="38" t="n">
        <v>809928.84</v>
      </c>
    </row>
    <row r="2215" customFormat="false" ht="15" hidden="false" customHeight="false" outlineLevel="0" collapsed="false">
      <c r="A2215" s="0" t="n">
        <v>25</v>
      </c>
      <c r="B2215" s="0" t="s">
        <v>62</v>
      </c>
      <c r="C2215" s="0" t="n">
        <v>2012</v>
      </c>
      <c r="D2215" s="0" t="n">
        <v>11</v>
      </c>
      <c r="E2215" s="38" t="n">
        <v>906416</v>
      </c>
    </row>
    <row r="2216" customFormat="false" ht="15" hidden="false" customHeight="false" outlineLevel="0" collapsed="false">
      <c r="A2216" s="0" t="n">
        <v>25</v>
      </c>
      <c r="B2216" s="0" t="s">
        <v>62</v>
      </c>
      <c r="C2216" s="0" t="n">
        <v>2012</v>
      </c>
      <c r="D2216" s="0" t="n">
        <v>12</v>
      </c>
      <c r="E2216" s="38" t="n">
        <v>561375.15</v>
      </c>
    </row>
    <row r="2217" customFormat="false" ht="15" hidden="false" customHeight="false" outlineLevel="0" collapsed="false">
      <c r="A2217" s="0" t="n">
        <v>25</v>
      </c>
      <c r="B2217" s="0" t="s">
        <v>62</v>
      </c>
      <c r="C2217" s="0" t="n">
        <v>2013</v>
      </c>
      <c r="D2217" s="0" t="n">
        <v>1</v>
      </c>
      <c r="E2217" s="38" t="n">
        <v>651257.55</v>
      </c>
    </row>
    <row r="2218" customFormat="false" ht="15" hidden="false" customHeight="false" outlineLevel="0" collapsed="false">
      <c r="A2218" s="0" t="n">
        <v>25</v>
      </c>
      <c r="B2218" s="0" t="s">
        <v>62</v>
      </c>
      <c r="C2218" s="0" t="n">
        <v>2013</v>
      </c>
      <c r="D2218" s="0" t="n">
        <v>2</v>
      </c>
      <c r="E2218" s="38" t="n">
        <v>838119.19</v>
      </c>
    </row>
    <row r="2219" customFormat="false" ht="15" hidden="false" customHeight="false" outlineLevel="0" collapsed="false">
      <c r="A2219" s="0" t="n">
        <v>25</v>
      </c>
      <c r="B2219" s="0" t="s">
        <v>62</v>
      </c>
      <c r="C2219" s="0" t="n">
        <v>2013</v>
      </c>
      <c r="D2219" s="0" t="n">
        <v>3</v>
      </c>
      <c r="E2219" s="38" t="n">
        <v>799056.02</v>
      </c>
    </row>
    <row r="2220" customFormat="false" ht="15" hidden="false" customHeight="false" outlineLevel="0" collapsed="false">
      <c r="A2220" s="0" t="n">
        <v>25</v>
      </c>
      <c r="B2220" s="0" t="s">
        <v>62</v>
      </c>
      <c r="C2220" s="0" t="n">
        <v>2013</v>
      </c>
      <c r="D2220" s="0" t="n">
        <v>4</v>
      </c>
      <c r="E2220" s="38" t="n">
        <v>827528.63</v>
      </c>
    </row>
    <row r="2221" customFormat="false" ht="15" hidden="false" customHeight="false" outlineLevel="0" collapsed="false">
      <c r="A2221" s="0" t="n">
        <v>25</v>
      </c>
      <c r="B2221" s="0" t="s">
        <v>62</v>
      </c>
      <c r="C2221" s="0" t="n">
        <v>2013</v>
      </c>
      <c r="D2221" s="0" t="n">
        <v>5</v>
      </c>
      <c r="E2221" s="38" t="n">
        <v>791642.52</v>
      </c>
    </row>
    <row r="2222" customFormat="false" ht="15" hidden="false" customHeight="false" outlineLevel="0" collapsed="false">
      <c r="A2222" s="0" t="n">
        <v>25</v>
      </c>
      <c r="B2222" s="0" t="s">
        <v>62</v>
      </c>
      <c r="C2222" s="0" t="n">
        <v>2013</v>
      </c>
      <c r="D2222" s="0" t="n">
        <v>6</v>
      </c>
      <c r="E2222" s="38" t="n">
        <v>707813.57</v>
      </c>
    </row>
    <row r="2223" customFormat="false" ht="15" hidden="false" customHeight="false" outlineLevel="0" collapsed="false">
      <c r="A2223" s="0" t="n">
        <v>25</v>
      </c>
      <c r="B2223" s="0" t="s">
        <v>62</v>
      </c>
      <c r="C2223" s="0" t="n">
        <v>2013</v>
      </c>
      <c r="D2223" s="0" t="n">
        <v>7</v>
      </c>
      <c r="E2223" s="38" t="n">
        <v>740071.36</v>
      </c>
    </row>
    <row r="2224" customFormat="false" ht="15" hidden="false" customHeight="false" outlineLevel="0" collapsed="false">
      <c r="A2224" s="0" t="n">
        <v>25</v>
      </c>
      <c r="B2224" s="0" t="s">
        <v>62</v>
      </c>
      <c r="C2224" s="0" t="n">
        <v>2013</v>
      </c>
      <c r="D2224" s="0" t="n">
        <v>8</v>
      </c>
      <c r="E2224" s="38" t="n">
        <v>677621.51</v>
      </c>
    </row>
    <row r="2225" customFormat="false" ht="15" hidden="false" customHeight="false" outlineLevel="0" collapsed="false">
      <c r="A2225" s="0" t="n">
        <v>25</v>
      </c>
      <c r="B2225" s="0" t="s">
        <v>64</v>
      </c>
      <c r="C2225" s="0" t="n">
        <v>2011</v>
      </c>
      <c r="D2225" s="0" t="n">
        <v>1</v>
      </c>
      <c r="E2225" s="38" t="n">
        <v>1094</v>
      </c>
    </row>
    <row r="2226" customFormat="false" ht="15" hidden="false" customHeight="false" outlineLevel="0" collapsed="false">
      <c r="A2226" s="0" t="n">
        <v>25</v>
      </c>
      <c r="B2226" s="0" t="s">
        <v>64</v>
      </c>
      <c r="C2226" s="0" t="n">
        <v>2011</v>
      </c>
      <c r="D2226" s="0" t="n">
        <v>2</v>
      </c>
      <c r="E2226" s="38" t="n">
        <v>1268.03</v>
      </c>
    </row>
    <row r="2227" customFormat="false" ht="15" hidden="false" customHeight="false" outlineLevel="0" collapsed="false">
      <c r="A2227" s="0" t="n">
        <v>25</v>
      </c>
      <c r="B2227" s="0" t="s">
        <v>64</v>
      </c>
      <c r="C2227" s="0" t="n">
        <v>2011</v>
      </c>
      <c r="D2227" s="0" t="n">
        <v>3</v>
      </c>
      <c r="E2227" s="38" t="n">
        <v>2193.14</v>
      </c>
    </row>
    <row r="2228" customFormat="false" ht="15" hidden="false" customHeight="false" outlineLevel="0" collapsed="false">
      <c r="A2228" s="0" t="n">
        <v>25</v>
      </c>
      <c r="B2228" s="0" t="s">
        <v>64</v>
      </c>
      <c r="C2228" s="0" t="n">
        <v>2011</v>
      </c>
      <c r="D2228" s="0" t="n">
        <v>4</v>
      </c>
      <c r="E2228" s="38" t="n">
        <v>2444.47</v>
      </c>
    </row>
    <row r="2229" customFormat="false" ht="15" hidden="false" customHeight="false" outlineLevel="0" collapsed="false">
      <c r="A2229" s="0" t="n">
        <v>25</v>
      </c>
      <c r="B2229" s="0" t="s">
        <v>64</v>
      </c>
      <c r="C2229" s="0" t="n">
        <v>2011</v>
      </c>
      <c r="D2229" s="0" t="n">
        <v>5</v>
      </c>
      <c r="E2229" s="38" t="n">
        <v>2096.87</v>
      </c>
    </row>
    <row r="2230" customFormat="false" ht="15" hidden="false" customHeight="false" outlineLevel="0" collapsed="false">
      <c r="A2230" s="0" t="n">
        <v>25</v>
      </c>
      <c r="B2230" s="0" t="s">
        <v>64</v>
      </c>
      <c r="C2230" s="0" t="n">
        <v>2011</v>
      </c>
      <c r="D2230" s="0" t="n">
        <v>6</v>
      </c>
      <c r="E2230" s="38" t="n">
        <v>1551.26</v>
      </c>
    </row>
    <row r="2231" customFormat="false" ht="15" hidden="false" customHeight="false" outlineLevel="0" collapsed="false">
      <c r="A2231" s="0" t="n">
        <v>25</v>
      </c>
      <c r="B2231" s="0" t="s">
        <v>64</v>
      </c>
      <c r="C2231" s="0" t="n">
        <v>2011</v>
      </c>
      <c r="D2231" s="0" t="n">
        <v>7</v>
      </c>
      <c r="E2231" s="38" t="n">
        <v>1331.48</v>
      </c>
    </row>
    <row r="2232" customFormat="false" ht="15" hidden="false" customHeight="false" outlineLevel="0" collapsed="false">
      <c r="A2232" s="0" t="n">
        <v>25</v>
      </c>
      <c r="B2232" s="0" t="s">
        <v>64</v>
      </c>
      <c r="C2232" s="0" t="n">
        <v>2011</v>
      </c>
      <c r="D2232" s="0" t="n">
        <v>8</v>
      </c>
      <c r="E2232" s="38" t="n">
        <v>858.44</v>
      </c>
    </row>
    <row r="2233" customFormat="false" ht="15" hidden="false" customHeight="false" outlineLevel="0" collapsed="false">
      <c r="A2233" s="0" t="n">
        <v>25</v>
      </c>
      <c r="B2233" s="0" t="s">
        <v>64</v>
      </c>
      <c r="C2233" s="0" t="n">
        <v>2011</v>
      </c>
      <c r="D2233" s="0" t="n">
        <v>9</v>
      </c>
      <c r="E2233" s="38" t="n">
        <v>1069.9</v>
      </c>
    </row>
    <row r="2234" customFormat="false" ht="15" hidden="false" customHeight="false" outlineLevel="0" collapsed="false">
      <c r="A2234" s="0" t="n">
        <v>25</v>
      </c>
      <c r="B2234" s="0" t="s">
        <v>64</v>
      </c>
      <c r="C2234" s="0" t="n">
        <v>2011</v>
      </c>
      <c r="D2234" s="0" t="n">
        <v>10</v>
      </c>
      <c r="E2234" s="38" t="n">
        <v>1026.92</v>
      </c>
    </row>
    <row r="2235" customFormat="false" ht="15" hidden="false" customHeight="false" outlineLevel="0" collapsed="false">
      <c r="A2235" s="0" t="n">
        <v>25</v>
      </c>
      <c r="B2235" s="0" t="s">
        <v>64</v>
      </c>
      <c r="C2235" s="0" t="n">
        <v>2011</v>
      </c>
      <c r="D2235" s="0" t="n">
        <v>11</v>
      </c>
      <c r="E2235" s="38" t="n">
        <v>914.58</v>
      </c>
    </row>
    <row r="2236" customFormat="false" ht="15" hidden="false" customHeight="false" outlineLevel="0" collapsed="false">
      <c r="A2236" s="0" t="n">
        <v>25</v>
      </c>
      <c r="B2236" s="0" t="s">
        <v>64</v>
      </c>
      <c r="C2236" s="0" t="n">
        <v>2011</v>
      </c>
      <c r="D2236" s="0" t="n">
        <v>12</v>
      </c>
      <c r="E2236" s="38" t="n">
        <v>1011.86</v>
      </c>
    </row>
    <row r="2237" customFormat="false" ht="15" hidden="false" customHeight="false" outlineLevel="0" collapsed="false">
      <c r="A2237" s="0" t="n">
        <v>25</v>
      </c>
      <c r="B2237" s="0" t="s">
        <v>64</v>
      </c>
      <c r="C2237" s="0" t="n">
        <v>2012</v>
      </c>
      <c r="D2237" s="0" t="n">
        <v>1</v>
      </c>
      <c r="E2237" s="38" t="n">
        <v>941.11</v>
      </c>
    </row>
    <row r="2238" customFormat="false" ht="15" hidden="false" customHeight="false" outlineLevel="0" collapsed="false">
      <c r="A2238" s="0" t="n">
        <v>25</v>
      </c>
      <c r="B2238" s="0" t="s">
        <v>64</v>
      </c>
      <c r="C2238" s="0" t="n">
        <v>2012</v>
      </c>
      <c r="D2238" s="0" t="n">
        <v>2</v>
      </c>
      <c r="E2238" s="38" t="n">
        <v>1111.47</v>
      </c>
    </row>
    <row r="2239" customFormat="false" ht="15" hidden="false" customHeight="false" outlineLevel="0" collapsed="false">
      <c r="A2239" s="0" t="n">
        <v>25</v>
      </c>
      <c r="B2239" s="0" t="s">
        <v>64</v>
      </c>
      <c r="C2239" s="0" t="n">
        <v>2012</v>
      </c>
      <c r="D2239" s="0" t="n">
        <v>3</v>
      </c>
      <c r="E2239" s="38" t="n">
        <v>1172.5</v>
      </c>
    </row>
    <row r="2240" customFormat="false" ht="15" hidden="false" customHeight="false" outlineLevel="0" collapsed="false">
      <c r="A2240" s="0" t="n">
        <v>25</v>
      </c>
      <c r="B2240" s="0" t="s">
        <v>64</v>
      </c>
      <c r="C2240" s="0" t="n">
        <v>2012</v>
      </c>
      <c r="D2240" s="0" t="n">
        <v>4</v>
      </c>
      <c r="E2240" s="38" t="n">
        <v>2220.69</v>
      </c>
    </row>
    <row r="2241" customFormat="false" ht="15" hidden="false" customHeight="false" outlineLevel="0" collapsed="false">
      <c r="A2241" s="0" t="n">
        <v>25</v>
      </c>
      <c r="B2241" s="0" t="s">
        <v>64</v>
      </c>
      <c r="C2241" s="0" t="n">
        <v>2012</v>
      </c>
      <c r="D2241" s="0" t="n">
        <v>5</v>
      </c>
      <c r="E2241" s="38" t="n">
        <v>3761.2</v>
      </c>
    </row>
    <row r="2242" customFormat="false" ht="15" hidden="false" customHeight="false" outlineLevel="0" collapsed="false">
      <c r="A2242" s="0" t="n">
        <v>25</v>
      </c>
      <c r="B2242" s="0" t="s">
        <v>64</v>
      </c>
      <c r="C2242" s="0" t="n">
        <v>2012</v>
      </c>
      <c r="D2242" s="0" t="n">
        <v>6</v>
      </c>
      <c r="E2242" s="38" t="n">
        <v>1163.05</v>
      </c>
    </row>
    <row r="2243" customFormat="false" ht="15" hidden="false" customHeight="false" outlineLevel="0" collapsed="false">
      <c r="A2243" s="0" t="n">
        <v>25</v>
      </c>
      <c r="B2243" s="0" t="s">
        <v>64</v>
      </c>
      <c r="C2243" s="0" t="n">
        <v>2012</v>
      </c>
      <c r="D2243" s="0" t="n">
        <v>7</v>
      </c>
      <c r="E2243" s="38" t="n">
        <v>903.08</v>
      </c>
    </row>
    <row r="2244" customFormat="false" ht="15" hidden="false" customHeight="false" outlineLevel="0" collapsed="false">
      <c r="A2244" s="0" t="n">
        <v>25</v>
      </c>
      <c r="B2244" s="0" t="s">
        <v>64</v>
      </c>
      <c r="C2244" s="0" t="n">
        <v>2012</v>
      </c>
      <c r="D2244" s="0" t="n">
        <v>8</v>
      </c>
      <c r="E2244" s="38" t="n">
        <v>625.91</v>
      </c>
    </row>
    <row r="2245" customFormat="false" ht="15" hidden="false" customHeight="false" outlineLevel="0" collapsed="false">
      <c r="A2245" s="0" t="n">
        <v>25</v>
      </c>
      <c r="B2245" s="0" t="s">
        <v>64</v>
      </c>
      <c r="C2245" s="0" t="n">
        <v>2012</v>
      </c>
      <c r="D2245" s="0" t="n">
        <v>9</v>
      </c>
      <c r="E2245" s="38" t="n">
        <v>910.62</v>
      </c>
    </row>
    <row r="2246" customFormat="false" ht="15" hidden="false" customHeight="false" outlineLevel="0" collapsed="false">
      <c r="A2246" s="0" t="n">
        <v>25</v>
      </c>
      <c r="B2246" s="0" t="s">
        <v>64</v>
      </c>
      <c r="C2246" s="0" t="n">
        <v>2012</v>
      </c>
      <c r="D2246" s="0" t="n">
        <v>10</v>
      </c>
      <c r="E2246" s="38" t="n">
        <v>1053.93</v>
      </c>
    </row>
    <row r="2247" customFormat="false" ht="15" hidden="false" customHeight="false" outlineLevel="0" collapsed="false">
      <c r="A2247" s="0" t="n">
        <v>25</v>
      </c>
      <c r="B2247" s="0" t="s">
        <v>64</v>
      </c>
      <c r="C2247" s="0" t="n">
        <v>2012</v>
      </c>
      <c r="D2247" s="0" t="n">
        <v>11</v>
      </c>
      <c r="E2247" s="38" t="n">
        <v>1004.04</v>
      </c>
    </row>
    <row r="2248" customFormat="false" ht="15" hidden="false" customHeight="false" outlineLevel="0" collapsed="false">
      <c r="A2248" s="0" t="n">
        <v>25</v>
      </c>
      <c r="B2248" s="0" t="s">
        <v>64</v>
      </c>
      <c r="C2248" s="0" t="n">
        <v>2012</v>
      </c>
      <c r="D2248" s="0" t="n">
        <v>12</v>
      </c>
      <c r="E2248" s="38" t="n">
        <v>1427.28</v>
      </c>
    </row>
    <row r="2249" customFormat="false" ht="15" hidden="false" customHeight="false" outlineLevel="0" collapsed="false">
      <c r="A2249" s="0" t="n">
        <v>25</v>
      </c>
      <c r="B2249" s="0" t="s">
        <v>64</v>
      </c>
      <c r="C2249" s="0" t="n">
        <v>2013</v>
      </c>
      <c r="D2249" s="0" t="n">
        <v>1</v>
      </c>
      <c r="E2249" s="38" t="n">
        <v>1301.13</v>
      </c>
    </row>
    <row r="2250" customFormat="false" ht="15" hidden="false" customHeight="false" outlineLevel="0" collapsed="false">
      <c r="A2250" s="0" t="n">
        <v>25</v>
      </c>
      <c r="B2250" s="0" t="s">
        <v>64</v>
      </c>
      <c r="C2250" s="0" t="n">
        <v>2013</v>
      </c>
      <c r="D2250" s="0" t="n">
        <v>2</v>
      </c>
      <c r="E2250" s="38" t="n">
        <v>1102.75</v>
      </c>
    </row>
    <row r="2251" customFormat="false" ht="15" hidden="false" customHeight="false" outlineLevel="0" collapsed="false">
      <c r="A2251" s="0" t="n">
        <v>25</v>
      </c>
      <c r="B2251" s="0" t="s">
        <v>64</v>
      </c>
      <c r="C2251" s="0" t="n">
        <v>2013</v>
      </c>
      <c r="D2251" s="0" t="n">
        <v>3</v>
      </c>
      <c r="E2251" s="38" t="n">
        <v>1940.85</v>
      </c>
    </row>
    <row r="2252" customFormat="false" ht="15" hidden="false" customHeight="false" outlineLevel="0" collapsed="false">
      <c r="A2252" s="0" t="n">
        <v>25</v>
      </c>
      <c r="B2252" s="0" t="s">
        <v>64</v>
      </c>
      <c r="C2252" s="0" t="n">
        <v>2013</v>
      </c>
      <c r="D2252" s="0" t="n">
        <v>4</v>
      </c>
      <c r="E2252" s="38" t="n">
        <v>2996.26</v>
      </c>
    </row>
    <row r="2253" customFormat="false" ht="15" hidden="false" customHeight="false" outlineLevel="0" collapsed="false">
      <c r="A2253" s="0" t="n">
        <v>25</v>
      </c>
      <c r="B2253" s="0" t="s">
        <v>64</v>
      </c>
      <c r="C2253" s="0" t="n">
        <v>2013</v>
      </c>
      <c r="D2253" s="0" t="n">
        <v>5</v>
      </c>
      <c r="E2253" s="38" t="n">
        <v>2743.12</v>
      </c>
    </row>
    <row r="2254" customFormat="false" ht="15" hidden="false" customHeight="false" outlineLevel="0" collapsed="false">
      <c r="A2254" s="0" t="n">
        <v>25</v>
      </c>
      <c r="B2254" s="0" t="s">
        <v>64</v>
      </c>
      <c r="C2254" s="0" t="n">
        <v>2013</v>
      </c>
      <c r="D2254" s="0" t="n">
        <v>6</v>
      </c>
      <c r="E2254" s="38" t="n">
        <v>1897.21</v>
      </c>
    </row>
    <row r="2255" customFormat="false" ht="15" hidden="false" customHeight="false" outlineLevel="0" collapsed="false">
      <c r="A2255" s="0" t="n">
        <v>25</v>
      </c>
      <c r="B2255" s="0" t="s">
        <v>64</v>
      </c>
      <c r="C2255" s="0" t="n">
        <v>2013</v>
      </c>
      <c r="D2255" s="0" t="n">
        <v>7</v>
      </c>
      <c r="E2255" s="38" t="n">
        <v>1648.54</v>
      </c>
    </row>
    <row r="2256" customFormat="false" ht="15" hidden="false" customHeight="false" outlineLevel="0" collapsed="false">
      <c r="A2256" s="0" t="n">
        <v>25</v>
      </c>
      <c r="B2256" s="0" t="s">
        <v>64</v>
      </c>
      <c r="C2256" s="0" t="n">
        <v>2013</v>
      </c>
      <c r="D2256" s="0" t="n">
        <v>8</v>
      </c>
      <c r="E2256" s="38" t="n">
        <v>1399.69</v>
      </c>
    </row>
    <row r="2257" customFormat="false" ht="15" hidden="false" customHeight="false" outlineLevel="0" collapsed="false">
      <c r="A2257" s="0" t="n">
        <v>26</v>
      </c>
      <c r="B2257" s="0" t="s">
        <v>60</v>
      </c>
      <c r="C2257" s="0" t="n">
        <v>2011</v>
      </c>
      <c r="D2257" s="0" t="n">
        <v>1</v>
      </c>
      <c r="E2257" s="38" t="n">
        <v>803902.72</v>
      </c>
    </row>
    <row r="2258" customFormat="false" ht="15" hidden="false" customHeight="false" outlineLevel="0" collapsed="false">
      <c r="A2258" s="0" t="n">
        <v>26</v>
      </c>
      <c r="B2258" s="0" t="s">
        <v>60</v>
      </c>
      <c r="C2258" s="0" t="n">
        <v>2011</v>
      </c>
      <c r="D2258" s="0" t="n">
        <v>2</v>
      </c>
      <c r="E2258" s="38" t="n">
        <v>892647.89</v>
      </c>
    </row>
    <row r="2259" customFormat="false" ht="15" hidden="false" customHeight="false" outlineLevel="0" collapsed="false">
      <c r="A2259" s="0" t="n">
        <v>26</v>
      </c>
      <c r="B2259" s="0" t="s">
        <v>60</v>
      </c>
      <c r="C2259" s="0" t="n">
        <v>2011</v>
      </c>
      <c r="D2259" s="0" t="n">
        <v>3</v>
      </c>
      <c r="E2259" s="38" t="n">
        <v>841706.13</v>
      </c>
    </row>
    <row r="2260" customFormat="false" ht="15" hidden="false" customHeight="false" outlineLevel="0" collapsed="false">
      <c r="A2260" s="0" t="n">
        <v>26</v>
      </c>
      <c r="B2260" s="0" t="s">
        <v>60</v>
      </c>
      <c r="C2260" s="0" t="n">
        <v>2011</v>
      </c>
      <c r="D2260" s="0" t="n">
        <v>4</v>
      </c>
      <c r="E2260" s="38" t="n">
        <v>775996.22</v>
      </c>
    </row>
    <row r="2261" customFormat="false" ht="15" hidden="false" customHeight="false" outlineLevel="0" collapsed="false">
      <c r="A2261" s="0" t="n">
        <v>26</v>
      </c>
      <c r="B2261" s="0" t="s">
        <v>60</v>
      </c>
      <c r="C2261" s="0" t="n">
        <v>2011</v>
      </c>
      <c r="D2261" s="0" t="n">
        <v>5</v>
      </c>
      <c r="E2261" s="38" t="n">
        <v>683493.01</v>
      </c>
    </row>
    <row r="2262" customFormat="false" ht="15" hidden="false" customHeight="false" outlineLevel="0" collapsed="false">
      <c r="A2262" s="0" t="n">
        <v>26</v>
      </c>
      <c r="B2262" s="0" t="s">
        <v>60</v>
      </c>
      <c r="C2262" s="0" t="n">
        <v>2011</v>
      </c>
      <c r="D2262" s="0" t="n">
        <v>6</v>
      </c>
      <c r="E2262" s="38" t="n">
        <v>619778.36</v>
      </c>
    </row>
    <row r="2263" customFormat="false" ht="15" hidden="false" customHeight="false" outlineLevel="0" collapsed="false">
      <c r="A2263" s="0" t="n">
        <v>26</v>
      </c>
      <c r="B2263" s="0" t="s">
        <v>60</v>
      </c>
      <c r="C2263" s="0" t="n">
        <v>2011</v>
      </c>
      <c r="D2263" s="0" t="n">
        <v>7</v>
      </c>
      <c r="E2263" s="38" t="n">
        <v>702684.17</v>
      </c>
    </row>
    <row r="2264" customFormat="false" ht="15" hidden="false" customHeight="false" outlineLevel="0" collapsed="false">
      <c r="A2264" s="0" t="n">
        <v>26</v>
      </c>
      <c r="B2264" s="0" t="s">
        <v>60</v>
      </c>
      <c r="C2264" s="0" t="n">
        <v>2011</v>
      </c>
      <c r="D2264" s="0" t="n">
        <v>8</v>
      </c>
      <c r="E2264" s="38" t="n">
        <v>775533.12</v>
      </c>
    </row>
    <row r="2265" customFormat="false" ht="15" hidden="false" customHeight="false" outlineLevel="0" collapsed="false">
      <c r="A2265" s="0" t="n">
        <v>26</v>
      </c>
      <c r="B2265" s="0" t="s">
        <v>60</v>
      </c>
      <c r="C2265" s="0" t="n">
        <v>2011</v>
      </c>
      <c r="D2265" s="0" t="n">
        <v>9</v>
      </c>
      <c r="E2265" s="38" t="n">
        <v>961854.69</v>
      </c>
    </row>
    <row r="2266" customFormat="false" ht="15" hidden="false" customHeight="false" outlineLevel="0" collapsed="false">
      <c r="A2266" s="0" t="n">
        <v>26</v>
      </c>
      <c r="B2266" s="0" t="s">
        <v>60</v>
      </c>
      <c r="C2266" s="0" t="n">
        <v>2011</v>
      </c>
      <c r="D2266" s="0" t="n">
        <v>10</v>
      </c>
      <c r="E2266" s="38" t="n">
        <v>1061241.31</v>
      </c>
    </row>
    <row r="2267" customFormat="false" ht="15" hidden="false" customHeight="false" outlineLevel="0" collapsed="false">
      <c r="A2267" s="0" t="n">
        <v>26</v>
      </c>
      <c r="B2267" s="0" t="s">
        <v>60</v>
      </c>
      <c r="C2267" s="0" t="n">
        <v>2011</v>
      </c>
      <c r="D2267" s="0" t="n">
        <v>11</v>
      </c>
      <c r="E2267" s="38" t="n">
        <v>1092679.92</v>
      </c>
    </row>
    <row r="2268" customFormat="false" ht="15" hidden="false" customHeight="false" outlineLevel="0" collapsed="false">
      <c r="A2268" s="0" t="n">
        <v>26</v>
      </c>
      <c r="B2268" s="0" t="s">
        <v>60</v>
      </c>
      <c r="C2268" s="0" t="n">
        <v>2011</v>
      </c>
      <c r="D2268" s="0" t="n">
        <v>12</v>
      </c>
      <c r="E2268" s="38" t="n">
        <v>563257.93</v>
      </c>
    </row>
    <row r="2269" customFormat="false" ht="15" hidden="false" customHeight="false" outlineLevel="0" collapsed="false">
      <c r="A2269" s="0" t="n">
        <v>26</v>
      </c>
      <c r="B2269" s="0" t="s">
        <v>60</v>
      </c>
      <c r="C2269" s="0" t="n">
        <v>2012</v>
      </c>
      <c r="D2269" s="0" t="n">
        <v>1</v>
      </c>
      <c r="E2269" s="38" t="n">
        <v>753177.56</v>
      </c>
    </row>
    <row r="2270" customFormat="false" ht="15" hidden="false" customHeight="false" outlineLevel="0" collapsed="false">
      <c r="A2270" s="0" t="n">
        <v>26</v>
      </c>
      <c r="B2270" s="0" t="s">
        <v>60</v>
      </c>
      <c r="C2270" s="0" t="n">
        <v>2012</v>
      </c>
      <c r="D2270" s="0" t="n">
        <v>2</v>
      </c>
      <c r="E2270" s="38" t="n">
        <v>804248.85</v>
      </c>
    </row>
    <row r="2271" customFormat="false" ht="15" hidden="false" customHeight="false" outlineLevel="0" collapsed="false">
      <c r="A2271" s="0" t="n">
        <v>26</v>
      </c>
      <c r="B2271" s="0" t="s">
        <v>60</v>
      </c>
      <c r="C2271" s="0" t="n">
        <v>2012</v>
      </c>
      <c r="D2271" s="0" t="n">
        <v>3</v>
      </c>
      <c r="E2271" s="38" t="n">
        <v>773244.67</v>
      </c>
    </row>
    <row r="2272" customFormat="false" ht="15" hidden="false" customHeight="false" outlineLevel="0" collapsed="false">
      <c r="A2272" s="0" t="n">
        <v>26</v>
      </c>
      <c r="B2272" s="0" t="s">
        <v>60</v>
      </c>
      <c r="C2272" s="0" t="n">
        <v>2012</v>
      </c>
      <c r="D2272" s="0" t="n">
        <v>4</v>
      </c>
      <c r="E2272" s="38" t="n">
        <v>725796.38</v>
      </c>
    </row>
    <row r="2273" customFormat="false" ht="15" hidden="false" customHeight="false" outlineLevel="0" collapsed="false">
      <c r="A2273" s="0" t="n">
        <v>26</v>
      </c>
      <c r="B2273" s="0" t="s">
        <v>60</v>
      </c>
      <c r="C2273" s="0" t="n">
        <v>2012</v>
      </c>
      <c r="D2273" s="0" t="n">
        <v>5</v>
      </c>
      <c r="E2273" s="38" t="n">
        <v>679923.7</v>
      </c>
    </row>
    <row r="2274" customFormat="false" ht="15" hidden="false" customHeight="false" outlineLevel="0" collapsed="false">
      <c r="A2274" s="0" t="n">
        <v>26</v>
      </c>
      <c r="B2274" s="0" t="s">
        <v>60</v>
      </c>
      <c r="C2274" s="0" t="n">
        <v>2012</v>
      </c>
      <c r="D2274" s="0" t="n">
        <v>6</v>
      </c>
      <c r="E2274" s="38" t="n">
        <v>590906.62</v>
      </c>
    </row>
    <row r="2275" customFormat="false" ht="15" hidden="false" customHeight="false" outlineLevel="0" collapsed="false">
      <c r="A2275" s="0" t="n">
        <v>26</v>
      </c>
      <c r="B2275" s="0" t="s">
        <v>60</v>
      </c>
      <c r="C2275" s="0" t="n">
        <v>2012</v>
      </c>
      <c r="D2275" s="0" t="n">
        <v>7</v>
      </c>
      <c r="E2275" s="38" t="n">
        <v>671294.77</v>
      </c>
    </row>
    <row r="2276" customFormat="false" ht="15" hidden="false" customHeight="false" outlineLevel="0" collapsed="false">
      <c r="A2276" s="0" t="n">
        <v>26</v>
      </c>
      <c r="B2276" s="0" t="s">
        <v>60</v>
      </c>
      <c r="C2276" s="0" t="n">
        <v>2012</v>
      </c>
      <c r="D2276" s="0" t="n">
        <v>8</v>
      </c>
      <c r="E2276" s="38" t="n">
        <v>741275.04</v>
      </c>
    </row>
    <row r="2277" customFormat="false" ht="15" hidden="false" customHeight="false" outlineLevel="0" collapsed="false">
      <c r="A2277" s="0" t="n">
        <v>26</v>
      </c>
      <c r="B2277" s="0" t="s">
        <v>60</v>
      </c>
      <c r="C2277" s="0" t="n">
        <v>2012</v>
      </c>
      <c r="D2277" s="0" t="n">
        <v>9</v>
      </c>
      <c r="E2277" s="38" t="n">
        <v>958118.72</v>
      </c>
    </row>
    <row r="2278" customFormat="false" ht="15" hidden="false" customHeight="false" outlineLevel="0" collapsed="false">
      <c r="A2278" s="0" t="n">
        <v>26</v>
      </c>
      <c r="B2278" s="0" t="s">
        <v>60</v>
      </c>
      <c r="C2278" s="0" t="n">
        <v>2012</v>
      </c>
      <c r="D2278" s="0" t="n">
        <v>10</v>
      </c>
      <c r="E2278" s="38" t="n">
        <v>985677.48</v>
      </c>
    </row>
    <row r="2279" customFormat="false" ht="15" hidden="false" customHeight="false" outlineLevel="0" collapsed="false">
      <c r="A2279" s="0" t="n">
        <v>26</v>
      </c>
      <c r="B2279" s="0" t="s">
        <v>60</v>
      </c>
      <c r="C2279" s="0" t="n">
        <v>2012</v>
      </c>
      <c r="D2279" s="0" t="n">
        <v>11</v>
      </c>
      <c r="E2279" s="38" t="n">
        <v>1027395.02</v>
      </c>
    </row>
    <row r="2280" customFormat="false" ht="15" hidden="false" customHeight="false" outlineLevel="0" collapsed="false">
      <c r="A2280" s="0" t="n">
        <v>26</v>
      </c>
      <c r="B2280" s="0" t="s">
        <v>60</v>
      </c>
      <c r="C2280" s="0" t="n">
        <v>2012</v>
      </c>
      <c r="D2280" s="0" t="n">
        <v>12</v>
      </c>
      <c r="E2280" s="38" t="n">
        <v>548793.99</v>
      </c>
    </row>
    <row r="2281" customFormat="false" ht="15" hidden="false" customHeight="false" outlineLevel="0" collapsed="false">
      <c r="A2281" s="0" t="n">
        <v>26</v>
      </c>
      <c r="B2281" s="0" t="s">
        <v>60</v>
      </c>
      <c r="C2281" s="0" t="n">
        <v>2013</v>
      </c>
      <c r="D2281" s="0" t="n">
        <v>1</v>
      </c>
      <c r="E2281" s="38" t="n">
        <v>785526.38</v>
      </c>
    </row>
    <row r="2282" customFormat="false" ht="15" hidden="false" customHeight="false" outlineLevel="0" collapsed="false">
      <c r="A2282" s="0" t="n">
        <v>26</v>
      </c>
      <c r="B2282" s="0" t="s">
        <v>60</v>
      </c>
      <c r="C2282" s="0" t="n">
        <v>2013</v>
      </c>
      <c r="D2282" s="0" t="n">
        <v>2</v>
      </c>
      <c r="E2282" s="38" t="n">
        <v>873010.11</v>
      </c>
    </row>
    <row r="2283" customFormat="false" ht="15" hidden="false" customHeight="false" outlineLevel="0" collapsed="false">
      <c r="A2283" s="0" t="n">
        <v>26</v>
      </c>
      <c r="B2283" s="0" t="s">
        <v>60</v>
      </c>
      <c r="C2283" s="0" t="n">
        <v>2013</v>
      </c>
      <c r="D2283" s="0" t="n">
        <v>3</v>
      </c>
      <c r="E2283" s="38" t="n">
        <v>803993.94</v>
      </c>
    </row>
    <row r="2284" customFormat="false" ht="15" hidden="false" customHeight="false" outlineLevel="0" collapsed="false">
      <c r="A2284" s="0" t="n">
        <v>26</v>
      </c>
      <c r="B2284" s="0" t="s">
        <v>60</v>
      </c>
      <c r="C2284" s="0" t="n">
        <v>2013</v>
      </c>
      <c r="D2284" s="0" t="n">
        <v>4</v>
      </c>
      <c r="E2284" s="38" t="n">
        <v>710387.61</v>
      </c>
    </row>
    <row r="2285" customFormat="false" ht="15" hidden="false" customHeight="false" outlineLevel="0" collapsed="false">
      <c r="A2285" s="0" t="n">
        <v>26</v>
      </c>
      <c r="B2285" s="0" t="s">
        <v>60</v>
      </c>
      <c r="C2285" s="0" t="n">
        <v>2013</v>
      </c>
      <c r="D2285" s="0" t="n">
        <v>5</v>
      </c>
      <c r="E2285" s="38" t="n">
        <v>623978.1</v>
      </c>
    </row>
    <row r="2286" customFormat="false" ht="15" hidden="false" customHeight="false" outlineLevel="0" collapsed="false">
      <c r="A2286" s="0" t="n">
        <v>26</v>
      </c>
      <c r="B2286" s="0" t="s">
        <v>60</v>
      </c>
      <c r="C2286" s="0" t="n">
        <v>2013</v>
      </c>
      <c r="D2286" s="0" t="n">
        <v>6</v>
      </c>
      <c r="E2286" s="38" t="n">
        <v>594104.28</v>
      </c>
    </row>
    <row r="2287" customFormat="false" ht="15" hidden="false" customHeight="false" outlineLevel="0" collapsed="false">
      <c r="A2287" s="0" t="n">
        <v>26</v>
      </c>
      <c r="B2287" s="0" t="s">
        <v>60</v>
      </c>
      <c r="C2287" s="0" t="n">
        <v>2013</v>
      </c>
      <c r="D2287" s="0" t="n">
        <v>7</v>
      </c>
      <c r="E2287" s="38" t="n">
        <v>677361.12</v>
      </c>
    </row>
    <row r="2288" customFormat="false" ht="15" hidden="false" customHeight="false" outlineLevel="0" collapsed="false">
      <c r="A2288" s="0" t="n">
        <v>26</v>
      </c>
      <c r="B2288" s="0" t="s">
        <v>60</v>
      </c>
      <c r="C2288" s="0" t="n">
        <v>2013</v>
      </c>
      <c r="D2288" s="0" t="n">
        <v>8</v>
      </c>
      <c r="E2288" s="38" t="n">
        <v>778041.62</v>
      </c>
    </row>
    <row r="2289" customFormat="false" ht="15" hidden="false" customHeight="false" outlineLevel="0" collapsed="false">
      <c r="A2289" s="0" t="n">
        <v>26</v>
      </c>
      <c r="B2289" s="0" t="s">
        <v>62</v>
      </c>
      <c r="C2289" s="0" t="n">
        <v>2011</v>
      </c>
      <c r="D2289" s="0" t="n">
        <v>1</v>
      </c>
      <c r="E2289" s="38" t="n">
        <v>558271.08</v>
      </c>
    </row>
    <row r="2290" customFormat="false" ht="15" hidden="false" customHeight="false" outlineLevel="0" collapsed="false">
      <c r="A2290" s="0" t="n">
        <v>26</v>
      </c>
      <c r="B2290" s="0" t="s">
        <v>62</v>
      </c>
      <c r="C2290" s="0" t="n">
        <v>2011</v>
      </c>
      <c r="D2290" s="0" t="n">
        <v>2</v>
      </c>
      <c r="E2290" s="38" t="n">
        <v>629788.94</v>
      </c>
    </row>
    <row r="2291" customFormat="false" ht="15" hidden="false" customHeight="false" outlineLevel="0" collapsed="false">
      <c r="A2291" s="0" t="n">
        <v>26</v>
      </c>
      <c r="B2291" s="0" t="s">
        <v>62</v>
      </c>
      <c r="C2291" s="0" t="n">
        <v>2011</v>
      </c>
      <c r="D2291" s="0" t="n">
        <v>3</v>
      </c>
      <c r="E2291" s="38" t="n">
        <v>602546.24</v>
      </c>
    </row>
    <row r="2292" customFormat="false" ht="15" hidden="false" customHeight="false" outlineLevel="0" collapsed="false">
      <c r="A2292" s="0" t="n">
        <v>26</v>
      </c>
      <c r="B2292" s="0" t="s">
        <v>62</v>
      </c>
      <c r="C2292" s="0" t="n">
        <v>2011</v>
      </c>
      <c r="D2292" s="0" t="n">
        <v>4</v>
      </c>
      <c r="E2292" s="38" t="n">
        <v>576407.93</v>
      </c>
    </row>
    <row r="2293" customFormat="false" ht="15" hidden="false" customHeight="false" outlineLevel="0" collapsed="false">
      <c r="A2293" s="0" t="n">
        <v>26</v>
      </c>
      <c r="B2293" s="0" t="s">
        <v>62</v>
      </c>
      <c r="C2293" s="0" t="n">
        <v>2011</v>
      </c>
      <c r="D2293" s="0" t="n">
        <v>5</v>
      </c>
      <c r="E2293" s="38" t="n">
        <v>485548.91</v>
      </c>
    </row>
    <row r="2294" customFormat="false" ht="15" hidden="false" customHeight="false" outlineLevel="0" collapsed="false">
      <c r="A2294" s="0" t="n">
        <v>26</v>
      </c>
      <c r="B2294" s="0" t="s">
        <v>62</v>
      </c>
      <c r="C2294" s="0" t="n">
        <v>2011</v>
      </c>
      <c r="D2294" s="0" t="n">
        <v>6</v>
      </c>
      <c r="E2294" s="38" t="n">
        <v>444060.36</v>
      </c>
    </row>
    <row r="2295" customFormat="false" ht="15" hidden="false" customHeight="false" outlineLevel="0" collapsed="false">
      <c r="A2295" s="0" t="n">
        <v>26</v>
      </c>
      <c r="B2295" s="0" t="s">
        <v>62</v>
      </c>
      <c r="C2295" s="0" t="n">
        <v>2011</v>
      </c>
      <c r="D2295" s="0" t="n">
        <v>7</v>
      </c>
      <c r="E2295" s="38" t="n">
        <v>487546.69</v>
      </c>
    </row>
    <row r="2296" customFormat="false" ht="15" hidden="false" customHeight="false" outlineLevel="0" collapsed="false">
      <c r="A2296" s="0" t="n">
        <v>26</v>
      </c>
      <c r="B2296" s="0" t="s">
        <v>62</v>
      </c>
      <c r="C2296" s="0" t="n">
        <v>2011</v>
      </c>
      <c r="D2296" s="0" t="n">
        <v>8</v>
      </c>
      <c r="E2296" s="38" t="n">
        <v>561464.66</v>
      </c>
    </row>
    <row r="2297" customFormat="false" ht="15" hidden="false" customHeight="false" outlineLevel="0" collapsed="false">
      <c r="A2297" s="0" t="n">
        <v>26</v>
      </c>
      <c r="B2297" s="0" t="s">
        <v>62</v>
      </c>
      <c r="C2297" s="0" t="n">
        <v>2011</v>
      </c>
      <c r="D2297" s="0" t="n">
        <v>9</v>
      </c>
      <c r="E2297" s="38" t="n">
        <v>706795.31</v>
      </c>
    </row>
    <row r="2298" customFormat="false" ht="15" hidden="false" customHeight="false" outlineLevel="0" collapsed="false">
      <c r="A2298" s="0" t="n">
        <v>26</v>
      </c>
      <c r="B2298" s="0" t="s">
        <v>62</v>
      </c>
      <c r="C2298" s="0" t="n">
        <v>2011</v>
      </c>
      <c r="D2298" s="0" t="n">
        <v>10</v>
      </c>
      <c r="E2298" s="38" t="n">
        <v>749960.36</v>
      </c>
    </row>
    <row r="2299" customFormat="false" ht="15" hidden="false" customHeight="false" outlineLevel="0" collapsed="false">
      <c r="A2299" s="0" t="n">
        <v>26</v>
      </c>
      <c r="B2299" s="0" t="s">
        <v>62</v>
      </c>
      <c r="C2299" s="0" t="n">
        <v>2011</v>
      </c>
      <c r="D2299" s="0" t="n">
        <v>11</v>
      </c>
      <c r="E2299" s="38" t="n">
        <v>766194.4</v>
      </c>
    </row>
    <row r="2300" customFormat="false" ht="15" hidden="false" customHeight="false" outlineLevel="0" collapsed="false">
      <c r="A2300" s="0" t="n">
        <v>26</v>
      </c>
      <c r="B2300" s="0" t="s">
        <v>62</v>
      </c>
      <c r="C2300" s="0" t="n">
        <v>2011</v>
      </c>
      <c r="D2300" s="0" t="n">
        <v>12</v>
      </c>
      <c r="E2300" s="38" t="n">
        <v>396377.96</v>
      </c>
    </row>
    <row r="2301" customFormat="false" ht="15" hidden="false" customHeight="false" outlineLevel="0" collapsed="false">
      <c r="A2301" s="0" t="n">
        <v>26</v>
      </c>
      <c r="B2301" s="0" t="s">
        <v>62</v>
      </c>
      <c r="C2301" s="0" t="n">
        <v>2012</v>
      </c>
      <c r="D2301" s="0" t="n">
        <v>1</v>
      </c>
      <c r="E2301" s="38" t="n">
        <v>520253.52</v>
      </c>
    </row>
    <row r="2302" customFormat="false" ht="15" hidden="false" customHeight="false" outlineLevel="0" collapsed="false">
      <c r="A2302" s="0" t="n">
        <v>26</v>
      </c>
      <c r="B2302" s="0" t="s">
        <v>62</v>
      </c>
      <c r="C2302" s="0" t="n">
        <v>2012</v>
      </c>
      <c r="D2302" s="0" t="n">
        <v>2</v>
      </c>
      <c r="E2302" s="38" t="n">
        <v>538677.03</v>
      </c>
    </row>
    <row r="2303" customFormat="false" ht="15" hidden="false" customHeight="false" outlineLevel="0" collapsed="false">
      <c r="A2303" s="0" t="n">
        <v>26</v>
      </c>
      <c r="B2303" s="0" t="s">
        <v>62</v>
      </c>
      <c r="C2303" s="0" t="n">
        <v>2012</v>
      </c>
      <c r="D2303" s="0" t="n">
        <v>3</v>
      </c>
      <c r="E2303" s="38" t="n">
        <v>549774.37</v>
      </c>
    </row>
    <row r="2304" customFormat="false" ht="15" hidden="false" customHeight="false" outlineLevel="0" collapsed="false">
      <c r="A2304" s="0" t="n">
        <v>26</v>
      </c>
      <c r="B2304" s="0" t="s">
        <v>62</v>
      </c>
      <c r="C2304" s="0" t="n">
        <v>2012</v>
      </c>
      <c r="D2304" s="0" t="n">
        <v>4</v>
      </c>
      <c r="E2304" s="38" t="n">
        <v>532491.44</v>
      </c>
    </row>
    <row r="2305" customFormat="false" ht="15" hidden="false" customHeight="false" outlineLevel="0" collapsed="false">
      <c r="A2305" s="0" t="n">
        <v>26</v>
      </c>
      <c r="B2305" s="0" t="s">
        <v>62</v>
      </c>
      <c r="C2305" s="0" t="n">
        <v>2012</v>
      </c>
      <c r="D2305" s="0" t="n">
        <v>5</v>
      </c>
      <c r="E2305" s="38" t="n">
        <v>498797.77</v>
      </c>
    </row>
    <row r="2306" customFormat="false" ht="15" hidden="false" customHeight="false" outlineLevel="0" collapsed="false">
      <c r="A2306" s="0" t="n">
        <v>26</v>
      </c>
      <c r="B2306" s="0" t="s">
        <v>62</v>
      </c>
      <c r="C2306" s="0" t="n">
        <v>2012</v>
      </c>
      <c r="D2306" s="0" t="n">
        <v>6</v>
      </c>
      <c r="E2306" s="38" t="n">
        <v>423467.9</v>
      </c>
    </row>
    <row r="2307" customFormat="false" ht="15" hidden="false" customHeight="false" outlineLevel="0" collapsed="false">
      <c r="A2307" s="0" t="n">
        <v>26</v>
      </c>
      <c r="B2307" s="0" t="s">
        <v>62</v>
      </c>
      <c r="C2307" s="0" t="n">
        <v>2012</v>
      </c>
      <c r="D2307" s="0" t="n">
        <v>7</v>
      </c>
      <c r="E2307" s="38" t="n">
        <v>446401.6</v>
      </c>
    </row>
    <row r="2308" customFormat="false" ht="15" hidden="false" customHeight="false" outlineLevel="0" collapsed="false">
      <c r="A2308" s="0" t="n">
        <v>26</v>
      </c>
      <c r="B2308" s="0" t="s">
        <v>62</v>
      </c>
      <c r="C2308" s="0" t="n">
        <v>2012</v>
      </c>
      <c r="D2308" s="0" t="n">
        <v>8</v>
      </c>
      <c r="E2308" s="38" t="n">
        <v>525428.43</v>
      </c>
    </row>
    <row r="2309" customFormat="false" ht="15" hidden="false" customHeight="false" outlineLevel="0" collapsed="false">
      <c r="A2309" s="0" t="n">
        <v>26</v>
      </c>
      <c r="B2309" s="0" t="s">
        <v>62</v>
      </c>
      <c r="C2309" s="0" t="n">
        <v>2012</v>
      </c>
      <c r="D2309" s="0" t="n">
        <v>9</v>
      </c>
      <c r="E2309" s="38" t="n">
        <v>687952.88</v>
      </c>
    </row>
    <row r="2310" customFormat="false" ht="15" hidden="false" customHeight="false" outlineLevel="0" collapsed="false">
      <c r="A2310" s="0" t="n">
        <v>26</v>
      </c>
      <c r="B2310" s="0" t="s">
        <v>62</v>
      </c>
      <c r="C2310" s="0" t="n">
        <v>2012</v>
      </c>
      <c r="D2310" s="0" t="n">
        <v>10</v>
      </c>
      <c r="E2310" s="38" t="n">
        <v>708244.99</v>
      </c>
    </row>
    <row r="2311" customFormat="false" ht="15" hidden="false" customHeight="false" outlineLevel="0" collapsed="false">
      <c r="A2311" s="0" t="n">
        <v>26</v>
      </c>
      <c r="B2311" s="0" t="s">
        <v>62</v>
      </c>
      <c r="C2311" s="0" t="n">
        <v>2012</v>
      </c>
      <c r="D2311" s="0" t="n">
        <v>11</v>
      </c>
      <c r="E2311" s="38" t="n">
        <v>707619.23</v>
      </c>
    </row>
    <row r="2312" customFormat="false" ht="15" hidden="false" customHeight="false" outlineLevel="0" collapsed="false">
      <c r="A2312" s="0" t="n">
        <v>26</v>
      </c>
      <c r="B2312" s="0" t="s">
        <v>62</v>
      </c>
      <c r="C2312" s="0" t="n">
        <v>2012</v>
      </c>
      <c r="D2312" s="0" t="n">
        <v>12</v>
      </c>
      <c r="E2312" s="38" t="n">
        <v>376308.97</v>
      </c>
    </row>
    <row r="2313" customFormat="false" ht="15" hidden="false" customHeight="false" outlineLevel="0" collapsed="false">
      <c r="A2313" s="0" t="n">
        <v>26</v>
      </c>
      <c r="B2313" s="0" t="s">
        <v>62</v>
      </c>
      <c r="C2313" s="0" t="n">
        <v>2013</v>
      </c>
      <c r="D2313" s="0" t="n">
        <v>1</v>
      </c>
      <c r="E2313" s="38" t="n">
        <v>534649.18</v>
      </c>
    </row>
    <row r="2314" customFormat="false" ht="15" hidden="false" customHeight="false" outlineLevel="0" collapsed="false">
      <c r="A2314" s="0" t="n">
        <v>26</v>
      </c>
      <c r="B2314" s="0" t="s">
        <v>62</v>
      </c>
      <c r="C2314" s="0" t="n">
        <v>2013</v>
      </c>
      <c r="D2314" s="0" t="n">
        <v>2</v>
      </c>
      <c r="E2314" s="38" t="n">
        <v>591357.07</v>
      </c>
    </row>
    <row r="2315" customFormat="false" ht="15" hidden="false" customHeight="false" outlineLevel="0" collapsed="false">
      <c r="A2315" s="0" t="n">
        <v>26</v>
      </c>
      <c r="B2315" s="0" t="s">
        <v>62</v>
      </c>
      <c r="C2315" s="0" t="n">
        <v>2013</v>
      </c>
      <c r="D2315" s="0" t="n">
        <v>3</v>
      </c>
      <c r="E2315" s="38" t="n">
        <v>545808.96</v>
      </c>
    </row>
    <row r="2316" customFormat="false" ht="15" hidden="false" customHeight="false" outlineLevel="0" collapsed="false">
      <c r="A2316" s="0" t="n">
        <v>26</v>
      </c>
      <c r="B2316" s="0" t="s">
        <v>62</v>
      </c>
      <c r="C2316" s="0" t="n">
        <v>2013</v>
      </c>
      <c r="D2316" s="0" t="n">
        <v>4</v>
      </c>
      <c r="E2316" s="38" t="n">
        <v>497555.89</v>
      </c>
    </row>
    <row r="2317" customFormat="false" ht="15" hidden="false" customHeight="false" outlineLevel="0" collapsed="false">
      <c r="A2317" s="0" t="n">
        <v>26</v>
      </c>
      <c r="B2317" s="0" t="s">
        <v>62</v>
      </c>
      <c r="C2317" s="0" t="n">
        <v>2013</v>
      </c>
      <c r="D2317" s="0" t="n">
        <v>5</v>
      </c>
      <c r="E2317" s="38" t="n">
        <v>444939.53</v>
      </c>
    </row>
    <row r="2318" customFormat="false" ht="15" hidden="false" customHeight="false" outlineLevel="0" collapsed="false">
      <c r="A2318" s="0" t="n">
        <v>26</v>
      </c>
      <c r="B2318" s="0" t="s">
        <v>62</v>
      </c>
      <c r="C2318" s="0" t="n">
        <v>2013</v>
      </c>
      <c r="D2318" s="0" t="n">
        <v>6</v>
      </c>
      <c r="E2318" s="38" t="n">
        <v>409495.95</v>
      </c>
    </row>
    <row r="2319" customFormat="false" ht="15" hidden="false" customHeight="false" outlineLevel="0" collapsed="false">
      <c r="A2319" s="0" t="n">
        <v>26</v>
      </c>
      <c r="B2319" s="0" t="s">
        <v>62</v>
      </c>
      <c r="C2319" s="0" t="n">
        <v>2013</v>
      </c>
      <c r="D2319" s="0" t="n">
        <v>7</v>
      </c>
      <c r="E2319" s="38" t="n">
        <v>472630.31</v>
      </c>
    </row>
    <row r="2320" customFormat="false" ht="15" hidden="false" customHeight="false" outlineLevel="0" collapsed="false">
      <c r="A2320" s="0" t="n">
        <v>26</v>
      </c>
      <c r="B2320" s="0" t="s">
        <v>62</v>
      </c>
      <c r="C2320" s="0" t="n">
        <v>2013</v>
      </c>
      <c r="D2320" s="0" t="n">
        <v>8</v>
      </c>
      <c r="E2320" s="38" t="n">
        <v>572876.53</v>
      </c>
    </row>
    <row r="2321" customFormat="false" ht="15" hidden="false" customHeight="false" outlineLevel="0" collapsed="false">
      <c r="A2321" s="0" t="n">
        <v>26</v>
      </c>
      <c r="B2321" s="0" t="s">
        <v>64</v>
      </c>
      <c r="C2321" s="0" t="n">
        <v>2011</v>
      </c>
      <c r="D2321" s="0" t="n">
        <v>1</v>
      </c>
      <c r="E2321" s="38" t="n">
        <v>10.29</v>
      </c>
    </row>
    <row r="2322" customFormat="false" ht="15" hidden="false" customHeight="false" outlineLevel="0" collapsed="false">
      <c r="A2322" s="0" t="n">
        <v>26</v>
      </c>
      <c r="B2322" s="0" t="s">
        <v>64</v>
      </c>
      <c r="C2322" s="0" t="n">
        <v>2011</v>
      </c>
      <c r="D2322" s="0" t="n">
        <v>2</v>
      </c>
      <c r="E2322" s="38" t="n">
        <v>41</v>
      </c>
    </row>
    <row r="2323" customFormat="false" ht="15" hidden="false" customHeight="false" outlineLevel="0" collapsed="false">
      <c r="A2323" s="0" t="n">
        <v>26</v>
      </c>
      <c r="B2323" s="0" t="s">
        <v>64</v>
      </c>
      <c r="C2323" s="0" t="n">
        <v>2011</v>
      </c>
      <c r="D2323" s="0" t="n">
        <v>3</v>
      </c>
      <c r="E2323" s="38" t="n">
        <v>42.92</v>
      </c>
    </row>
    <row r="2324" customFormat="false" ht="15" hidden="false" customHeight="false" outlineLevel="0" collapsed="false">
      <c r="A2324" s="0" t="n">
        <v>26</v>
      </c>
      <c r="B2324" s="0" t="s">
        <v>64</v>
      </c>
      <c r="C2324" s="0" t="n">
        <v>2011</v>
      </c>
      <c r="D2324" s="0" t="n">
        <v>4</v>
      </c>
      <c r="E2324" s="38" t="n">
        <v>15.14</v>
      </c>
    </row>
    <row r="2325" customFormat="false" ht="15" hidden="false" customHeight="false" outlineLevel="0" collapsed="false">
      <c r="A2325" s="0" t="n">
        <v>26</v>
      </c>
      <c r="B2325" s="0" t="s">
        <v>64</v>
      </c>
      <c r="C2325" s="0" t="n">
        <v>2011</v>
      </c>
      <c r="D2325" s="0" t="n">
        <v>5</v>
      </c>
      <c r="E2325" s="38" t="n">
        <v>109.5</v>
      </c>
    </row>
    <row r="2326" customFormat="false" ht="15" hidden="false" customHeight="false" outlineLevel="0" collapsed="false">
      <c r="A2326" s="0" t="n">
        <v>26</v>
      </c>
      <c r="B2326" s="0" t="s">
        <v>64</v>
      </c>
      <c r="C2326" s="0" t="n">
        <v>2011</v>
      </c>
      <c r="D2326" s="0" t="n">
        <v>6</v>
      </c>
      <c r="E2326" s="38" t="n">
        <v>24.71</v>
      </c>
    </row>
    <row r="2327" customFormat="false" ht="15" hidden="false" customHeight="false" outlineLevel="0" collapsed="false">
      <c r="A2327" s="0" t="n">
        <v>26</v>
      </c>
      <c r="B2327" s="0" t="s">
        <v>64</v>
      </c>
      <c r="C2327" s="0" t="n">
        <v>2011</v>
      </c>
      <c r="D2327" s="0" t="n">
        <v>7</v>
      </c>
      <c r="E2327" s="38" t="n">
        <v>25.82</v>
      </c>
    </row>
    <row r="2328" customFormat="false" ht="15" hidden="false" customHeight="false" outlineLevel="0" collapsed="false">
      <c r="A2328" s="0" t="n">
        <v>26</v>
      </c>
      <c r="B2328" s="0" t="s">
        <v>64</v>
      </c>
      <c r="C2328" s="0" t="n">
        <v>2011</v>
      </c>
      <c r="D2328" s="0" t="n">
        <v>8</v>
      </c>
      <c r="E2328" s="38" t="n">
        <v>27.44</v>
      </c>
    </row>
    <row r="2329" customFormat="false" ht="15" hidden="false" customHeight="false" outlineLevel="0" collapsed="false">
      <c r="A2329" s="0" t="n">
        <v>26</v>
      </c>
      <c r="B2329" s="0" t="s">
        <v>64</v>
      </c>
      <c r="C2329" s="0" t="n">
        <v>2011</v>
      </c>
      <c r="D2329" s="0" t="n">
        <v>9</v>
      </c>
      <c r="E2329" s="38" t="n">
        <v>28.82</v>
      </c>
    </row>
    <row r="2330" customFormat="false" ht="15" hidden="false" customHeight="false" outlineLevel="0" collapsed="false">
      <c r="A2330" s="0" t="n">
        <v>26</v>
      </c>
      <c r="B2330" s="0" t="s">
        <v>64</v>
      </c>
      <c r="C2330" s="0" t="n">
        <v>2011</v>
      </c>
      <c r="D2330" s="0" t="n">
        <v>10</v>
      </c>
      <c r="E2330" s="38" t="n">
        <v>16.46</v>
      </c>
    </row>
    <row r="2331" customFormat="false" ht="15" hidden="false" customHeight="false" outlineLevel="0" collapsed="false">
      <c r="A2331" s="0" t="n">
        <v>26</v>
      </c>
      <c r="B2331" s="0" t="s">
        <v>64</v>
      </c>
      <c r="C2331" s="0" t="n">
        <v>2011</v>
      </c>
      <c r="D2331" s="0" t="n">
        <v>11</v>
      </c>
      <c r="E2331" s="38" t="n">
        <v>40.29</v>
      </c>
    </row>
    <row r="2332" customFormat="false" ht="15" hidden="false" customHeight="false" outlineLevel="0" collapsed="false">
      <c r="A2332" s="0" t="n">
        <v>26</v>
      </c>
      <c r="B2332" s="0" t="s">
        <v>64</v>
      </c>
      <c r="C2332" s="0" t="n">
        <v>2011</v>
      </c>
      <c r="D2332" s="0" t="n">
        <v>12</v>
      </c>
      <c r="E2332" s="38" t="n">
        <v>20.23</v>
      </c>
    </row>
    <row r="2333" customFormat="false" ht="15" hidden="false" customHeight="false" outlineLevel="0" collapsed="false">
      <c r="A2333" s="0" t="n">
        <v>26</v>
      </c>
      <c r="B2333" s="0" t="s">
        <v>64</v>
      </c>
      <c r="C2333" s="0" t="n">
        <v>2012</v>
      </c>
      <c r="D2333" s="0" t="n">
        <v>1</v>
      </c>
      <c r="E2333" s="38" t="n">
        <v>10.65</v>
      </c>
    </row>
    <row r="2334" customFormat="false" ht="15" hidden="false" customHeight="false" outlineLevel="0" collapsed="false">
      <c r="A2334" s="0" t="n">
        <v>26</v>
      </c>
      <c r="B2334" s="0" t="s">
        <v>64</v>
      </c>
      <c r="C2334" s="0" t="n">
        <v>2012</v>
      </c>
      <c r="D2334" s="0" t="n">
        <v>2</v>
      </c>
      <c r="E2334" s="38" t="n">
        <v>12.08</v>
      </c>
    </row>
    <row r="2335" customFormat="false" ht="15" hidden="false" customHeight="false" outlineLevel="0" collapsed="false">
      <c r="A2335" s="0" t="n">
        <v>26</v>
      </c>
      <c r="B2335" s="0" t="s">
        <v>64</v>
      </c>
      <c r="C2335" s="0" t="n">
        <v>2012</v>
      </c>
      <c r="D2335" s="0" t="n">
        <v>3</v>
      </c>
      <c r="E2335" s="38" t="n">
        <v>28.29</v>
      </c>
    </row>
    <row r="2336" customFormat="false" ht="15" hidden="false" customHeight="false" outlineLevel="0" collapsed="false">
      <c r="A2336" s="0" t="n">
        <v>26</v>
      </c>
      <c r="B2336" s="0" t="s">
        <v>64</v>
      </c>
      <c r="C2336" s="0" t="n">
        <v>2012</v>
      </c>
      <c r="D2336" s="0" t="n">
        <v>4</v>
      </c>
      <c r="E2336" s="38" t="n">
        <v>39.39</v>
      </c>
    </row>
    <row r="2337" customFormat="false" ht="15" hidden="false" customHeight="false" outlineLevel="0" collapsed="false">
      <c r="A2337" s="0" t="n">
        <v>26</v>
      </c>
      <c r="B2337" s="0" t="s">
        <v>64</v>
      </c>
      <c r="C2337" s="0" t="n">
        <v>2012</v>
      </c>
      <c r="D2337" s="0" t="n">
        <v>5</v>
      </c>
      <c r="E2337" s="38" t="n">
        <v>12.57</v>
      </c>
    </row>
    <row r="2338" customFormat="false" ht="15" hidden="false" customHeight="false" outlineLevel="0" collapsed="false">
      <c r="A2338" s="0" t="n">
        <v>26</v>
      </c>
      <c r="B2338" s="0" t="s">
        <v>64</v>
      </c>
      <c r="C2338" s="0" t="n">
        <v>2012</v>
      </c>
      <c r="D2338" s="0" t="n">
        <v>6</v>
      </c>
      <c r="E2338" s="38" t="n">
        <v>42.58</v>
      </c>
    </row>
    <row r="2339" customFormat="false" ht="15" hidden="false" customHeight="false" outlineLevel="0" collapsed="false">
      <c r="A2339" s="0" t="n">
        <v>26</v>
      </c>
      <c r="B2339" s="0" t="s">
        <v>64</v>
      </c>
      <c r="C2339" s="0" t="n">
        <v>2012</v>
      </c>
      <c r="D2339" s="0" t="n">
        <v>7</v>
      </c>
      <c r="E2339" s="38" t="n">
        <v>18.31</v>
      </c>
    </row>
    <row r="2340" customFormat="false" ht="15" hidden="false" customHeight="false" outlineLevel="0" collapsed="false">
      <c r="A2340" s="0" t="n">
        <v>26</v>
      </c>
      <c r="B2340" s="0" t="s">
        <v>64</v>
      </c>
      <c r="C2340" s="0" t="n">
        <v>2012</v>
      </c>
      <c r="D2340" s="0" t="n">
        <v>8</v>
      </c>
      <c r="E2340" s="38" t="n">
        <v>19.25</v>
      </c>
    </row>
    <row r="2341" customFormat="false" ht="15" hidden="false" customHeight="false" outlineLevel="0" collapsed="false">
      <c r="A2341" s="0" t="n">
        <v>26</v>
      </c>
      <c r="B2341" s="0" t="s">
        <v>64</v>
      </c>
      <c r="C2341" s="0" t="n">
        <v>2012</v>
      </c>
      <c r="D2341" s="0" t="n">
        <v>9</v>
      </c>
      <c r="E2341" s="38" t="n">
        <v>14.2</v>
      </c>
    </row>
    <row r="2342" customFormat="false" ht="15" hidden="false" customHeight="false" outlineLevel="0" collapsed="false">
      <c r="A2342" s="0" t="n">
        <v>26</v>
      </c>
      <c r="B2342" s="0" t="s">
        <v>64</v>
      </c>
      <c r="C2342" s="0" t="n">
        <v>2012</v>
      </c>
      <c r="D2342" s="0" t="n">
        <v>10</v>
      </c>
      <c r="E2342" s="38" t="n">
        <v>29.77</v>
      </c>
    </row>
    <row r="2343" customFormat="false" ht="15" hidden="false" customHeight="false" outlineLevel="0" collapsed="false">
      <c r="A2343" s="0" t="n">
        <v>26</v>
      </c>
      <c r="B2343" s="0" t="s">
        <v>64</v>
      </c>
      <c r="C2343" s="0" t="n">
        <v>2012</v>
      </c>
      <c r="D2343" s="0" t="n">
        <v>11</v>
      </c>
      <c r="E2343" s="38" t="n">
        <v>113.07</v>
      </c>
    </row>
    <row r="2344" customFormat="false" ht="15" hidden="false" customHeight="false" outlineLevel="0" collapsed="false">
      <c r="A2344" s="0" t="n">
        <v>26</v>
      </c>
      <c r="B2344" s="0" t="s">
        <v>64</v>
      </c>
      <c r="C2344" s="0" t="n">
        <v>2012</v>
      </c>
      <c r="D2344" s="0" t="n">
        <v>12</v>
      </c>
      <c r="E2344" s="38" t="n">
        <v>31.59</v>
      </c>
    </row>
    <row r="2345" customFormat="false" ht="15" hidden="false" customHeight="false" outlineLevel="0" collapsed="false">
      <c r="A2345" s="0" t="n">
        <v>26</v>
      </c>
      <c r="B2345" s="0" t="s">
        <v>64</v>
      </c>
      <c r="C2345" s="0" t="n">
        <v>2013</v>
      </c>
      <c r="D2345" s="0" t="n">
        <v>1</v>
      </c>
      <c r="E2345" s="38" t="n">
        <v>27.88</v>
      </c>
    </row>
    <row r="2346" customFormat="false" ht="15" hidden="false" customHeight="false" outlineLevel="0" collapsed="false">
      <c r="A2346" s="0" t="n">
        <v>26</v>
      </c>
      <c r="B2346" s="0" t="s">
        <v>64</v>
      </c>
      <c r="C2346" s="0" t="n">
        <v>2013</v>
      </c>
      <c r="D2346" s="0" t="n">
        <v>2</v>
      </c>
      <c r="E2346" s="38" t="n">
        <v>121.14</v>
      </c>
    </row>
    <row r="2347" customFormat="false" ht="15" hidden="false" customHeight="false" outlineLevel="0" collapsed="false">
      <c r="A2347" s="0" t="n">
        <v>26</v>
      </c>
      <c r="B2347" s="0" t="s">
        <v>64</v>
      </c>
      <c r="C2347" s="0" t="n">
        <v>2013</v>
      </c>
      <c r="D2347" s="0" t="n">
        <v>3</v>
      </c>
      <c r="E2347" s="38" t="n">
        <v>567.35</v>
      </c>
    </row>
    <row r="2348" customFormat="false" ht="15" hidden="false" customHeight="false" outlineLevel="0" collapsed="false">
      <c r="A2348" s="0" t="n">
        <v>26</v>
      </c>
      <c r="B2348" s="0" t="s">
        <v>64</v>
      </c>
      <c r="C2348" s="0" t="n">
        <v>2013</v>
      </c>
      <c r="D2348" s="0" t="n">
        <v>4</v>
      </c>
      <c r="E2348" s="38" t="n">
        <v>490.11</v>
      </c>
    </row>
    <row r="2349" customFormat="false" ht="15" hidden="false" customHeight="false" outlineLevel="0" collapsed="false">
      <c r="A2349" s="0" t="n">
        <v>26</v>
      </c>
      <c r="B2349" s="0" t="s">
        <v>64</v>
      </c>
      <c r="C2349" s="0" t="n">
        <v>2013</v>
      </c>
      <c r="D2349" s="0" t="n">
        <v>5</v>
      </c>
      <c r="E2349" s="38" t="n">
        <v>727.92</v>
      </c>
    </row>
    <row r="2350" customFormat="false" ht="15" hidden="false" customHeight="false" outlineLevel="0" collapsed="false">
      <c r="A2350" s="0" t="n">
        <v>26</v>
      </c>
      <c r="B2350" s="0" t="s">
        <v>64</v>
      </c>
      <c r="C2350" s="0" t="n">
        <v>2013</v>
      </c>
      <c r="D2350" s="0" t="n">
        <v>6</v>
      </c>
      <c r="E2350" s="38" t="n">
        <v>492.39</v>
      </c>
    </row>
    <row r="2351" customFormat="false" ht="15" hidden="false" customHeight="false" outlineLevel="0" collapsed="false">
      <c r="A2351" s="0" t="n">
        <v>26</v>
      </c>
      <c r="B2351" s="0" t="s">
        <v>64</v>
      </c>
      <c r="C2351" s="0" t="n">
        <v>2013</v>
      </c>
      <c r="D2351" s="0" t="n">
        <v>7</v>
      </c>
      <c r="E2351" s="38" t="n">
        <v>483.35</v>
      </c>
    </row>
    <row r="2352" customFormat="false" ht="15" hidden="false" customHeight="false" outlineLevel="0" collapsed="false">
      <c r="A2352" s="0" t="n">
        <v>26</v>
      </c>
      <c r="B2352" s="0" t="s">
        <v>64</v>
      </c>
      <c r="C2352" s="0" t="n">
        <v>2013</v>
      </c>
      <c r="D2352" s="0" t="n">
        <v>8</v>
      </c>
      <c r="E2352" s="38" t="n">
        <v>591.81</v>
      </c>
    </row>
    <row r="2353" customFormat="false" ht="15" hidden="false" customHeight="false" outlineLevel="0" collapsed="false">
      <c r="A2353" s="0" t="n">
        <v>27</v>
      </c>
      <c r="B2353" s="0" t="s">
        <v>60</v>
      </c>
      <c r="C2353" s="0" t="n">
        <v>2011</v>
      </c>
      <c r="D2353" s="0" t="n">
        <v>1</v>
      </c>
      <c r="E2353" s="38" t="n">
        <v>167671.01</v>
      </c>
    </row>
    <row r="2354" customFormat="false" ht="15" hidden="false" customHeight="false" outlineLevel="0" collapsed="false">
      <c r="A2354" s="0" t="n">
        <v>27</v>
      </c>
      <c r="B2354" s="0" t="s">
        <v>60</v>
      </c>
      <c r="C2354" s="0" t="n">
        <v>2011</v>
      </c>
      <c r="D2354" s="0" t="n">
        <v>2</v>
      </c>
      <c r="E2354" s="38" t="n">
        <v>146607.8</v>
      </c>
    </row>
    <row r="2355" customFormat="false" ht="15" hidden="false" customHeight="false" outlineLevel="0" collapsed="false">
      <c r="A2355" s="0" t="n">
        <v>27</v>
      </c>
      <c r="B2355" s="0" t="s">
        <v>60</v>
      </c>
      <c r="C2355" s="0" t="n">
        <v>2011</v>
      </c>
      <c r="D2355" s="0" t="n">
        <v>3</v>
      </c>
      <c r="E2355" s="38" t="n">
        <v>121339.41</v>
      </c>
    </row>
    <row r="2356" customFormat="false" ht="15" hidden="false" customHeight="false" outlineLevel="0" collapsed="false">
      <c r="A2356" s="0" t="n">
        <v>27</v>
      </c>
      <c r="B2356" s="0" t="s">
        <v>60</v>
      </c>
      <c r="C2356" s="0" t="n">
        <v>2011</v>
      </c>
      <c r="D2356" s="0" t="n">
        <v>4</v>
      </c>
      <c r="E2356" s="38" t="n">
        <v>121749.14</v>
      </c>
    </row>
    <row r="2357" customFormat="false" ht="15" hidden="false" customHeight="false" outlineLevel="0" collapsed="false">
      <c r="A2357" s="0" t="n">
        <v>27</v>
      </c>
      <c r="B2357" s="0" t="s">
        <v>60</v>
      </c>
      <c r="C2357" s="0" t="n">
        <v>2011</v>
      </c>
      <c r="D2357" s="0" t="n">
        <v>5</v>
      </c>
      <c r="E2357" s="38" t="n">
        <v>105266.16</v>
      </c>
    </row>
    <row r="2358" customFormat="false" ht="15" hidden="false" customHeight="false" outlineLevel="0" collapsed="false">
      <c r="A2358" s="0" t="n">
        <v>27</v>
      </c>
      <c r="B2358" s="0" t="s">
        <v>60</v>
      </c>
      <c r="C2358" s="0" t="n">
        <v>2011</v>
      </c>
      <c r="D2358" s="0" t="n">
        <v>6</v>
      </c>
      <c r="E2358" s="38" t="n">
        <v>105552.85</v>
      </c>
    </row>
    <row r="2359" customFormat="false" ht="15" hidden="false" customHeight="false" outlineLevel="0" collapsed="false">
      <c r="A2359" s="0" t="n">
        <v>27</v>
      </c>
      <c r="B2359" s="0" t="s">
        <v>60</v>
      </c>
      <c r="C2359" s="0" t="n">
        <v>2011</v>
      </c>
      <c r="D2359" s="0" t="n">
        <v>7</v>
      </c>
      <c r="E2359" s="38" t="n">
        <v>146813.66</v>
      </c>
    </row>
    <row r="2360" customFormat="false" ht="15" hidden="false" customHeight="false" outlineLevel="0" collapsed="false">
      <c r="A2360" s="0" t="n">
        <v>27</v>
      </c>
      <c r="B2360" s="0" t="s">
        <v>60</v>
      </c>
      <c r="C2360" s="0" t="n">
        <v>2011</v>
      </c>
      <c r="D2360" s="0" t="n">
        <v>8</v>
      </c>
      <c r="E2360" s="38" t="n">
        <v>115164.07</v>
      </c>
    </row>
    <row r="2361" customFormat="false" ht="15" hidden="false" customHeight="false" outlineLevel="0" collapsed="false">
      <c r="A2361" s="0" t="n">
        <v>27</v>
      </c>
      <c r="B2361" s="0" t="s">
        <v>60</v>
      </c>
      <c r="C2361" s="0" t="n">
        <v>2011</v>
      </c>
      <c r="D2361" s="0" t="n">
        <v>9</v>
      </c>
      <c r="E2361" s="38" t="n">
        <v>161090.14</v>
      </c>
    </row>
    <row r="2362" customFormat="false" ht="15" hidden="false" customHeight="false" outlineLevel="0" collapsed="false">
      <c r="A2362" s="0" t="n">
        <v>27</v>
      </c>
      <c r="B2362" s="0" t="s">
        <v>60</v>
      </c>
      <c r="C2362" s="0" t="n">
        <v>2011</v>
      </c>
      <c r="D2362" s="0" t="n">
        <v>10</v>
      </c>
      <c r="E2362" s="38" t="n">
        <v>199217.96</v>
      </c>
    </row>
    <row r="2363" customFormat="false" ht="15" hidden="false" customHeight="false" outlineLevel="0" collapsed="false">
      <c r="A2363" s="0" t="n">
        <v>27</v>
      </c>
      <c r="B2363" s="0" t="s">
        <v>60</v>
      </c>
      <c r="C2363" s="0" t="n">
        <v>2011</v>
      </c>
      <c r="D2363" s="0" t="n">
        <v>11</v>
      </c>
      <c r="E2363" s="38" t="n">
        <v>329285.63</v>
      </c>
    </row>
    <row r="2364" customFormat="false" ht="15" hidden="false" customHeight="false" outlineLevel="0" collapsed="false">
      <c r="A2364" s="0" t="n">
        <v>27</v>
      </c>
      <c r="B2364" s="0" t="s">
        <v>60</v>
      </c>
      <c r="C2364" s="0" t="n">
        <v>2011</v>
      </c>
      <c r="D2364" s="0" t="n">
        <v>12</v>
      </c>
      <c r="E2364" s="38" t="n">
        <v>161370.39</v>
      </c>
    </row>
    <row r="2365" customFormat="false" ht="15" hidden="false" customHeight="false" outlineLevel="0" collapsed="false">
      <c r="A2365" s="0" t="n">
        <v>27</v>
      </c>
      <c r="B2365" s="0" t="s">
        <v>60</v>
      </c>
      <c r="C2365" s="0" t="n">
        <v>2012</v>
      </c>
      <c r="D2365" s="0" t="n">
        <v>1</v>
      </c>
      <c r="E2365" s="38" t="n">
        <v>156763.29</v>
      </c>
    </row>
    <row r="2366" customFormat="false" ht="15" hidden="false" customHeight="false" outlineLevel="0" collapsed="false">
      <c r="A2366" s="0" t="n">
        <v>27</v>
      </c>
      <c r="B2366" s="0" t="s">
        <v>60</v>
      </c>
      <c r="C2366" s="0" t="n">
        <v>2012</v>
      </c>
      <c r="D2366" s="0" t="n">
        <v>2</v>
      </c>
      <c r="E2366" s="38" t="n">
        <v>135773.78</v>
      </c>
    </row>
    <row r="2367" customFormat="false" ht="15" hidden="false" customHeight="false" outlineLevel="0" collapsed="false">
      <c r="A2367" s="0" t="n">
        <v>27</v>
      </c>
      <c r="B2367" s="0" t="s">
        <v>60</v>
      </c>
      <c r="C2367" s="0" t="n">
        <v>2012</v>
      </c>
      <c r="D2367" s="0" t="n">
        <v>3</v>
      </c>
      <c r="E2367" s="38" t="n">
        <v>115109.84</v>
      </c>
    </row>
    <row r="2368" customFormat="false" ht="15" hidden="false" customHeight="false" outlineLevel="0" collapsed="false">
      <c r="A2368" s="0" t="n">
        <v>27</v>
      </c>
      <c r="B2368" s="0" t="s">
        <v>60</v>
      </c>
      <c r="C2368" s="0" t="n">
        <v>2012</v>
      </c>
      <c r="D2368" s="0" t="n">
        <v>4</v>
      </c>
      <c r="E2368" s="38" t="n">
        <v>115795.92</v>
      </c>
    </row>
    <row r="2369" customFormat="false" ht="15" hidden="false" customHeight="false" outlineLevel="0" collapsed="false">
      <c r="A2369" s="0" t="n">
        <v>27</v>
      </c>
      <c r="B2369" s="0" t="s">
        <v>60</v>
      </c>
      <c r="C2369" s="0" t="n">
        <v>2012</v>
      </c>
      <c r="D2369" s="0" t="n">
        <v>5</v>
      </c>
      <c r="E2369" s="38" t="n">
        <v>100701.41</v>
      </c>
    </row>
    <row r="2370" customFormat="false" ht="15" hidden="false" customHeight="false" outlineLevel="0" collapsed="false">
      <c r="A2370" s="0" t="n">
        <v>27</v>
      </c>
      <c r="B2370" s="0" t="s">
        <v>60</v>
      </c>
      <c r="C2370" s="0" t="n">
        <v>2012</v>
      </c>
      <c r="D2370" s="0" t="n">
        <v>6</v>
      </c>
      <c r="E2370" s="38" t="n">
        <v>101780.78</v>
      </c>
    </row>
    <row r="2371" customFormat="false" ht="15" hidden="false" customHeight="false" outlineLevel="0" collapsed="false">
      <c r="A2371" s="0" t="n">
        <v>27</v>
      </c>
      <c r="B2371" s="0" t="s">
        <v>60</v>
      </c>
      <c r="C2371" s="0" t="n">
        <v>2012</v>
      </c>
      <c r="D2371" s="0" t="n">
        <v>7</v>
      </c>
      <c r="E2371" s="38" t="n">
        <v>131542.41</v>
      </c>
    </row>
    <row r="2372" customFormat="false" ht="15" hidden="false" customHeight="false" outlineLevel="0" collapsed="false">
      <c r="A2372" s="0" t="n">
        <v>27</v>
      </c>
      <c r="B2372" s="0" t="s">
        <v>60</v>
      </c>
      <c r="C2372" s="0" t="n">
        <v>2012</v>
      </c>
      <c r="D2372" s="0" t="n">
        <v>8</v>
      </c>
      <c r="E2372" s="38" t="n">
        <v>119012.35</v>
      </c>
    </row>
    <row r="2373" customFormat="false" ht="15" hidden="false" customHeight="false" outlineLevel="0" collapsed="false">
      <c r="A2373" s="0" t="n">
        <v>27</v>
      </c>
      <c r="B2373" s="0" t="s">
        <v>60</v>
      </c>
      <c r="C2373" s="0" t="n">
        <v>2012</v>
      </c>
      <c r="D2373" s="0" t="n">
        <v>9</v>
      </c>
      <c r="E2373" s="38" t="n">
        <v>162077.31</v>
      </c>
    </row>
    <row r="2374" customFormat="false" ht="15" hidden="false" customHeight="false" outlineLevel="0" collapsed="false">
      <c r="A2374" s="0" t="n">
        <v>27</v>
      </c>
      <c r="B2374" s="0" t="s">
        <v>60</v>
      </c>
      <c r="C2374" s="0" t="n">
        <v>2012</v>
      </c>
      <c r="D2374" s="0" t="n">
        <v>10</v>
      </c>
      <c r="E2374" s="38" t="n">
        <v>211106.55</v>
      </c>
    </row>
    <row r="2375" customFormat="false" ht="15" hidden="false" customHeight="false" outlineLevel="0" collapsed="false">
      <c r="A2375" s="0" t="n">
        <v>27</v>
      </c>
      <c r="B2375" s="0" t="s">
        <v>60</v>
      </c>
      <c r="C2375" s="0" t="n">
        <v>2012</v>
      </c>
      <c r="D2375" s="0" t="n">
        <v>11</v>
      </c>
      <c r="E2375" s="38" t="n">
        <v>337047.34</v>
      </c>
    </row>
    <row r="2376" customFormat="false" ht="15" hidden="false" customHeight="false" outlineLevel="0" collapsed="false">
      <c r="A2376" s="0" t="n">
        <v>27</v>
      </c>
      <c r="B2376" s="0" t="s">
        <v>60</v>
      </c>
      <c r="C2376" s="0" t="n">
        <v>2012</v>
      </c>
      <c r="D2376" s="0" t="n">
        <v>12</v>
      </c>
      <c r="E2376" s="38" t="n">
        <v>156242.71</v>
      </c>
    </row>
    <row r="2377" customFormat="false" ht="15" hidden="false" customHeight="false" outlineLevel="0" collapsed="false">
      <c r="A2377" s="0" t="n">
        <v>27</v>
      </c>
      <c r="B2377" s="0" t="s">
        <v>60</v>
      </c>
      <c r="C2377" s="0" t="n">
        <v>2013</v>
      </c>
      <c r="D2377" s="0" t="n">
        <v>1</v>
      </c>
      <c r="E2377" s="38" t="n">
        <v>174104.65</v>
      </c>
    </row>
    <row r="2378" customFormat="false" ht="15" hidden="false" customHeight="false" outlineLevel="0" collapsed="false">
      <c r="A2378" s="0" t="n">
        <v>27</v>
      </c>
      <c r="B2378" s="0" t="s">
        <v>60</v>
      </c>
      <c r="C2378" s="0" t="n">
        <v>2013</v>
      </c>
      <c r="D2378" s="0" t="n">
        <v>2</v>
      </c>
      <c r="E2378" s="38" t="n">
        <v>153128.9</v>
      </c>
    </row>
    <row r="2379" customFormat="false" ht="15" hidden="false" customHeight="false" outlineLevel="0" collapsed="false">
      <c r="A2379" s="0" t="n">
        <v>27</v>
      </c>
      <c r="B2379" s="0" t="s">
        <v>60</v>
      </c>
      <c r="C2379" s="0" t="n">
        <v>2013</v>
      </c>
      <c r="D2379" s="0" t="n">
        <v>3</v>
      </c>
      <c r="E2379" s="38" t="n">
        <v>124836.23</v>
      </c>
    </row>
    <row r="2380" customFormat="false" ht="15" hidden="false" customHeight="false" outlineLevel="0" collapsed="false">
      <c r="A2380" s="0" t="n">
        <v>27</v>
      </c>
      <c r="B2380" s="0" t="s">
        <v>60</v>
      </c>
      <c r="C2380" s="0" t="n">
        <v>2013</v>
      </c>
      <c r="D2380" s="0" t="n">
        <v>4</v>
      </c>
      <c r="E2380" s="38" t="n">
        <v>115883.28</v>
      </c>
    </row>
    <row r="2381" customFormat="false" ht="15" hidden="false" customHeight="false" outlineLevel="0" collapsed="false">
      <c r="A2381" s="0" t="n">
        <v>27</v>
      </c>
      <c r="B2381" s="0" t="s">
        <v>60</v>
      </c>
      <c r="C2381" s="0" t="n">
        <v>2013</v>
      </c>
      <c r="D2381" s="0" t="n">
        <v>5</v>
      </c>
      <c r="E2381" s="38" t="n">
        <v>107044.82</v>
      </c>
    </row>
    <row r="2382" customFormat="false" ht="15" hidden="false" customHeight="false" outlineLevel="0" collapsed="false">
      <c r="A2382" s="0" t="n">
        <v>27</v>
      </c>
      <c r="B2382" s="0" t="s">
        <v>60</v>
      </c>
      <c r="C2382" s="0" t="n">
        <v>2013</v>
      </c>
      <c r="D2382" s="0" t="n">
        <v>6</v>
      </c>
      <c r="E2382" s="38" t="n">
        <v>110104.36</v>
      </c>
    </row>
    <row r="2383" customFormat="false" ht="15" hidden="false" customHeight="false" outlineLevel="0" collapsed="false">
      <c r="A2383" s="0" t="n">
        <v>27</v>
      </c>
      <c r="B2383" s="0" t="s">
        <v>60</v>
      </c>
      <c r="C2383" s="0" t="n">
        <v>2013</v>
      </c>
      <c r="D2383" s="0" t="n">
        <v>7</v>
      </c>
      <c r="E2383" s="38" t="n">
        <v>146401.01</v>
      </c>
    </row>
    <row r="2384" customFormat="false" ht="15" hidden="false" customHeight="false" outlineLevel="0" collapsed="false">
      <c r="A2384" s="0" t="n">
        <v>27</v>
      </c>
      <c r="B2384" s="0" t="s">
        <v>60</v>
      </c>
      <c r="C2384" s="0" t="n">
        <v>2013</v>
      </c>
      <c r="D2384" s="0" t="n">
        <v>8</v>
      </c>
      <c r="E2384" s="38" t="n">
        <v>130241.81</v>
      </c>
    </row>
    <row r="2385" customFormat="false" ht="15" hidden="false" customHeight="false" outlineLevel="0" collapsed="false">
      <c r="A2385" s="0" t="n">
        <v>27</v>
      </c>
      <c r="B2385" s="0" t="s">
        <v>62</v>
      </c>
      <c r="C2385" s="0" t="n">
        <v>2011</v>
      </c>
      <c r="D2385" s="0" t="n">
        <v>1</v>
      </c>
      <c r="E2385" s="38" t="n">
        <v>135232.03</v>
      </c>
    </row>
    <row r="2386" customFormat="false" ht="15" hidden="false" customHeight="false" outlineLevel="0" collapsed="false">
      <c r="A2386" s="0" t="n">
        <v>27</v>
      </c>
      <c r="B2386" s="0" t="s">
        <v>62</v>
      </c>
      <c r="C2386" s="0" t="n">
        <v>2011</v>
      </c>
      <c r="D2386" s="0" t="n">
        <v>2</v>
      </c>
      <c r="E2386" s="38" t="n">
        <v>122710.09</v>
      </c>
    </row>
    <row r="2387" customFormat="false" ht="15" hidden="false" customHeight="false" outlineLevel="0" collapsed="false">
      <c r="A2387" s="0" t="n">
        <v>27</v>
      </c>
      <c r="B2387" s="0" t="s">
        <v>62</v>
      </c>
      <c r="C2387" s="0" t="n">
        <v>2011</v>
      </c>
      <c r="D2387" s="0" t="n">
        <v>3</v>
      </c>
      <c r="E2387" s="38" t="n">
        <v>105343.38</v>
      </c>
    </row>
    <row r="2388" customFormat="false" ht="15" hidden="false" customHeight="false" outlineLevel="0" collapsed="false">
      <c r="A2388" s="0" t="n">
        <v>27</v>
      </c>
      <c r="B2388" s="0" t="s">
        <v>62</v>
      </c>
      <c r="C2388" s="0" t="n">
        <v>2011</v>
      </c>
      <c r="D2388" s="0" t="n">
        <v>4</v>
      </c>
      <c r="E2388" s="38" t="n">
        <v>100241.16</v>
      </c>
    </row>
    <row r="2389" customFormat="false" ht="15" hidden="false" customHeight="false" outlineLevel="0" collapsed="false">
      <c r="A2389" s="0" t="n">
        <v>27</v>
      </c>
      <c r="B2389" s="0" t="s">
        <v>62</v>
      </c>
      <c r="C2389" s="0" t="n">
        <v>2011</v>
      </c>
      <c r="D2389" s="0" t="n">
        <v>5</v>
      </c>
      <c r="E2389" s="38" t="n">
        <v>89762.97</v>
      </c>
    </row>
    <row r="2390" customFormat="false" ht="15" hidden="false" customHeight="false" outlineLevel="0" collapsed="false">
      <c r="A2390" s="0" t="n">
        <v>27</v>
      </c>
      <c r="B2390" s="0" t="s">
        <v>62</v>
      </c>
      <c r="C2390" s="0" t="n">
        <v>2011</v>
      </c>
      <c r="D2390" s="0" t="n">
        <v>6</v>
      </c>
      <c r="E2390" s="38" t="n">
        <v>86717.9</v>
      </c>
    </row>
    <row r="2391" customFormat="false" ht="15" hidden="false" customHeight="false" outlineLevel="0" collapsed="false">
      <c r="A2391" s="0" t="n">
        <v>27</v>
      </c>
      <c r="B2391" s="0" t="s">
        <v>62</v>
      </c>
      <c r="C2391" s="0" t="n">
        <v>2011</v>
      </c>
      <c r="D2391" s="0" t="n">
        <v>7</v>
      </c>
      <c r="E2391" s="38" t="n">
        <v>115395.77</v>
      </c>
    </row>
    <row r="2392" customFormat="false" ht="15" hidden="false" customHeight="false" outlineLevel="0" collapsed="false">
      <c r="A2392" s="0" t="n">
        <v>27</v>
      </c>
      <c r="B2392" s="0" t="s">
        <v>62</v>
      </c>
      <c r="C2392" s="0" t="n">
        <v>2011</v>
      </c>
      <c r="D2392" s="0" t="n">
        <v>8</v>
      </c>
      <c r="E2392" s="38" t="n">
        <v>90263.01</v>
      </c>
    </row>
    <row r="2393" customFormat="false" ht="15" hidden="false" customHeight="false" outlineLevel="0" collapsed="false">
      <c r="A2393" s="0" t="n">
        <v>27</v>
      </c>
      <c r="B2393" s="0" t="s">
        <v>62</v>
      </c>
      <c r="C2393" s="0" t="n">
        <v>2011</v>
      </c>
      <c r="D2393" s="0" t="n">
        <v>9</v>
      </c>
      <c r="E2393" s="38" t="n">
        <v>127448.23</v>
      </c>
    </row>
    <row r="2394" customFormat="false" ht="15" hidden="false" customHeight="false" outlineLevel="0" collapsed="false">
      <c r="A2394" s="0" t="n">
        <v>27</v>
      </c>
      <c r="B2394" s="0" t="s">
        <v>62</v>
      </c>
      <c r="C2394" s="0" t="n">
        <v>2011</v>
      </c>
      <c r="D2394" s="0" t="n">
        <v>10</v>
      </c>
      <c r="E2394" s="38" t="n">
        <v>153512.65</v>
      </c>
    </row>
    <row r="2395" customFormat="false" ht="15" hidden="false" customHeight="false" outlineLevel="0" collapsed="false">
      <c r="A2395" s="0" t="n">
        <v>27</v>
      </c>
      <c r="B2395" s="0" t="s">
        <v>62</v>
      </c>
      <c r="C2395" s="0" t="n">
        <v>2011</v>
      </c>
      <c r="D2395" s="0" t="n">
        <v>11</v>
      </c>
      <c r="E2395" s="38" t="n">
        <v>233181.87</v>
      </c>
    </row>
    <row r="2396" customFormat="false" ht="15" hidden="false" customHeight="false" outlineLevel="0" collapsed="false">
      <c r="A2396" s="0" t="n">
        <v>27</v>
      </c>
      <c r="B2396" s="0" t="s">
        <v>62</v>
      </c>
      <c r="C2396" s="0" t="n">
        <v>2011</v>
      </c>
      <c r="D2396" s="0" t="n">
        <v>12</v>
      </c>
      <c r="E2396" s="38" t="n">
        <v>123960.46</v>
      </c>
    </row>
    <row r="2397" customFormat="false" ht="15" hidden="false" customHeight="false" outlineLevel="0" collapsed="false">
      <c r="A2397" s="0" t="n">
        <v>27</v>
      </c>
      <c r="B2397" s="0" t="s">
        <v>62</v>
      </c>
      <c r="C2397" s="0" t="n">
        <v>2012</v>
      </c>
      <c r="D2397" s="0" t="n">
        <v>1</v>
      </c>
      <c r="E2397" s="38" t="n">
        <v>126007.39</v>
      </c>
    </row>
    <row r="2398" customFormat="false" ht="15" hidden="false" customHeight="false" outlineLevel="0" collapsed="false">
      <c r="A2398" s="0" t="n">
        <v>27</v>
      </c>
      <c r="B2398" s="0" t="s">
        <v>62</v>
      </c>
      <c r="C2398" s="0" t="n">
        <v>2012</v>
      </c>
      <c r="D2398" s="0" t="n">
        <v>2</v>
      </c>
      <c r="E2398" s="38" t="n">
        <v>118791.14</v>
      </c>
    </row>
    <row r="2399" customFormat="false" ht="15" hidden="false" customHeight="false" outlineLevel="0" collapsed="false">
      <c r="A2399" s="0" t="n">
        <v>27</v>
      </c>
      <c r="B2399" s="0" t="s">
        <v>62</v>
      </c>
      <c r="C2399" s="0" t="n">
        <v>2012</v>
      </c>
      <c r="D2399" s="0" t="n">
        <v>3</v>
      </c>
      <c r="E2399" s="38" t="n">
        <v>101252.45</v>
      </c>
    </row>
    <row r="2400" customFormat="false" ht="15" hidden="false" customHeight="false" outlineLevel="0" collapsed="false">
      <c r="A2400" s="0" t="n">
        <v>27</v>
      </c>
      <c r="B2400" s="0" t="s">
        <v>62</v>
      </c>
      <c r="C2400" s="0" t="n">
        <v>2012</v>
      </c>
      <c r="D2400" s="0" t="n">
        <v>4</v>
      </c>
      <c r="E2400" s="38" t="n">
        <v>97710.95</v>
      </c>
    </row>
    <row r="2401" customFormat="false" ht="15" hidden="false" customHeight="false" outlineLevel="0" collapsed="false">
      <c r="A2401" s="0" t="n">
        <v>27</v>
      </c>
      <c r="B2401" s="0" t="s">
        <v>62</v>
      </c>
      <c r="C2401" s="0" t="n">
        <v>2012</v>
      </c>
      <c r="D2401" s="0" t="n">
        <v>5</v>
      </c>
      <c r="E2401" s="38" t="n">
        <v>87171.98</v>
      </c>
    </row>
    <row r="2402" customFormat="false" ht="15" hidden="false" customHeight="false" outlineLevel="0" collapsed="false">
      <c r="A2402" s="0" t="n">
        <v>27</v>
      </c>
      <c r="B2402" s="0" t="s">
        <v>62</v>
      </c>
      <c r="C2402" s="0" t="n">
        <v>2012</v>
      </c>
      <c r="D2402" s="0" t="n">
        <v>6</v>
      </c>
      <c r="E2402" s="38" t="n">
        <v>85283.23</v>
      </c>
    </row>
    <row r="2403" customFormat="false" ht="15" hidden="false" customHeight="false" outlineLevel="0" collapsed="false">
      <c r="A2403" s="0" t="n">
        <v>27</v>
      </c>
      <c r="B2403" s="0" t="s">
        <v>62</v>
      </c>
      <c r="C2403" s="0" t="n">
        <v>2012</v>
      </c>
      <c r="D2403" s="0" t="n">
        <v>7</v>
      </c>
      <c r="E2403" s="38" t="n">
        <v>103217.97</v>
      </c>
    </row>
    <row r="2404" customFormat="false" ht="15" hidden="false" customHeight="false" outlineLevel="0" collapsed="false">
      <c r="A2404" s="0" t="n">
        <v>27</v>
      </c>
      <c r="B2404" s="0" t="s">
        <v>62</v>
      </c>
      <c r="C2404" s="0" t="n">
        <v>2012</v>
      </c>
      <c r="D2404" s="0" t="n">
        <v>8</v>
      </c>
      <c r="E2404" s="38" t="n">
        <v>99303.33</v>
      </c>
    </row>
    <row r="2405" customFormat="false" ht="15" hidden="false" customHeight="false" outlineLevel="0" collapsed="false">
      <c r="A2405" s="0" t="n">
        <v>27</v>
      </c>
      <c r="B2405" s="0" t="s">
        <v>62</v>
      </c>
      <c r="C2405" s="0" t="n">
        <v>2012</v>
      </c>
      <c r="D2405" s="0" t="n">
        <v>9</v>
      </c>
      <c r="E2405" s="38" t="n">
        <v>130058.31</v>
      </c>
    </row>
    <row r="2406" customFormat="false" ht="15" hidden="false" customHeight="false" outlineLevel="0" collapsed="false">
      <c r="A2406" s="0" t="n">
        <v>27</v>
      </c>
      <c r="B2406" s="0" t="s">
        <v>62</v>
      </c>
      <c r="C2406" s="0" t="n">
        <v>2012</v>
      </c>
      <c r="D2406" s="0" t="n">
        <v>10</v>
      </c>
      <c r="E2406" s="38" t="n">
        <v>156086.9</v>
      </c>
    </row>
    <row r="2407" customFormat="false" ht="15" hidden="false" customHeight="false" outlineLevel="0" collapsed="false">
      <c r="A2407" s="0" t="n">
        <v>27</v>
      </c>
      <c r="B2407" s="0" t="s">
        <v>62</v>
      </c>
      <c r="C2407" s="0" t="n">
        <v>2012</v>
      </c>
      <c r="D2407" s="0" t="n">
        <v>11</v>
      </c>
      <c r="E2407" s="38" t="n">
        <v>238927.52</v>
      </c>
    </row>
    <row r="2408" customFormat="false" ht="15" hidden="false" customHeight="false" outlineLevel="0" collapsed="false">
      <c r="A2408" s="0" t="n">
        <v>27</v>
      </c>
      <c r="B2408" s="0" t="s">
        <v>62</v>
      </c>
      <c r="C2408" s="0" t="n">
        <v>2012</v>
      </c>
      <c r="D2408" s="0" t="n">
        <v>12</v>
      </c>
      <c r="E2408" s="38" t="n">
        <v>125158.6</v>
      </c>
    </row>
    <row r="2409" customFormat="false" ht="15" hidden="false" customHeight="false" outlineLevel="0" collapsed="false">
      <c r="A2409" s="0" t="n">
        <v>27</v>
      </c>
      <c r="B2409" s="0" t="s">
        <v>62</v>
      </c>
      <c r="C2409" s="0" t="n">
        <v>2013</v>
      </c>
      <c r="D2409" s="0" t="n">
        <v>1</v>
      </c>
      <c r="E2409" s="38" t="n">
        <v>130090.75</v>
      </c>
    </row>
    <row r="2410" customFormat="false" ht="15" hidden="false" customHeight="false" outlineLevel="0" collapsed="false">
      <c r="A2410" s="0" t="n">
        <v>27</v>
      </c>
      <c r="B2410" s="0" t="s">
        <v>62</v>
      </c>
      <c r="C2410" s="0" t="n">
        <v>2013</v>
      </c>
      <c r="D2410" s="0" t="n">
        <v>2</v>
      </c>
      <c r="E2410" s="38" t="n">
        <v>123850.23</v>
      </c>
    </row>
    <row r="2411" customFormat="false" ht="15" hidden="false" customHeight="false" outlineLevel="0" collapsed="false">
      <c r="A2411" s="0" t="n">
        <v>27</v>
      </c>
      <c r="B2411" s="0" t="s">
        <v>62</v>
      </c>
      <c r="C2411" s="0" t="n">
        <v>2013</v>
      </c>
      <c r="D2411" s="0" t="n">
        <v>3</v>
      </c>
      <c r="E2411" s="38" t="n">
        <v>104063.99</v>
      </c>
    </row>
    <row r="2412" customFormat="false" ht="15" hidden="false" customHeight="false" outlineLevel="0" collapsed="false">
      <c r="A2412" s="0" t="n">
        <v>27</v>
      </c>
      <c r="B2412" s="0" t="s">
        <v>62</v>
      </c>
      <c r="C2412" s="0" t="n">
        <v>2013</v>
      </c>
      <c r="D2412" s="0" t="n">
        <v>4</v>
      </c>
      <c r="E2412" s="38" t="n">
        <v>97203.55</v>
      </c>
    </row>
    <row r="2413" customFormat="false" ht="15" hidden="false" customHeight="false" outlineLevel="0" collapsed="false">
      <c r="A2413" s="0" t="n">
        <v>27</v>
      </c>
      <c r="B2413" s="0" t="s">
        <v>62</v>
      </c>
      <c r="C2413" s="0" t="n">
        <v>2013</v>
      </c>
      <c r="D2413" s="0" t="n">
        <v>5</v>
      </c>
      <c r="E2413" s="38" t="n">
        <v>89846.13</v>
      </c>
    </row>
    <row r="2414" customFormat="false" ht="15" hidden="false" customHeight="false" outlineLevel="0" collapsed="false">
      <c r="A2414" s="0" t="n">
        <v>27</v>
      </c>
      <c r="B2414" s="0" t="s">
        <v>62</v>
      </c>
      <c r="C2414" s="0" t="n">
        <v>2013</v>
      </c>
      <c r="D2414" s="0" t="n">
        <v>6</v>
      </c>
      <c r="E2414" s="38" t="n">
        <v>94190.09</v>
      </c>
    </row>
    <row r="2415" customFormat="false" ht="15" hidden="false" customHeight="false" outlineLevel="0" collapsed="false">
      <c r="A2415" s="0" t="n">
        <v>27</v>
      </c>
      <c r="B2415" s="0" t="s">
        <v>62</v>
      </c>
      <c r="C2415" s="0" t="n">
        <v>2013</v>
      </c>
      <c r="D2415" s="0" t="n">
        <v>7</v>
      </c>
      <c r="E2415" s="38" t="n">
        <v>114513.4</v>
      </c>
    </row>
    <row r="2416" customFormat="false" ht="15" hidden="false" customHeight="false" outlineLevel="0" collapsed="false">
      <c r="A2416" s="0" t="n">
        <v>27</v>
      </c>
      <c r="B2416" s="0" t="s">
        <v>62</v>
      </c>
      <c r="C2416" s="0" t="n">
        <v>2013</v>
      </c>
      <c r="D2416" s="0" t="n">
        <v>8</v>
      </c>
      <c r="E2416" s="38" t="n">
        <v>103368.64</v>
      </c>
    </row>
    <row r="2417" customFormat="false" ht="15" hidden="false" customHeight="false" outlineLevel="0" collapsed="false">
      <c r="A2417" s="0" t="n">
        <v>27</v>
      </c>
      <c r="B2417" s="0" t="s">
        <v>64</v>
      </c>
      <c r="C2417" s="0" t="n">
        <v>2011</v>
      </c>
      <c r="D2417" s="0" t="n">
        <v>11</v>
      </c>
      <c r="E2417" s="38" t="n">
        <v>6.5</v>
      </c>
    </row>
    <row r="2418" customFormat="false" ht="15" hidden="false" customHeight="false" outlineLevel="0" collapsed="false">
      <c r="A2418" s="0" t="n">
        <v>27</v>
      </c>
      <c r="B2418" s="0" t="s">
        <v>64</v>
      </c>
      <c r="C2418" s="0" t="n">
        <v>2011</v>
      </c>
      <c r="D2418" s="0" t="n">
        <v>12</v>
      </c>
      <c r="E2418" s="38" t="n">
        <v>0</v>
      </c>
    </row>
    <row r="2419" customFormat="false" ht="15" hidden="false" customHeight="false" outlineLevel="0" collapsed="false">
      <c r="A2419" s="0" t="n">
        <v>27</v>
      </c>
      <c r="B2419" s="0" t="s">
        <v>64</v>
      </c>
      <c r="C2419" s="0" t="n">
        <v>2012</v>
      </c>
      <c r="D2419" s="0" t="n">
        <v>2</v>
      </c>
      <c r="E2419" s="38" t="n">
        <v>240.52</v>
      </c>
    </row>
    <row r="2420" customFormat="false" ht="15" hidden="false" customHeight="false" outlineLevel="0" collapsed="false">
      <c r="A2420" s="0" t="n">
        <v>27</v>
      </c>
      <c r="B2420" s="0" t="s">
        <v>64</v>
      </c>
      <c r="C2420" s="0" t="n">
        <v>2012</v>
      </c>
      <c r="D2420" s="0" t="n">
        <v>3</v>
      </c>
      <c r="E2420" s="38" t="n">
        <v>293.3</v>
      </c>
    </row>
    <row r="2421" customFormat="false" ht="15" hidden="false" customHeight="false" outlineLevel="0" collapsed="false">
      <c r="A2421" s="0" t="n">
        <v>27</v>
      </c>
      <c r="B2421" s="0" t="s">
        <v>64</v>
      </c>
      <c r="C2421" s="0" t="n">
        <v>2012</v>
      </c>
      <c r="D2421" s="0" t="n">
        <v>4</v>
      </c>
      <c r="E2421" s="38" t="n">
        <v>324.21</v>
      </c>
    </row>
    <row r="2422" customFormat="false" ht="15" hidden="false" customHeight="false" outlineLevel="0" collapsed="false">
      <c r="A2422" s="0" t="n">
        <v>27</v>
      </c>
      <c r="B2422" s="0" t="s">
        <v>64</v>
      </c>
      <c r="C2422" s="0" t="n">
        <v>2012</v>
      </c>
      <c r="D2422" s="0" t="n">
        <v>5</v>
      </c>
      <c r="E2422" s="38" t="n">
        <v>248.23</v>
      </c>
    </row>
    <row r="2423" customFormat="false" ht="15" hidden="false" customHeight="false" outlineLevel="0" collapsed="false">
      <c r="A2423" s="0" t="n">
        <v>27</v>
      </c>
      <c r="B2423" s="0" t="s">
        <v>64</v>
      </c>
      <c r="C2423" s="0" t="n">
        <v>2012</v>
      </c>
      <c r="D2423" s="0" t="n">
        <v>6</v>
      </c>
      <c r="E2423" s="38" t="n">
        <v>271.86</v>
      </c>
    </row>
    <row r="2424" customFormat="false" ht="15" hidden="false" customHeight="false" outlineLevel="0" collapsed="false">
      <c r="A2424" s="0" t="n">
        <v>27</v>
      </c>
      <c r="B2424" s="0" t="s">
        <v>64</v>
      </c>
      <c r="C2424" s="0" t="n">
        <v>2012</v>
      </c>
      <c r="D2424" s="0" t="n">
        <v>7</v>
      </c>
      <c r="E2424" s="38" t="n">
        <v>197.29</v>
      </c>
    </row>
    <row r="2425" customFormat="false" ht="15" hidden="false" customHeight="false" outlineLevel="0" collapsed="false">
      <c r="A2425" s="0" t="n">
        <v>27</v>
      </c>
      <c r="B2425" s="0" t="s">
        <v>64</v>
      </c>
      <c r="C2425" s="0" t="n">
        <v>2012</v>
      </c>
      <c r="D2425" s="0" t="n">
        <v>8</v>
      </c>
      <c r="E2425" s="38" t="n">
        <v>189.56</v>
      </c>
    </row>
    <row r="2426" customFormat="false" ht="15" hidden="false" customHeight="false" outlineLevel="0" collapsed="false">
      <c r="A2426" s="0" t="n">
        <v>27</v>
      </c>
      <c r="B2426" s="0" t="s">
        <v>64</v>
      </c>
      <c r="C2426" s="0" t="n">
        <v>2012</v>
      </c>
      <c r="D2426" s="0" t="n">
        <v>9</v>
      </c>
      <c r="E2426" s="38" t="n">
        <v>346.02</v>
      </c>
    </row>
    <row r="2427" customFormat="false" ht="15" hidden="false" customHeight="false" outlineLevel="0" collapsed="false">
      <c r="A2427" s="0" t="n">
        <v>27</v>
      </c>
      <c r="B2427" s="0" t="s">
        <v>64</v>
      </c>
      <c r="C2427" s="0" t="n">
        <v>2012</v>
      </c>
      <c r="D2427" s="0" t="n">
        <v>10</v>
      </c>
      <c r="E2427" s="38" t="n">
        <v>280.33</v>
      </c>
    </row>
    <row r="2428" customFormat="false" ht="15" hidden="false" customHeight="false" outlineLevel="0" collapsed="false">
      <c r="A2428" s="0" t="n">
        <v>27</v>
      </c>
      <c r="B2428" s="0" t="s">
        <v>64</v>
      </c>
      <c r="C2428" s="0" t="n">
        <v>2012</v>
      </c>
      <c r="D2428" s="0" t="n">
        <v>11</v>
      </c>
      <c r="E2428" s="38" t="n">
        <v>294.06</v>
      </c>
    </row>
    <row r="2429" customFormat="false" ht="15" hidden="false" customHeight="false" outlineLevel="0" collapsed="false">
      <c r="A2429" s="0" t="n">
        <v>27</v>
      </c>
      <c r="B2429" s="0" t="s">
        <v>64</v>
      </c>
      <c r="C2429" s="0" t="n">
        <v>2012</v>
      </c>
      <c r="D2429" s="0" t="n">
        <v>12</v>
      </c>
      <c r="E2429" s="38" t="n">
        <v>349.14</v>
      </c>
    </row>
    <row r="2430" customFormat="false" ht="15" hidden="false" customHeight="false" outlineLevel="0" collapsed="false">
      <c r="A2430" s="0" t="n">
        <v>27</v>
      </c>
      <c r="B2430" s="0" t="s">
        <v>64</v>
      </c>
      <c r="C2430" s="0" t="n">
        <v>2013</v>
      </c>
      <c r="D2430" s="0" t="n">
        <v>1</v>
      </c>
      <c r="E2430" s="38" t="n">
        <v>327.83</v>
      </c>
    </row>
    <row r="2431" customFormat="false" ht="15" hidden="false" customHeight="false" outlineLevel="0" collapsed="false">
      <c r="A2431" s="0" t="n">
        <v>27</v>
      </c>
      <c r="B2431" s="0" t="s">
        <v>64</v>
      </c>
      <c r="C2431" s="0" t="n">
        <v>2013</v>
      </c>
      <c r="D2431" s="0" t="n">
        <v>2</v>
      </c>
      <c r="E2431" s="38" t="n">
        <v>257.49</v>
      </c>
    </row>
    <row r="2432" customFormat="false" ht="15" hidden="false" customHeight="false" outlineLevel="0" collapsed="false">
      <c r="A2432" s="0" t="n">
        <v>27</v>
      </c>
      <c r="B2432" s="0" t="s">
        <v>64</v>
      </c>
      <c r="C2432" s="0" t="n">
        <v>2013</v>
      </c>
      <c r="D2432" s="0" t="n">
        <v>3</v>
      </c>
      <c r="E2432" s="38" t="n">
        <v>169.13</v>
      </c>
    </row>
    <row r="2433" customFormat="false" ht="15" hidden="false" customHeight="false" outlineLevel="0" collapsed="false">
      <c r="A2433" s="0" t="n">
        <v>27</v>
      </c>
      <c r="B2433" s="0" t="s">
        <v>64</v>
      </c>
      <c r="C2433" s="0" t="n">
        <v>2013</v>
      </c>
      <c r="D2433" s="0" t="n">
        <v>4</v>
      </c>
      <c r="E2433" s="38" t="n">
        <v>301.33</v>
      </c>
    </row>
    <row r="2434" customFormat="false" ht="15" hidden="false" customHeight="false" outlineLevel="0" collapsed="false">
      <c r="A2434" s="0" t="n">
        <v>27</v>
      </c>
      <c r="B2434" s="0" t="s">
        <v>64</v>
      </c>
      <c r="C2434" s="0" t="n">
        <v>2013</v>
      </c>
      <c r="D2434" s="0" t="n">
        <v>5</v>
      </c>
      <c r="E2434" s="38" t="n">
        <v>457.1</v>
      </c>
    </row>
    <row r="2435" customFormat="false" ht="15" hidden="false" customHeight="false" outlineLevel="0" collapsed="false">
      <c r="A2435" s="0" t="n">
        <v>27</v>
      </c>
      <c r="B2435" s="0" t="s">
        <v>64</v>
      </c>
      <c r="C2435" s="0" t="n">
        <v>2013</v>
      </c>
      <c r="D2435" s="0" t="n">
        <v>6</v>
      </c>
      <c r="E2435" s="38" t="n">
        <v>566.73</v>
      </c>
    </row>
    <row r="2436" customFormat="false" ht="15" hidden="false" customHeight="false" outlineLevel="0" collapsed="false">
      <c r="A2436" s="0" t="n">
        <v>27</v>
      </c>
      <c r="B2436" s="0" t="s">
        <v>64</v>
      </c>
      <c r="C2436" s="0" t="n">
        <v>2013</v>
      </c>
      <c r="D2436" s="0" t="n">
        <v>7</v>
      </c>
      <c r="E2436" s="38" t="n">
        <v>447.95</v>
      </c>
    </row>
    <row r="2437" customFormat="false" ht="15" hidden="false" customHeight="false" outlineLevel="0" collapsed="false">
      <c r="A2437" s="0" t="n">
        <v>27</v>
      </c>
      <c r="B2437" s="0" t="s">
        <v>64</v>
      </c>
      <c r="C2437" s="0" t="n">
        <v>2013</v>
      </c>
      <c r="D2437" s="0" t="n">
        <v>8</v>
      </c>
      <c r="E2437" s="38" t="n">
        <v>396.07</v>
      </c>
    </row>
    <row r="2438" customFormat="false" ht="15" hidden="false" customHeight="false" outlineLevel="0" collapsed="false">
      <c r="A2438" s="0" t="n">
        <v>28</v>
      </c>
      <c r="B2438" s="0" t="s">
        <v>60</v>
      </c>
      <c r="C2438" s="0" t="n">
        <v>2011</v>
      </c>
      <c r="D2438" s="0" t="n">
        <v>1</v>
      </c>
      <c r="E2438" s="38" t="n">
        <v>73625.71</v>
      </c>
    </row>
    <row r="2439" customFormat="false" ht="15" hidden="false" customHeight="false" outlineLevel="0" collapsed="false">
      <c r="A2439" s="0" t="n">
        <v>28</v>
      </c>
      <c r="B2439" s="0" t="s">
        <v>60</v>
      </c>
      <c r="C2439" s="0" t="n">
        <v>2011</v>
      </c>
      <c r="D2439" s="0" t="n">
        <v>2</v>
      </c>
      <c r="E2439" s="38" t="n">
        <v>82916.67</v>
      </c>
    </row>
    <row r="2440" customFormat="false" ht="15" hidden="false" customHeight="false" outlineLevel="0" collapsed="false">
      <c r="A2440" s="0" t="n">
        <v>28</v>
      </c>
      <c r="B2440" s="0" t="s">
        <v>60</v>
      </c>
      <c r="C2440" s="0" t="n">
        <v>2011</v>
      </c>
      <c r="D2440" s="0" t="n">
        <v>3</v>
      </c>
      <c r="E2440" s="38" t="n">
        <v>74355.57</v>
      </c>
    </row>
    <row r="2441" customFormat="false" ht="15" hidden="false" customHeight="false" outlineLevel="0" collapsed="false">
      <c r="A2441" s="0" t="n">
        <v>28</v>
      </c>
      <c r="B2441" s="0" t="s">
        <v>60</v>
      </c>
      <c r="C2441" s="0" t="n">
        <v>2011</v>
      </c>
      <c r="D2441" s="0" t="n">
        <v>4</v>
      </c>
      <c r="E2441" s="38" t="n">
        <v>63382.32</v>
      </c>
    </row>
    <row r="2442" customFormat="false" ht="15" hidden="false" customHeight="false" outlineLevel="0" collapsed="false">
      <c r="A2442" s="0" t="n">
        <v>28</v>
      </c>
      <c r="B2442" s="0" t="s">
        <v>60</v>
      </c>
      <c r="C2442" s="0" t="n">
        <v>2011</v>
      </c>
      <c r="D2442" s="0" t="n">
        <v>5</v>
      </c>
      <c r="E2442" s="38" t="n">
        <v>44742.65</v>
      </c>
    </row>
    <row r="2443" customFormat="false" ht="15" hidden="false" customHeight="false" outlineLevel="0" collapsed="false">
      <c r="A2443" s="0" t="n">
        <v>28</v>
      </c>
      <c r="B2443" s="0" t="s">
        <v>60</v>
      </c>
      <c r="C2443" s="0" t="n">
        <v>2011</v>
      </c>
      <c r="D2443" s="0" t="n">
        <v>6</v>
      </c>
      <c r="E2443" s="38" t="n">
        <v>39851.14</v>
      </c>
    </row>
    <row r="2444" customFormat="false" ht="15" hidden="false" customHeight="false" outlineLevel="0" collapsed="false">
      <c r="A2444" s="0" t="n">
        <v>28</v>
      </c>
      <c r="B2444" s="0" t="s">
        <v>60</v>
      </c>
      <c r="C2444" s="0" t="n">
        <v>2011</v>
      </c>
      <c r="D2444" s="0" t="n">
        <v>7</v>
      </c>
      <c r="E2444" s="38" t="n">
        <v>42541.49</v>
      </c>
    </row>
    <row r="2445" customFormat="false" ht="15" hidden="false" customHeight="false" outlineLevel="0" collapsed="false">
      <c r="A2445" s="0" t="n">
        <v>28</v>
      </c>
      <c r="B2445" s="0" t="s">
        <v>60</v>
      </c>
      <c r="C2445" s="0" t="n">
        <v>2011</v>
      </c>
      <c r="D2445" s="0" t="n">
        <v>8</v>
      </c>
      <c r="E2445" s="38" t="n">
        <v>54089.61</v>
      </c>
    </row>
    <row r="2446" customFormat="false" ht="15" hidden="false" customHeight="false" outlineLevel="0" collapsed="false">
      <c r="A2446" s="0" t="n">
        <v>28</v>
      </c>
      <c r="B2446" s="0" t="s">
        <v>60</v>
      </c>
      <c r="C2446" s="0" t="n">
        <v>2011</v>
      </c>
      <c r="D2446" s="0" t="n">
        <v>9</v>
      </c>
      <c r="E2446" s="38" t="n">
        <v>94825.23</v>
      </c>
    </row>
    <row r="2447" customFormat="false" ht="15" hidden="false" customHeight="false" outlineLevel="0" collapsed="false">
      <c r="A2447" s="0" t="n">
        <v>28</v>
      </c>
      <c r="B2447" s="0" t="s">
        <v>60</v>
      </c>
      <c r="C2447" s="0" t="n">
        <v>2011</v>
      </c>
      <c r="D2447" s="0" t="n">
        <v>10</v>
      </c>
      <c r="E2447" s="38" t="n">
        <v>87529.91</v>
      </c>
    </row>
    <row r="2448" customFormat="false" ht="15" hidden="false" customHeight="false" outlineLevel="0" collapsed="false">
      <c r="A2448" s="0" t="n">
        <v>28</v>
      </c>
      <c r="B2448" s="0" t="s">
        <v>60</v>
      </c>
      <c r="C2448" s="0" t="n">
        <v>2011</v>
      </c>
      <c r="D2448" s="0" t="n">
        <v>11</v>
      </c>
      <c r="E2448" s="38" t="n">
        <v>97267.86</v>
      </c>
    </row>
    <row r="2449" customFormat="false" ht="15" hidden="false" customHeight="false" outlineLevel="0" collapsed="false">
      <c r="A2449" s="0" t="n">
        <v>28</v>
      </c>
      <c r="B2449" s="0" t="s">
        <v>60</v>
      </c>
      <c r="C2449" s="0" t="n">
        <v>2011</v>
      </c>
      <c r="D2449" s="0" t="n">
        <v>12</v>
      </c>
      <c r="E2449" s="38" t="n">
        <v>66913.79</v>
      </c>
    </row>
    <row r="2450" customFormat="false" ht="15" hidden="false" customHeight="false" outlineLevel="0" collapsed="false">
      <c r="A2450" s="0" t="n">
        <v>28</v>
      </c>
      <c r="B2450" s="0" t="s">
        <v>60</v>
      </c>
      <c r="C2450" s="0" t="n">
        <v>2012</v>
      </c>
      <c r="D2450" s="0" t="n">
        <v>1</v>
      </c>
      <c r="E2450" s="38" t="n">
        <v>65743.37</v>
      </c>
    </row>
    <row r="2451" customFormat="false" ht="15" hidden="false" customHeight="false" outlineLevel="0" collapsed="false">
      <c r="A2451" s="0" t="n">
        <v>28</v>
      </c>
      <c r="B2451" s="0" t="s">
        <v>60</v>
      </c>
      <c r="C2451" s="0" t="n">
        <v>2012</v>
      </c>
      <c r="D2451" s="0" t="n">
        <v>2</v>
      </c>
      <c r="E2451" s="38" t="n">
        <v>66392.01</v>
      </c>
    </row>
    <row r="2452" customFormat="false" ht="15" hidden="false" customHeight="false" outlineLevel="0" collapsed="false">
      <c r="A2452" s="0" t="n">
        <v>28</v>
      </c>
      <c r="B2452" s="0" t="s">
        <v>60</v>
      </c>
      <c r="C2452" s="0" t="n">
        <v>2012</v>
      </c>
      <c r="D2452" s="0" t="n">
        <v>3</v>
      </c>
      <c r="E2452" s="38" t="n">
        <v>63596.31</v>
      </c>
    </row>
    <row r="2453" customFormat="false" ht="15" hidden="false" customHeight="false" outlineLevel="0" collapsed="false">
      <c r="A2453" s="0" t="n">
        <v>28</v>
      </c>
      <c r="B2453" s="0" t="s">
        <v>60</v>
      </c>
      <c r="C2453" s="0" t="n">
        <v>2012</v>
      </c>
      <c r="D2453" s="0" t="n">
        <v>4</v>
      </c>
      <c r="E2453" s="38" t="n">
        <v>56060.54</v>
      </c>
    </row>
    <row r="2454" customFormat="false" ht="15" hidden="false" customHeight="false" outlineLevel="0" collapsed="false">
      <c r="A2454" s="0" t="n">
        <v>28</v>
      </c>
      <c r="B2454" s="0" t="s">
        <v>60</v>
      </c>
      <c r="C2454" s="0" t="n">
        <v>2012</v>
      </c>
      <c r="D2454" s="0" t="n">
        <v>5</v>
      </c>
      <c r="E2454" s="38" t="n">
        <v>39321.23</v>
      </c>
    </row>
    <row r="2455" customFormat="false" ht="15" hidden="false" customHeight="false" outlineLevel="0" collapsed="false">
      <c r="A2455" s="0" t="n">
        <v>28</v>
      </c>
      <c r="B2455" s="0" t="s">
        <v>60</v>
      </c>
      <c r="C2455" s="0" t="n">
        <v>2012</v>
      </c>
      <c r="D2455" s="0" t="n">
        <v>6</v>
      </c>
      <c r="E2455" s="38" t="n">
        <v>35023.64</v>
      </c>
    </row>
    <row r="2456" customFormat="false" ht="15" hidden="false" customHeight="false" outlineLevel="0" collapsed="false">
      <c r="A2456" s="0" t="n">
        <v>28</v>
      </c>
      <c r="B2456" s="0" t="s">
        <v>60</v>
      </c>
      <c r="C2456" s="0" t="n">
        <v>2012</v>
      </c>
      <c r="D2456" s="0" t="n">
        <v>7</v>
      </c>
      <c r="E2456" s="38" t="n">
        <v>36114.19</v>
      </c>
    </row>
    <row r="2457" customFormat="false" ht="15" hidden="false" customHeight="false" outlineLevel="0" collapsed="false">
      <c r="A2457" s="0" t="n">
        <v>28</v>
      </c>
      <c r="B2457" s="0" t="s">
        <v>60</v>
      </c>
      <c r="C2457" s="0" t="n">
        <v>2012</v>
      </c>
      <c r="D2457" s="0" t="n">
        <v>8</v>
      </c>
      <c r="E2457" s="38" t="n">
        <v>46671.92</v>
      </c>
    </row>
    <row r="2458" customFormat="false" ht="15" hidden="false" customHeight="false" outlineLevel="0" collapsed="false">
      <c r="A2458" s="0" t="n">
        <v>28</v>
      </c>
      <c r="B2458" s="0" t="s">
        <v>60</v>
      </c>
      <c r="C2458" s="0" t="n">
        <v>2012</v>
      </c>
      <c r="D2458" s="0" t="n">
        <v>9</v>
      </c>
      <c r="E2458" s="38" t="n">
        <v>79824.43</v>
      </c>
    </row>
    <row r="2459" customFormat="false" ht="15" hidden="false" customHeight="false" outlineLevel="0" collapsed="false">
      <c r="A2459" s="0" t="n">
        <v>28</v>
      </c>
      <c r="B2459" s="0" t="s">
        <v>60</v>
      </c>
      <c r="C2459" s="0" t="n">
        <v>2012</v>
      </c>
      <c r="D2459" s="0" t="n">
        <v>10</v>
      </c>
      <c r="E2459" s="38" t="n">
        <v>81559.97</v>
      </c>
    </row>
    <row r="2460" customFormat="false" ht="15" hidden="false" customHeight="false" outlineLevel="0" collapsed="false">
      <c r="A2460" s="0" t="n">
        <v>28</v>
      </c>
      <c r="B2460" s="0" t="s">
        <v>60</v>
      </c>
      <c r="C2460" s="0" t="n">
        <v>2012</v>
      </c>
      <c r="D2460" s="0" t="n">
        <v>11</v>
      </c>
      <c r="E2460" s="38" t="n">
        <v>92254.17</v>
      </c>
    </row>
    <row r="2461" customFormat="false" ht="15" hidden="false" customHeight="false" outlineLevel="0" collapsed="false">
      <c r="A2461" s="0" t="n">
        <v>28</v>
      </c>
      <c r="B2461" s="0" t="s">
        <v>60</v>
      </c>
      <c r="C2461" s="0" t="n">
        <v>2012</v>
      </c>
      <c r="D2461" s="0" t="n">
        <v>12</v>
      </c>
      <c r="E2461" s="38" t="n">
        <v>65442.41</v>
      </c>
    </row>
    <row r="2462" customFormat="false" ht="15" hidden="false" customHeight="false" outlineLevel="0" collapsed="false">
      <c r="A2462" s="0" t="n">
        <v>28</v>
      </c>
      <c r="B2462" s="0" t="s">
        <v>60</v>
      </c>
      <c r="C2462" s="0" t="n">
        <v>2013</v>
      </c>
      <c r="D2462" s="0" t="n">
        <v>1</v>
      </c>
      <c r="E2462" s="38" t="n">
        <v>68254.39</v>
      </c>
    </row>
    <row r="2463" customFormat="false" ht="15" hidden="false" customHeight="false" outlineLevel="0" collapsed="false">
      <c r="A2463" s="0" t="n">
        <v>28</v>
      </c>
      <c r="B2463" s="0" t="s">
        <v>60</v>
      </c>
      <c r="C2463" s="0" t="n">
        <v>2013</v>
      </c>
      <c r="D2463" s="0" t="n">
        <v>2</v>
      </c>
      <c r="E2463" s="38" t="n">
        <v>63848.05</v>
      </c>
    </row>
    <row r="2464" customFormat="false" ht="15" hidden="false" customHeight="false" outlineLevel="0" collapsed="false">
      <c r="A2464" s="0" t="n">
        <v>28</v>
      </c>
      <c r="B2464" s="0" t="s">
        <v>60</v>
      </c>
      <c r="C2464" s="0" t="n">
        <v>2013</v>
      </c>
      <c r="D2464" s="0" t="n">
        <v>3</v>
      </c>
      <c r="E2464" s="38" t="n">
        <v>59525.26</v>
      </c>
    </row>
    <row r="2465" customFormat="false" ht="15" hidden="false" customHeight="false" outlineLevel="0" collapsed="false">
      <c r="A2465" s="0" t="n">
        <v>28</v>
      </c>
      <c r="B2465" s="0" t="s">
        <v>60</v>
      </c>
      <c r="C2465" s="0" t="n">
        <v>2013</v>
      </c>
      <c r="D2465" s="0" t="n">
        <v>4</v>
      </c>
      <c r="E2465" s="38" t="n">
        <v>48916.1</v>
      </c>
    </row>
    <row r="2466" customFormat="false" ht="15" hidden="false" customHeight="false" outlineLevel="0" collapsed="false">
      <c r="A2466" s="0" t="n">
        <v>28</v>
      </c>
      <c r="B2466" s="0" t="s">
        <v>60</v>
      </c>
      <c r="C2466" s="0" t="n">
        <v>2013</v>
      </c>
      <c r="D2466" s="0" t="n">
        <v>5</v>
      </c>
      <c r="E2466" s="38" t="n">
        <v>38977.03</v>
      </c>
    </row>
    <row r="2467" customFormat="false" ht="15" hidden="false" customHeight="false" outlineLevel="0" collapsed="false">
      <c r="A2467" s="0" t="n">
        <v>28</v>
      </c>
      <c r="B2467" s="0" t="s">
        <v>60</v>
      </c>
      <c r="C2467" s="0" t="n">
        <v>2013</v>
      </c>
      <c r="D2467" s="0" t="n">
        <v>6</v>
      </c>
      <c r="E2467" s="38" t="n">
        <v>33788.92</v>
      </c>
    </row>
    <row r="2468" customFormat="false" ht="15" hidden="false" customHeight="false" outlineLevel="0" collapsed="false">
      <c r="A2468" s="0" t="n">
        <v>28</v>
      </c>
      <c r="B2468" s="0" t="s">
        <v>60</v>
      </c>
      <c r="C2468" s="0" t="n">
        <v>2013</v>
      </c>
      <c r="D2468" s="0" t="n">
        <v>7</v>
      </c>
      <c r="E2468" s="38" t="n">
        <v>35197.71</v>
      </c>
    </row>
    <row r="2469" customFormat="false" ht="15" hidden="false" customHeight="false" outlineLevel="0" collapsed="false">
      <c r="A2469" s="0" t="n">
        <v>28</v>
      </c>
      <c r="B2469" s="0" t="s">
        <v>60</v>
      </c>
      <c r="C2469" s="0" t="n">
        <v>2013</v>
      </c>
      <c r="D2469" s="0" t="n">
        <v>8</v>
      </c>
      <c r="E2469" s="38" t="n">
        <v>45875.74</v>
      </c>
    </row>
    <row r="2470" customFormat="false" ht="15" hidden="false" customHeight="false" outlineLevel="0" collapsed="false">
      <c r="A2470" s="0" t="n">
        <v>28</v>
      </c>
      <c r="B2470" s="0" t="s">
        <v>62</v>
      </c>
      <c r="C2470" s="0" t="n">
        <v>2011</v>
      </c>
      <c r="D2470" s="0" t="n">
        <v>1</v>
      </c>
      <c r="E2470" s="38" t="n">
        <v>62616.72</v>
      </c>
    </row>
    <row r="2471" customFormat="false" ht="15" hidden="false" customHeight="false" outlineLevel="0" collapsed="false">
      <c r="A2471" s="0" t="n">
        <v>28</v>
      </c>
      <c r="B2471" s="0" t="s">
        <v>62</v>
      </c>
      <c r="C2471" s="0" t="n">
        <v>2011</v>
      </c>
      <c r="D2471" s="0" t="n">
        <v>2</v>
      </c>
      <c r="E2471" s="38" t="n">
        <v>71731.79</v>
      </c>
    </row>
    <row r="2472" customFormat="false" ht="15" hidden="false" customHeight="false" outlineLevel="0" collapsed="false">
      <c r="A2472" s="0" t="n">
        <v>28</v>
      </c>
      <c r="B2472" s="0" t="s">
        <v>62</v>
      </c>
      <c r="C2472" s="0" t="n">
        <v>2011</v>
      </c>
      <c r="D2472" s="0" t="n">
        <v>3</v>
      </c>
      <c r="E2472" s="38" t="n">
        <v>62729.58</v>
      </c>
    </row>
    <row r="2473" customFormat="false" ht="15" hidden="false" customHeight="false" outlineLevel="0" collapsed="false">
      <c r="A2473" s="0" t="n">
        <v>28</v>
      </c>
      <c r="B2473" s="0" t="s">
        <v>62</v>
      </c>
      <c r="C2473" s="0" t="n">
        <v>2011</v>
      </c>
      <c r="D2473" s="0" t="n">
        <v>4</v>
      </c>
      <c r="E2473" s="38" t="n">
        <v>52827.38</v>
      </c>
    </row>
    <row r="2474" customFormat="false" ht="15" hidden="false" customHeight="false" outlineLevel="0" collapsed="false">
      <c r="A2474" s="0" t="n">
        <v>28</v>
      </c>
      <c r="B2474" s="0" t="s">
        <v>62</v>
      </c>
      <c r="C2474" s="0" t="n">
        <v>2011</v>
      </c>
      <c r="D2474" s="0" t="n">
        <v>5</v>
      </c>
      <c r="E2474" s="38" t="n">
        <v>38422.59</v>
      </c>
    </row>
    <row r="2475" customFormat="false" ht="15" hidden="false" customHeight="false" outlineLevel="0" collapsed="false">
      <c r="A2475" s="0" t="n">
        <v>28</v>
      </c>
      <c r="B2475" s="0" t="s">
        <v>62</v>
      </c>
      <c r="C2475" s="0" t="n">
        <v>2011</v>
      </c>
      <c r="D2475" s="0" t="n">
        <v>6</v>
      </c>
      <c r="E2475" s="38" t="n">
        <v>32187.62</v>
      </c>
    </row>
    <row r="2476" customFormat="false" ht="15" hidden="false" customHeight="false" outlineLevel="0" collapsed="false">
      <c r="A2476" s="0" t="n">
        <v>28</v>
      </c>
      <c r="B2476" s="0" t="s">
        <v>62</v>
      </c>
      <c r="C2476" s="0" t="n">
        <v>2011</v>
      </c>
      <c r="D2476" s="0" t="n">
        <v>7</v>
      </c>
      <c r="E2476" s="38" t="n">
        <v>33531.53</v>
      </c>
    </row>
    <row r="2477" customFormat="false" ht="15" hidden="false" customHeight="false" outlineLevel="0" collapsed="false">
      <c r="A2477" s="0" t="n">
        <v>28</v>
      </c>
      <c r="B2477" s="0" t="s">
        <v>62</v>
      </c>
      <c r="C2477" s="0" t="n">
        <v>2011</v>
      </c>
      <c r="D2477" s="0" t="n">
        <v>8</v>
      </c>
      <c r="E2477" s="38" t="n">
        <v>44731.02</v>
      </c>
    </row>
    <row r="2478" customFormat="false" ht="15" hidden="false" customHeight="false" outlineLevel="0" collapsed="false">
      <c r="A2478" s="0" t="n">
        <v>28</v>
      </c>
      <c r="B2478" s="0" t="s">
        <v>62</v>
      </c>
      <c r="C2478" s="0" t="n">
        <v>2011</v>
      </c>
      <c r="D2478" s="0" t="n">
        <v>9</v>
      </c>
      <c r="E2478" s="38" t="n">
        <v>79110.52</v>
      </c>
    </row>
    <row r="2479" customFormat="false" ht="15" hidden="false" customHeight="false" outlineLevel="0" collapsed="false">
      <c r="A2479" s="0" t="n">
        <v>28</v>
      </c>
      <c r="B2479" s="0" t="s">
        <v>62</v>
      </c>
      <c r="C2479" s="0" t="n">
        <v>2011</v>
      </c>
      <c r="D2479" s="0" t="n">
        <v>10</v>
      </c>
      <c r="E2479" s="38" t="n">
        <v>74227.98</v>
      </c>
    </row>
    <row r="2480" customFormat="false" ht="15" hidden="false" customHeight="false" outlineLevel="0" collapsed="false">
      <c r="A2480" s="0" t="n">
        <v>28</v>
      </c>
      <c r="B2480" s="0" t="s">
        <v>62</v>
      </c>
      <c r="C2480" s="0" t="n">
        <v>2011</v>
      </c>
      <c r="D2480" s="0" t="n">
        <v>11</v>
      </c>
      <c r="E2480" s="38" t="n">
        <v>80575.14</v>
      </c>
    </row>
    <row r="2481" customFormat="false" ht="15" hidden="false" customHeight="false" outlineLevel="0" collapsed="false">
      <c r="A2481" s="0" t="n">
        <v>28</v>
      </c>
      <c r="B2481" s="0" t="s">
        <v>62</v>
      </c>
      <c r="C2481" s="0" t="n">
        <v>2011</v>
      </c>
      <c r="D2481" s="0" t="n">
        <v>12</v>
      </c>
      <c r="E2481" s="38" t="n">
        <v>55495.63</v>
      </c>
    </row>
    <row r="2482" customFormat="false" ht="15" hidden="false" customHeight="false" outlineLevel="0" collapsed="false">
      <c r="A2482" s="0" t="n">
        <v>28</v>
      </c>
      <c r="B2482" s="0" t="s">
        <v>62</v>
      </c>
      <c r="C2482" s="0" t="n">
        <v>2012</v>
      </c>
      <c r="D2482" s="0" t="n">
        <v>1</v>
      </c>
      <c r="E2482" s="38" t="n">
        <v>53663.12</v>
      </c>
    </row>
    <row r="2483" customFormat="false" ht="15" hidden="false" customHeight="false" outlineLevel="0" collapsed="false">
      <c r="A2483" s="0" t="n">
        <v>28</v>
      </c>
      <c r="B2483" s="0" t="s">
        <v>62</v>
      </c>
      <c r="C2483" s="0" t="n">
        <v>2012</v>
      </c>
      <c r="D2483" s="0" t="n">
        <v>2</v>
      </c>
      <c r="E2483" s="38" t="n">
        <v>58095.39</v>
      </c>
    </row>
    <row r="2484" customFormat="false" ht="15" hidden="false" customHeight="false" outlineLevel="0" collapsed="false">
      <c r="A2484" s="0" t="n">
        <v>28</v>
      </c>
      <c r="B2484" s="0" t="s">
        <v>62</v>
      </c>
      <c r="C2484" s="0" t="n">
        <v>2012</v>
      </c>
      <c r="D2484" s="0" t="n">
        <v>3</v>
      </c>
      <c r="E2484" s="38" t="n">
        <v>56795.08</v>
      </c>
    </row>
    <row r="2485" customFormat="false" ht="15" hidden="false" customHeight="false" outlineLevel="0" collapsed="false">
      <c r="A2485" s="0" t="n">
        <v>28</v>
      </c>
      <c r="B2485" s="0" t="s">
        <v>62</v>
      </c>
      <c r="C2485" s="0" t="n">
        <v>2012</v>
      </c>
      <c r="D2485" s="0" t="n">
        <v>4</v>
      </c>
      <c r="E2485" s="38" t="n">
        <v>48959.28</v>
      </c>
    </row>
    <row r="2486" customFormat="false" ht="15" hidden="false" customHeight="false" outlineLevel="0" collapsed="false">
      <c r="A2486" s="0" t="n">
        <v>28</v>
      </c>
      <c r="B2486" s="0" t="s">
        <v>62</v>
      </c>
      <c r="C2486" s="0" t="n">
        <v>2012</v>
      </c>
      <c r="D2486" s="0" t="n">
        <v>5</v>
      </c>
      <c r="E2486" s="38" t="n">
        <v>34080.28</v>
      </c>
    </row>
    <row r="2487" customFormat="false" ht="15" hidden="false" customHeight="false" outlineLevel="0" collapsed="false">
      <c r="A2487" s="0" t="n">
        <v>28</v>
      </c>
      <c r="B2487" s="0" t="s">
        <v>62</v>
      </c>
      <c r="C2487" s="0" t="n">
        <v>2012</v>
      </c>
      <c r="D2487" s="0" t="n">
        <v>6</v>
      </c>
      <c r="E2487" s="38" t="n">
        <v>28179.51</v>
      </c>
    </row>
    <row r="2488" customFormat="false" ht="15" hidden="false" customHeight="false" outlineLevel="0" collapsed="false">
      <c r="A2488" s="0" t="n">
        <v>28</v>
      </c>
      <c r="B2488" s="0" t="s">
        <v>62</v>
      </c>
      <c r="C2488" s="0" t="n">
        <v>2012</v>
      </c>
      <c r="D2488" s="0" t="n">
        <v>7</v>
      </c>
      <c r="E2488" s="38" t="n">
        <v>28488.05</v>
      </c>
    </row>
    <row r="2489" customFormat="false" ht="15" hidden="false" customHeight="false" outlineLevel="0" collapsed="false">
      <c r="A2489" s="0" t="n">
        <v>28</v>
      </c>
      <c r="B2489" s="0" t="s">
        <v>62</v>
      </c>
      <c r="C2489" s="0" t="n">
        <v>2012</v>
      </c>
      <c r="D2489" s="0" t="n">
        <v>8</v>
      </c>
      <c r="E2489" s="38" t="n">
        <v>39851.93</v>
      </c>
    </row>
    <row r="2490" customFormat="false" ht="15" hidden="false" customHeight="false" outlineLevel="0" collapsed="false">
      <c r="A2490" s="0" t="n">
        <v>28</v>
      </c>
      <c r="B2490" s="0" t="s">
        <v>62</v>
      </c>
      <c r="C2490" s="0" t="n">
        <v>2012</v>
      </c>
      <c r="D2490" s="0" t="n">
        <v>9</v>
      </c>
      <c r="E2490" s="38" t="n">
        <v>65239.49</v>
      </c>
    </row>
    <row r="2491" customFormat="false" ht="15" hidden="false" customHeight="false" outlineLevel="0" collapsed="false">
      <c r="A2491" s="0" t="n">
        <v>28</v>
      </c>
      <c r="B2491" s="0" t="s">
        <v>62</v>
      </c>
      <c r="C2491" s="0" t="n">
        <v>2012</v>
      </c>
      <c r="D2491" s="0" t="n">
        <v>10</v>
      </c>
      <c r="E2491" s="38" t="n">
        <v>68269.37</v>
      </c>
    </row>
    <row r="2492" customFormat="false" ht="15" hidden="false" customHeight="false" outlineLevel="0" collapsed="false">
      <c r="A2492" s="0" t="n">
        <v>28</v>
      </c>
      <c r="B2492" s="0" t="s">
        <v>62</v>
      </c>
      <c r="C2492" s="0" t="n">
        <v>2012</v>
      </c>
      <c r="D2492" s="0" t="n">
        <v>11</v>
      </c>
      <c r="E2492" s="38" t="n">
        <v>76600.07</v>
      </c>
    </row>
    <row r="2493" customFormat="false" ht="15" hidden="false" customHeight="false" outlineLevel="0" collapsed="false">
      <c r="A2493" s="0" t="n">
        <v>28</v>
      </c>
      <c r="B2493" s="0" t="s">
        <v>62</v>
      </c>
      <c r="C2493" s="0" t="n">
        <v>2012</v>
      </c>
      <c r="D2493" s="0" t="n">
        <v>12</v>
      </c>
      <c r="E2493" s="38" t="n">
        <v>56727.69</v>
      </c>
    </row>
    <row r="2494" customFormat="false" ht="15" hidden="false" customHeight="false" outlineLevel="0" collapsed="false">
      <c r="A2494" s="0" t="n">
        <v>28</v>
      </c>
      <c r="B2494" s="0" t="s">
        <v>62</v>
      </c>
      <c r="C2494" s="0" t="n">
        <v>2013</v>
      </c>
      <c r="D2494" s="0" t="n">
        <v>1</v>
      </c>
      <c r="E2494" s="38" t="n">
        <v>54522.88</v>
      </c>
    </row>
    <row r="2495" customFormat="false" ht="15" hidden="false" customHeight="false" outlineLevel="0" collapsed="false">
      <c r="A2495" s="0" t="n">
        <v>28</v>
      </c>
      <c r="B2495" s="0" t="s">
        <v>62</v>
      </c>
      <c r="C2495" s="0" t="n">
        <v>2013</v>
      </c>
      <c r="D2495" s="0" t="n">
        <v>2</v>
      </c>
      <c r="E2495" s="38" t="n">
        <v>54730.61</v>
      </c>
    </row>
    <row r="2496" customFormat="false" ht="15" hidden="false" customHeight="false" outlineLevel="0" collapsed="false">
      <c r="A2496" s="0" t="n">
        <v>28</v>
      </c>
      <c r="B2496" s="0" t="s">
        <v>62</v>
      </c>
      <c r="C2496" s="0" t="n">
        <v>2013</v>
      </c>
      <c r="D2496" s="0" t="n">
        <v>3</v>
      </c>
      <c r="E2496" s="38" t="n">
        <v>49537.89</v>
      </c>
    </row>
    <row r="2497" customFormat="false" ht="15" hidden="false" customHeight="false" outlineLevel="0" collapsed="false">
      <c r="A2497" s="0" t="n">
        <v>28</v>
      </c>
      <c r="B2497" s="0" t="s">
        <v>62</v>
      </c>
      <c r="C2497" s="0" t="n">
        <v>2013</v>
      </c>
      <c r="D2497" s="0" t="n">
        <v>4</v>
      </c>
      <c r="E2497" s="38" t="n">
        <v>42976.81</v>
      </c>
    </row>
    <row r="2498" customFormat="false" ht="15" hidden="false" customHeight="false" outlineLevel="0" collapsed="false">
      <c r="A2498" s="0" t="n">
        <v>28</v>
      </c>
      <c r="B2498" s="0" t="s">
        <v>62</v>
      </c>
      <c r="C2498" s="0" t="n">
        <v>2013</v>
      </c>
      <c r="D2498" s="0" t="n">
        <v>5</v>
      </c>
      <c r="E2498" s="38" t="n">
        <v>32312.17</v>
      </c>
    </row>
    <row r="2499" customFormat="false" ht="15" hidden="false" customHeight="false" outlineLevel="0" collapsed="false">
      <c r="A2499" s="0" t="n">
        <v>28</v>
      </c>
      <c r="B2499" s="0" t="s">
        <v>62</v>
      </c>
      <c r="C2499" s="0" t="n">
        <v>2013</v>
      </c>
      <c r="D2499" s="0" t="n">
        <v>6</v>
      </c>
      <c r="E2499" s="38" t="n">
        <v>26836.3</v>
      </c>
    </row>
    <row r="2500" customFormat="false" ht="15" hidden="false" customHeight="false" outlineLevel="0" collapsed="false">
      <c r="A2500" s="0" t="n">
        <v>28</v>
      </c>
      <c r="B2500" s="0" t="s">
        <v>62</v>
      </c>
      <c r="C2500" s="0" t="n">
        <v>2013</v>
      </c>
      <c r="D2500" s="0" t="n">
        <v>7</v>
      </c>
      <c r="E2500" s="38" t="n">
        <v>29963.68</v>
      </c>
    </row>
    <row r="2501" customFormat="false" ht="15" hidden="false" customHeight="false" outlineLevel="0" collapsed="false">
      <c r="A2501" s="0" t="n">
        <v>28</v>
      </c>
      <c r="B2501" s="0" t="s">
        <v>62</v>
      </c>
      <c r="C2501" s="0" t="n">
        <v>2013</v>
      </c>
      <c r="D2501" s="0" t="n">
        <v>8</v>
      </c>
      <c r="E2501" s="38" t="n">
        <v>37845.53</v>
      </c>
    </row>
    <row r="2502" customFormat="false" ht="15" hidden="false" customHeight="false" outlineLevel="0" collapsed="false">
      <c r="A2502" s="0" t="n">
        <v>28</v>
      </c>
      <c r="B2502" s="0" t="s">
        <v>64</v>
      </c>
      <c r="C2502" s="0" t="n">
        <v>2011</v>
      </c>
      <c r="D2502" s="0" t="n">
        <v>1</v>
      </c>
      <c r="E2502" s="38" t="n">
        <v>3779.74</v>
      </c>
    </row>
    <row r="2503" customFormat="false" ht="15" hidden="false" customHeight="false" outlineLevel="0" collapsed="false">
      <c r="A2503" s="0" t="n">
        <v>28</v>
      </c>
      <c r="B2503" s="0" t="s">
        <v>64</v>
      </c>
      <c r="C2503" s="0" t="n">
        <v>2011</v>
      </c>
      <c r="D2503" s="0" t="n">
        <v>2</v>
      </c>
      <c r="E2503" s="38" t="n">
        <v>4059.17</v>
      </c>
    </row>
    <row r="2504" customFormat="false" ht="15" hidden="false" customHeight="false" outlineLevel="0" collapsed="false">
      <c r="A2504" s="0" t="n">
        <v>28</v>
      </c>
      <c r="B2504" s="0" t="s">
        <v>64</v>
      </c>
      <c r="C2504" s="0" t="n">
        <v>2011</v>
      </c>
      <c r="D2504" s="0" t="n">
        <v>3</v>
      </c>
      <c r="E2504" s="38" t="n">
        <v>3688.17</v>
      </c>
    </row>
    <row r="2505" customFormat="false" ht="15" hidden="false" customHeight="false" outlineLevel="0" collapsed="false">
      <c r="A2505" s="0" t="n">
        <v>28</v>
      </c>
      <c r="B2505" s="0" t="s">
        <v>64</v>
      </c>
      <c r="C2505" s="0" t="n">
        <v>2011</v>
      </c>
      <c r="D2505" s="0" t="n">
        <v>4</v>
      </c>
      <c r="E2505" s="38" t="n">
        <v>3108.5</v>
      </c>
    </row>
    <row r="2506" customFormat="false" ht="15" hidden="false" customHeight="false" outlineLevel="0" collapsed="false">
      <c r="A2506" s="0" t="n">
        <v>28</v>
      </c>
      <c r="B2506" s="0" t="s">
        <v>64</v>
      </c>
      <c r="C2506" s="0" t="n">
        <v>2011</v>
      </c>
      <c r="D2506" s="0" t="n">
        <v>5</v>
      </c>
      <c r="E2506" s="38" t="n">
        <v>2409.55</v>
      </c>
    </row>
    <row r="2507" customFormat="false" ht="15" hidden="false" customHeight="false" outlineLevel="0" collapsed="false">
      <c r="A2507" s="0" t="n">
        <v>28</v>
      </c>
      <c r="B2507" s="0" t="s">
        <v>64</v>
      </c>
      <c r="C2507" s="0" t="n">
        <v>2011</v>
      </c>
      <c r="D2507" s="0" t="n">
        <v>6</v>
      </c>
      <c r="E2507" s="38" t="n">
        <v>1990.41</v>
      </c>
    </row>
    <row r="2508" customFormat="false" ht="15" hidden="false" customHeight="false" outlineLevel="0" collapsed="false">
      <c r="A2508" s="0" t="n">
        <v>28</v>
      </c>
      <c r="B2508" s="0" t="s">
        <v>64</v>
      </c>
      <c r="C2508" s="0" t="n">
        <v>2011</v>
      </c>
      <c r="D2508" s="0" t="n">
        <v>7</v>
      </c>
      <c r="E2508" s="38" t="n">
        <v>2254.91</v>
      </c>
    </row>
    <row r="2509" customFormat="false" ht="15" hidden="false" customHeight="false" outlineLevel="0" collapsed="false">
      <c r="A2509" s="0" t="n">
        <v>28</v>
      </c>
      <c r="B2509" s="0" t="s">
        <v>64</v>
      </c>
      <c r="C2509" s="0" t="n">
        <v>2011</v>
      </c>
      <c r="D2509" s="0" t="n">
        <v>8</v>
      </c>
      <c r="E2509" s="38" t="n">
        <v>2609.4</v>
      </c>
    </row>
    <row r="2510" customFormat="false" ht="15" hidden="false" customHeight="false" outlineLevel="0" collapsed="false">
      <c r="A2510" s="0" t="n">
        <v>28</v>
      </c>
      <c r="B2510" s="0" t="s">
        <v>64</v>
      </c>
      <c r="C2510" s="0" t="n">
        <v>2011</v>
      </c>
      <c r="D2510" s="0" t="n">
        <v>9</v>
      </c>
      <c r="E2510" s="38" t="n">
        <v>3278.86</v>
      </c>
    </row>
    <row r="2511" customFormat="false" ht="15" hidden="false" customHeight="false" outlineLevel="0" collapsed="false">
      <c r="A2511" s="0" t="n">
        <v>28</v>
      </c>
      <c r="B2511" s="0" t="s">
        <v>64</v>
      </c>
      <c r="C2511" s="0" t="n">
        <v>2011</v>
      </c>
      <c r="D2511" s="0" t="n">
        <v>10</v>
      </c>
      <c r="E2511" s="38" t="n">
        <v>3471.58</v>
      </c>
    </row>
    <row r="2512" customFormat="false" ht="15" hidden="false" customHeight="false" outlineLevel="0" collapsed="false">
      <c r="A2512" s="0" t="n">
        <v>28</v>
      </c>
      <c r="B2512" s="0" t="s">
        <v>64</v>
      </c>
      <c r="C2512" s="0" t="n">
        <v>2011</v>
      </c>
      <c r="D2512" s="0" t="n">
        <v>11</v>
      </c>
      <c r="E2512" s="38" t="n">
        <v>3604.83</v>
      </c>
    </row>
    <row r="2513" customFormat="false" ht="15" hidden="false" customHeight="false" outlineLevel="0" collapsed="false">
      <c r="A2513" s="0" t="n">
        <v>28</v>
      </c>
      <c r="B2513" s="0" t="s">
        <v>64</v>
      </c>
      <c r="C2513" s="0" t="n">
        <v>2011</v>
      </c>
      <c r="D2513" s="0" t="n">
        <v>12</v>
      </c>
      <c r="E2513" s="38" t="n">
        <v>3155.46</v>
      </c>
    </row>
    <row r="2514" customFormat="false" ht="15" hidden="false" customHeight="false" outlineLevel="0" collapsed="false">
      <c r="A2514" s="0" t="n">
        <v>28</v>
      </c>
      <c r="B2514" s="0" t="s">
        <v>64</v>
      </c>
      <c r="C2514" s="0" t="n">
        <v>2012</v>
      </c>
      <c r="D2514" s="0" t="n">
        <v>1</v>
      </c>
      <c r="E2514" s="38" t="n">
        <v>3128.48</v>
      </c>
    </row>
    <row r="2515" customFormat="false" ht="15" hidden="false" customHeight="false" outlineLevel="0" collapsed="false">
      <c r="A2515" s="0" t="n">
        <v>28</v>
      </c>
      <c r="B2515" s="0" t="s">
        <v>64</v>
      </c>
      <c r="C2515" s="0" t="n">
        <v>2012</v>
      </c>
      <c r="D2515" s="0" t="n">
        <v>2</v>
      </c>
      <c r="E2515" s="38" t="n">
        <v>3290.32</v>
      </c>
    </row>
    <row r="2516" customFormat="false" ht="15" hidden="false" customHeight="false" outlineLevel="0" collapsed="false">
      <c r="A2516" s="0" t="n">
        <v>28</v>
      </c>
      <c r="B2516" s="0" t="s">
        <v>64</v>
      </c>
      <c r="C2516" s="0" t="n">
        <v>2012</v>
      </c>
      <c r="D2516" s="0" t="n">
        <v>3</v>
      </c>
      <c r="E2516" s="38" t="n">
        <v>2118.21</v>
      </c>
    </row>
    <row r="2517" customFormat="false" ht="15" hidden="false" customHeight="false" outlineLevel="0" collapsed="false">
      <c r="A2517" s="0" t="n">
        <v>28</v>
      </c>
      <c r="B2517" s="0" t="s">
        <v>64</v>
      </c>
      <c r="C2517" s="0" t="n">
        <v>2012</v>
      </c>
      <c r="D2517" s="0" t="n">
        <v>4</v>
      </c>
      <c r="E2517" s="38" t="n">
        <v>2965.84</v>
      </c>
    </row>
    <row r="2518" customFormat="false" ht="15" hidden="false" customHeight="false" outlineLevel="0" collapsed="false">
      <c r="A2518" s="0" t="n">
        <v>28</v>
      </c>
      <c r="B2518" s="0" t="s">
        <v>64</v>
      </c>
      <c r="C2518" s="0" t="n">
        <v>2012</v>
      </c>
      <c r="D2518" s="0" t="n">
        <v>5</v>
      </c>
      <c r="E2518" s="38" t="n">
        <v>1766.1</v>
      </c>
    </row>
    <row r="2519" customFormat="false" ht="15" hidden="false" customHeight="false" outlineLevel="0" collapsed="false">
      <c r="A2519" s="0" t="n">
        <v>28</v>
      </c>
      <c r="B2519" s="0" t="s">
        <v>64</v>
      </c>
      <c r="C2519" s="0" t="n">
        <v>2012</v>
      </c>
      <c r="D2519" s="0" t="n">
        <v>6</v>
      </c>
      <c r="E2519" s="38" t="n">
        <v>1496.39</v>
      </c>
    </row>
    <row r="2520" customFormat="false" ht="15" hidden="false" customHeight="false" outlineLevel="0" collapsed="false">
      <c r="A2520" s="0" t="n">
        <v>28</v>
      </c>
      <c r="B2520" s="0" t="s">
        <v>64</v>
      </c>
      <c r="C2520" s="0" t="n">
        <v>2012</v>
      </c>
      <c r="D2520" s="0" t="n">
        <v>7</v>
      </c>
      <c r="E2520" s="38" t="n">
        <v>1168.17</v>
      </c>
    </row>
    <row r="2521" customFormat="false" ht="15" hidden="false" customHeight="false" outlineLevel="0" collapsed="false">
      <c r="A2521" s="0" t="n">
        <v>28</v>
      </c>
      <c r="B2521" s="0" t="s">
        <v>64</v>
      </c>
      <c r="C2521" s="0" t="n">
        <v>2012</v>
      </c>
      <c r="D2521" s="0" t="n">
        <v>8</v>
      </c>
      <c r="E2521" s="38" t="n">
        <v>1180.08</v>
      </c>
    </row>
    <row r="2522" customFormat="false" ht="15" hidden="false" customHeight="false" outlineLevel="0" collapsed="false">
      <c r="A2522" s="0" t="n">
        <v>28</v>
      </c>
      <c r="B2522" s="0" t="s">
        <v>64</v>
      </c>
      <c r="C2522" s="0" t="n">
        <v>2012</v>
      </c>
      <c r="D2522" s="0" t="n">
        <v>9</v>
      </c>
      <c r="E2522" s="38" t="n">
        <v>1649.19</v>
      </c>
    </row>
    <row r="2523" customFormat="false" ht="15" hidden="false" customHeight="false" outlineLevel="0" collapsed="false">
      <c r="A2523" s="0" t="n">
        <v>28</v>
      </c>
      <c r="B2523" s="0" t="s">
        <v>64</v>
      </c>
      <c r="C2523" s="0" t="n">
        <v>2012</v>
      </c>
      <c r="D2523" s="0" t="n">
        <v>10</v>
      </c>
      <c r="E2523" s="38" t="n">
        <v>1800.16</v>
      </c>
    </row>
    <row r="2524" customFormat="false" ht="15" hidden="false" customHeight="false" outlineLevel="0" collapsed="false">
      <c r="A2524" s="0" t="n">
        <v>28</v>
      </c>
      <c r="B2524" s="0" t="s">
        <v>64</v>
      </c>
      <c r="C2524" s="0" t="n">
        <v>2012</v>
      </c>
      <c r="D2524" s="0" t="n">
        <v>11</v>
      </c>
      <c r="E2524" s="38" t="n">
        <v>1813.85</v>
      </c>
    </row>
    <row r="2525" customFormat="false" ht="15" hidden="false" customHeight="false" outlineLevel="0" collapsed="false">
      <c r="A2525" s="0" t="n">
        <v>28</v>
      </c>
      <c r="B2525" s="0" t="s">
        <v>64</v>
      </c>
      <c r="C2525" s="0" t="n">
        <v>2012</v>
      </c>
      <c r="D2525" s="0" t="n">
        <v>12</v>
      </c>
      <c r="E2525" s="38" t="n">
        <v>1761.91</v>
      </c>
    </row>
    <row r="2526" customFormat="false" ht="15" hidden="false" customHeight="false" outlineLevel="0" collapsed="false">
      <c r="A2526" s="0" t="n">
        <v>28</v>
      </c>
      <c r="B2526" s="0" t="s">
        <v>64</v>
      </c>
      <c r="C2526" s="0" t="n">
        <v>2013</v>
      </c>
      <c r="D2526" s="0" t="n">
        <v>1</v>
      </c>
      <c r="E2526" s="38" t="n">
        <v>1677.21</v>
      </c>
    </row>
    <row r="2527" customFormat="false" ht="15" hidden="false" customHeight="false" outlineLevel="0" collapsed="false">
      <c r="A2527" s="0" t="n">
        <v>28</v>
      </c>
      <c r="B2527" s="0" t="s">
        <v>64</v>
      </c>
      <c r="C2527" s="0" t="n">
        <v>2013</v>
      </c>
      <c r="D2527" s="0" t="n">
        <v>2</v>
      </c>
      <c r="E2527" s="38" t="n">
        <v>2152.35</v>
      </c>
    </row>
    <row r="2528" customFormat="false" ht="15" hidden="false" customHeight="false" outlineLevel="0" collapsed="false">
      <c r="A2528" s="0" t="n">
        <v>28</v>
      </c>
      <c r="B2528" s="0" t="s">
        <v>64</v>
      </c>
      <c r="C2528" s="0" t="n">
        <v>2013</v>
      </c>
      <c r="D2528" s="0" t="n">
        <v>3</v>
      </c>
      <c r="E2528" s="38" t="n">
        <v>1631.12</v>
      </c>
    </row>
    <row r="2529" customFormat="false" ht="15" hidden="false" customHeight="false" outlineLevel="0" collapsed="false">
      <c r="A2529" s="0" t="n">
        <v>28</v>
      </c>
      <c r="B2529" s="0" t="s">
        <v>64</v>
      </c>
      <c r="C2529" s="0" t="n">
        <v>2013</v>
      </c>
      <c r="D2529" s="0" t="n">
        <v>4</v>
      </c>
      <c r="E2529" s="38" t="n">
        <v>1541.86</v>
      </c>
    </row>
    <row r="2530" customFormat="false" ht="15" hidden="false" customHeight="false" outlineLevel="0" collapsed="false">
      <c r="A2530" s="0" t="n">
        <v>28</v>
      </c>
      <c r="B2530" s="0" t="s">
        <v>64</v>
      </c>
      <c r="C2530" s="0" t="n">
        <v>2013</v>
      </c>
      <c r="D2530" s="0" t="n">
        <v>5</v>
      </c>
      <c r="E2530" s="38" t="n">
        <v>1282.4</v>
      </c>
    </row>
    <row r="2531" customFormat="false" ht="15" hidden="false" customHeight="false" outlineLevel="0" collapsed="false">
      <c r="A2531" s="0" t="n">
        <v>28</v>
      </c>
      <c r="B2531" s="0" t="s">
        <v>64</v>
      </c>
      <c r="C2531" s="0" t="n">
        <v>2013</v>
      </c>
      <c r="D2531" s="0" t="n">
        <v>6</v>
      </c>
      <c r="E2531" s="38" t="n">
        <v>1247.57</v>
      </c>
    </row>
    <row r="2532" customFormat="false" ht="15" hidden="false" customHeight="false" outlineLevel="0" collapsed="false">
      <c r="A2532" s="0" t="n">
        <v>28</v>
      </c>
      <c r="B2532" s="0" t="s">
        <v>64</v>
      </c>
      <c r="C2532" s="0" t="n">
        <v>2013</v>
      </c>
      <c r="D2532" s="0" t="n">
        <v>7</v>
      </c>
      <c r="E2532" s="38" t="n">
        <v>1191.98</v>
      </c>
    </row>
    <row r="2533" customFormat="false" ht="15" hidden="false" customHeight="false" outlineLevel="0" collapsed="false">
      <c r="A2533" s="0" t="n">
        <v>28</v>
      </c>
      <c r="B2533" s="0" t="s">
        <v>64</v>
      </c>
      <c r="C2533" s="0" t="n">
        <v>2013</v>
      </c>
      <c r="D2533" s="0" t="n">
        <v>8</v>
      </c>
      <c r="E2533" s="38" t="n">
        <v>1107.32</v>
      </c>
    </row>
    <row r="2534" customFormat="false" ht="15" hidden="false" customHeight="false" outlineLevel="0" collapsed="false">
      <c r="A2534" s="0" t="n">
        <v>29</v>
      </c>
      <c r="B2534" s="0" t="s">
        <v>60</v>
      </c>
      <c r="C2534" s="0" t="n">
        <v>2011</v>
      </c>
      <c r="D2534" s="0" t="n">
        <v>1</v>
      </c>
      <c r="E2534" s="38" t="n">
        <v>526844.03</v>
      </c>
    </row>
    <row r="2535" customFormat="false" ht="15" hidden="false" customHeight="false" outlineLevel="0" collapsed="false">
      <c r="A2535" s="0" t="n">
        <v>29</v>
      </c>
      <c r="B2535" s="0" t="s">
        <v>60</v>
      </c>
      <c r="C2535" s="0" t="n">
        <v>2011</v>
      </c>
      <c r="D2535" s="0" t="n">
        <v>2</v>
      </c>
      <c r="E2535" s="38" t="n">
        <v>449073.17</v>
      </c>
    </row>
    <row r="2536" customFormat="false" ht="15" hidden="false" customHeight="false" outlineLevel="0" collapsed="false">
      <c r="A2536" s="0" t="n">
        <v>29</v>
      </c>
      <c r="B2536" s="0" t="s">
        <v>60</v>
      </c>
      <c r="C2536" s="0" t="n">
        <v>2011</v>
      </c>
      <c r="D2536" s="0" t="n">
        <v>3</v>
      </c>
      <c r="E2536" s="38" t="n">
        <v>437798.1</v>
      </c>
    </row>
    <row r="2537" customFormat="false" ht="15" hidden="false" customHeight="false" outlineLevel="0" collapsed="false">
      <c r="A2537" s="0" t="n">
        <v>29</v>
      </c>
      <c r="B2537" s="0" t="s">
        <v>60</v>
      </c>
      <c r="C2537" s="0" t="n">
        <v>2011</v>
      </c>
      <c r="D2537" s="0" t="n">
        <v>4</v>
      </c>
      <c r="E2537" s="38" t="n">
        <v>490893.16</v>
      </c>
    </row>
    <row r="2538" customFormat="false" ht="15" hidden="false" customHeight="false" outlineLevel="0" collapsed="false">
      <c r="A2538" s="0" t="n">
        <v>29</v>
      </c>
      <c r="B2538" s="0" t="s">
        <v>60</v>
      </c>
      <c r="C2538" s="0" t="n">
        <v>2011</v>
      </c>
      <c r="D2538" s="0" t="n">
        <v>5</v>
      </c>
      <c r="E2538" s="38" t="n">
        <v>472263.66</v>
      </c>
    </row>
    <row r="2539" customFormat="false" ht="15" hidden="false" customHeight="false" outlineLevel="0" collapsed="false">
      <c r="A2539" s="0" t="n">
        <v>29</v>
      </c>
      <c r="B2539" s="0" t="s">
        <v>60</v>
      </c>
      <c r="C2539" s="0" t="n">
        <v>2011</v>
      </c>
      <c r="D2539" s="0" t="n">
        <v>6</v>
      </c>
      <c r="E2539" s="38" t="n">
        <v>499928.42</v>
      </c>
    </row>
    <row r="2540" customFormat="false" ht="15" hidden="false" customHeight="false" outlineLevel="0" collapsed="false">
      <c r="A2540" s="0" t="n">
        <v>29</v>
      </c>
      <c r="B2540" s="0" t="s">
        <v>60</v>
      </c>
      <c r="C2540" s="0" t="n">
        <v>2011</v>
      </c>
      <c r="D2540" s="0" t="n">
        <v>7</v>
      </c>
      <c r="E2540" s="38" t="n">
        <v>533232.37</v>
      </c>
    </row>
    <row r="2541" customFormat="false" ht="15" hidden="false" customHeight="false" outlineLevel="0" collapsed="false">
      <c r="A2541" s="0" t="n">
        <v>29</v>
      </c>
      <c r="B2541" s="0" t="s">
        <v>60</v>
      </c>
      <c r="C2541" s="0" t="n">
        <v>2011</v>
      </c>
      <c r="D2541" s="0" t="n">
        <v>8</v>
      </c>
      <c r="E2541" s="38" t="n">
        <v>419104.68</v>
      </c>
    </row>
    <row r="2542" customFormat="false" ht="15" hidden="false" customHeight="false" outlineLevel="0" collapsed="false">
      <c r="A2542" s="0" t="n">
        <v>29</v>
      </c>
      <c r="B2542" s="0" t="s">
        <v>60</v>
      </c>
      <c r="C2542" s="0" t="n">
        <v>2011</v>
      </c>
      <c r="D2542" s="0" t="n">
        <v>9</v>
      </c>
      <c r="E2542" s="38" t="n">
        <v>461873.74</v>
      </c>
    </row>
    <row r="2543" customFormat="false" ht="15" hidden="false" customHeight="false" outlineLevel="0" collapsed="false">
      <c r="A2543" s="0" t="n">
        <v>29</v>
      </c>
      <c r="B2543" s="0" t="s">
        <v>60</v>
      </c>
      <c r="C2543" s="0" t="n">
        <v>2011</v>
      </c>
      <c r="D2543" s="0" t="n">
        <v>10</v>
      </c>
      <c r="E2543" s="38" t="n">
        <v>565533.38</v>
      </c>
    </row>
    <row r="2544" customFormat="false" ht="15" hidden="false" customHeight="false" outlineLevel="0" collapsed="false">
      <c r="A2544" s="0" t="n">
        <v>29</v>
      </c>
      <c r="B2544" s="0" t="s">
        <v>60</v>
      </c>
      <c r="C2544" s="0" t="n">
        <v>2011</v>
      </c>
      <c r="D2544" s="0" t="n">
        <v>11</v>
      </c>
      <c r="E2544" s="38" t="n">
        <v>902532.92</v>
      </c>
    </row>
    <row r="2545" customFormat="false" ht="15" hidden="false" customHeight="false" outlineLevel="0" collapsed="false">
      <c r="A2545" s="0" t="n">
        <v>29</v>
      </c>
      <c r="B2545" s="0" t="s">
        <v>60</v>
      </c>
      <c r="C2545" s="0" t="n">
        <v>2011</v>
      </c>
      <c r="D2545" s="0" t="n">
        <v>12</v>
      </c>
      <c r="E2545" s="38" t="n">
        <v>455382.83</v>
      </c>
    </row>
    <row r="2546" customFormat="false" ht="15" hidden="false" customHeight="false" outlineLevel="0" collapsed="false">
      <c r="A2546" s="0" t="n">
        <v>29</v>
      </c>
      <c r="B2546" s="0" t="s">
        <v>60</v>
      </c>
      <c r="C2546" s="0" t="n">
        <v>2012</v>
      </c>
      <c r="D2546" s="0" t="n">
        <v>1</v>
      </c>
      <c r="E2546" s="38" t="n">
        <v>525460.76</v>
      </c>
    </row>
    <row r="2547" customFormat="false" ht="15" hidden="false" customHeight="false" outlineLevel="0" collapsed="false">
      <c r="A2547" s="0" t="n">
        <v>29</v>
      </c>
      <c r="B2547" s="0" t="s">
        <v>60</v>
      </c>
      <c r="C2547" s="0" t="n">
        <v>2012</v>
      </c>
      <c r="D2547" s="0" t="n">
        <v>2</v>
      </c>
      <c r="E2547" s="38" t="n">
        <v>445240.75</v>
      </c>
    </row>
    <row r="2548" customFormat="false" ht="15" hidden="false" customHeight="false" outlineLevel="0" collapsed="false">
      <c r="A2548" s="0" t="n">
        <v>29</v>
      </c>
      <c r="B2548" s="0" t="s">
        <v>60</v>
      </c>
      <c r="C2548" s="0" t="n">
        <v>2012</v>
      </c>
      <c r="D2548" s="0" t="n">
        <v>3</v>
      </c>
      <c r="E2548" s="38" t="n">
        <v>419259.88</v>
      </c>
    </row>
    <row r="2549" customFormat="false" ht="15" hidden="false" customHeight="false" outlineLevel="0" collapsed="false">
      <c r="A2549" s="0" t="n">
        <v>29</v>
      </c>
      <c r="B2549" s="0" t="s">
        <v>60</v>
      </c>
      <c r="C2549" s="0" t="n">
        <v>2012</v>
      </c>
      <c r="D2549" s="0" t="n">
        <v>4</v>
      </c>
      <c r="E2549" s="38" t="n">
        <v>460872.24</v>
      </c>
    </row>
    <row r="2550" customFormat="false" ht="15" hidden="false" customHeight="false" outlineLevel="0" collapsed="false">
      <c r="A2550" s="0" t="n">
        <v>29</v>
      </c>
      <c r="B2550" s="0" t="s">
        <v>60</v>
      </c>
      <c r="C2550" s="0" t="n">
        <v>2012</v>
      </c>
      <c r="D2550" s="0" t="n">
        <v>5</v>
      </c>
      <c r="E2550" s="38" t="n">
        <v>443228.43</v>
      </c>
    </row>
    <row r="2551" customFormat="false" ht="15" hidden="false" customHeight="false" outlineLevel="0" collapsed="false">
      <c r="A2551" s="0" t="n">
        <v>29</v>
      </c>
      <c r="B2551" s="0" t="s">
        <v>60</v>
      </c>
      <c r="C2551" s="0" t="n">
        <v>2012</v>
      </c>
      <c r="D2551" s="0" t="n">
        <v>6</v>
      </c>
      <c r="E2551" s="38" t="n">
        <v>481721.25</v>
      </c>
    </row>
    <row r="2552" customFormat="false" ht="15" hidden="false" customHeight="false" outlineLevel="0" collapsed="false">
      <c r="A2552" s="0" t="n">
        <v>29</v>
      </c>
      <c r="B2552" s="0" t="s">
        <v>60</v>
      </c>
      <c r="C2552" s="0" t="n">
        <v>2012</v>
      </c>
      <c r="D2552" s="0" t="n">
        <v>7</v>
      </c>
      <c r="E2552" s="38" t="n">
        <v>492018.08</v>
      </c>
    </row>
    <row r="2553" customFormat="false" ht="15" hidden="false" customHeight="false" outlineLevel="0" collapsed="false">
      <c r="A2553" s="0" t="n">
        <v>29</v>
      </c>
      <c r="B2553" s="0" t="s">
        <v>60</v>
      </c>
      <c r="C2553" s="0" t="n">
        <v>2012</v>
      </c>
      <c r="D2553" s="0" t="n">
        <v>8</v>
      </c>
      <c r="E2553" s="38" t="n">
        <v>403906.32</v>
      </c>
    </row>
    <row r="2554" customFormat="false" ht="15" hidden="false" customHeight="false" outlineLevel="0" collapsed="false">
      <c r="A2554" s="0" t="n">
        <v>29</v>
      </c>
      <c r="B2554" s="0" t="s">
        <v>60</v>
      </c>
      <c r="C2554" s="0" t="n">
        <v>2012</v>
      </c>
      <c r="D2554" s="0" t="n">
        <v>9</v>
      </c>
      <c r="E2554" s="38" t="n">
        <v>486281.72</v>
      </c>
    </row>
    <row r="2555" customFormat="false" ht="15" hidden="false" customHeight="false" outlineLevel="0" collapsed="false">
      <c r="A2555" s="0" t="n">
        <v>29</v>
      </c>
      <c r="B2555" s="0" t="s">
        <v>60</v>
      </c>
      <c r="C2555" s="0" t="n">
        <v>2012</v>
      </c>
      <c r="D2555" s="0" t="n">
        <v>10</v>
      </c>
      <c r="E2555" s="38" t="n">
        <v>586182.63</v>
      </c>
    </row>
    <row r="2556" customFormat="false" ht="15" hidden="false" customHeight="false" outlineLevel="0" collapsed="false">
      <c r="A2556" s="0" t="n">
        <v>29</v>
      </c>
      <c r="B2556" s="0" t="s">
        <v>60</v>
      </c>
      <c r="C2556" s="0" t="n">
        <v>2012</v>
      </c>
      <c r="D2556" s="0" t="n">
        <v>11</v>
      </c>
      <c r="E2556" s="38" t="n">
        <v>912443.01</v>
      </c>
    </row>
    <row r="2557" customFormat="false" ht="15" hidden="false" customHeight="false" outlineLevel="0" collapsed="false">
      <c r="A2557" s="0" t="n">
        <v>29</v>
      </c>
      <c r="B2557" s="0" t="s">
        <v>60</v>
      </c>
      <c r="C2557" s="0" t="n">
        <v>2012</v>
      </c>
      <c r="D2557" s="0" t="n">
        <v>12</v>
      </c>
      <c r="E2557" s="38" t="n">
        <v>439699.58</v>
      </c>
    </row>
    <row r="2558" customFormat="false" ht="15" hidden="false" customHeight="false" outlineLevel="0" collapsed="false">
      <c r="A2558" s="0" t="n">
        <v>29</v>
      </c>
      <c r="B2558" s="0" t="s">
        <v>60</v>
      </c>
      <c r="C2558" s="0" t="n">
        <v>2013</v>
      </c>
      <c r="D2558" s="0" t="n">
        <v>1</v>
      </c>
      <c r="E2558" s="38" t="n">
        <v>558104.97</v>
      </c>
    </row>
    <row r="2559" customFormat="false" ht="15" hidden="false" customHeight="false" outlineLevel="0" collapsed="false">
      <c r="A2559" s="0" t="n">
        <v>29</v>
      </c>
      <c r="B2559" s="0" t="s">
        <v>60</v>
      </c>
      <c r="C2559" s="0" t="n">
        <v>2013</v>
      </c>
      <c r="D2559" s="0" t="n">
        <v>2</v>
      </c>
      <c r="E2559" s="38" t="n">
        <v>459897.83</v>
      </c>
    </row>
    <row r="2560" customFormat="false" ht="15" hidden="false" customHeight="false" outlineLevel="0" collapsed="false">
      <c r="A2560" s="0" t="n">
        <v>29</v>
      </c>
      <c r="B2560" s="0" t="s">
        <v>60</v>
      </c>
      <c r="C2560" s="0" t="n">
        <v>2013</v>
      </c>
      <c r="D2560" s="0" t="n">
        <v>3</v>
      </c>
      <c r="E2560" s="38" t="n">
        <v>443727.65</v>
      </c>
    </row>
    <row r="2561" customFormat="false" ht="15" hidden="false" customHeight="false" outlineLevel="0" collapsed="false">
      <c r="A2561" s="0" t="n">
        <v>29</v>
      </c>
      <c r="B2561" s="0" t="s">
        <v>60</v>
      </c>
      <c r="C2561" s="0" t="n">
        <v>2013</v>
      </c>
      <c r="D2561" s="0" t="n">
        <v>4</v>
      </c>
      <c r="E2561" s="38" t="n">
        <v>486682.04</v>
      </c>
    </row>
    <row r="2562" customFormat="false" ht="15" hidden="false" customHeight="false" outlineLevel="0" collapsed="false">
      <c r="A2562" s="0" t="n">
        <v>29</v>
      </c>
      <c r="B2562" s="0" t="s">
        <v>60</v>
      </c>
      <c r="C2562" s="0" t="n">
        <v>2013</v>
      </c>
      <c r="D2562" s="0" t="n">
        <v>5</v>
      </c>
      <c r="E2562" s="38" t="n">
        <v>454518.84</v>
      </c>
    </row>
    <row r="2563" customFormat="false" ht="15" hidden="false" customHeight="false" outlineLevel="0" collapsed="false">
      <c r="A2563" s="0" t="n">
        <v>29</v>
      </c>
      <c r="B2563" s="0" t="s">
        <v>60</v>
      </c>
      <c r="C2563" s="0" t="n">
        <v>2013</v>
      </c>
      <c r="D2563" s="0" t="n">
        <v>6</v>
      </c>
      <c r="E2563" s="38" t="n">
        <v>502107.1</v>
      </c>
    </row>
    <row r="2564" customFormat="false" ht="15" hidden="false" customHeight="false" outlineLevel="0" collapsed="false">
      <c r="A2564" s="0" t="n">
        <v>29</v>
      </c>
      <c r="B2564" s="0" t="s">
        <v>60</v>
      </c>
      <c r="C2564" s="0" t="n">
        <v>2013</v>
      </c>
      <c r="D2564" s="0" t="n">
        <v>7</v>
      </c>
      <c r="E2564" s="38" t="n">
        <v>507966.51</v>
      </c>
    </row>
    <row r="2565" customFormat="false" ht="15" hidden="false" customHeight="false" outlineLevel="0" collapsed="false">
      <c r="A2565" s="0" t="n">
        <v>29</v>
      </c>
      <c r="B2565" s="0" t="s">
        <v>60</v>
      </c>
      <c r="C2565" s="0" t="n">
        <v>2013</v>
      </c>
      <c r="D2565" s="0" t="n">
        <v>8</v>
      </c>
      <c r="E2565" s="38" t="n">
        <v>431738.52</v>
      </c>
    </row>
    <row r="2566" customFormat="false" ht="15" hidden="false" customHeight="false" outlineLevel="0" collapsed="false">
      <c r="A2566" s="0" t="n">
        <v>29</v>
      </c>
      <c r="B2566" s="0" t="s">
        <v>62</v>
      </c>
      <c r="C2566" s="0" t="n">
        <v>2011</v>
      </c>
      <c r="D2566" s="0" t="n">
        <v>1</v>
      </c>
      <c r="E2566" s="38" t="n">
        <v>406436.37</v>
      </c>
    </row>
    <row r="2567" customFormat="false" ht="15" hidden="false" customHeight="false" outlineLevel="0" collapsed="false">
      <c r="A2567" s="0" t="n">
        <v>29</v>
      </c>
      <c r="B2567" s="0" t="s">
        <v>62</v>
      </c>
      <c r="C2567" s="0" t="n">
        <v>2011</v>
      </c>
      <c r="D2567" s="0" t="n">
        <v>2</v>
      </c>
      <c r="E2567" s="38" t="n">
        <v>382868.32</v>
      </c>
    </row>
    <row r="2568" customFormat="false" ht="15" hidden="false" customHeight="false" outlineLevel="0" collapsed="false">
      <c r="A2568" s="0" t="n">
        <v>29</v>
      </c>
      <c r="B2568" s="0" t="s">
        <v>62</v>
      </c>
      <c r="C2568" s="0" t="n">
        <v>2011</v>
      </c>
      <c r="D2568" s="0" t="n">
        <v>3</v>
      </c>
      <c r="E2568" s="38" t="n">
        <v>376756.24</v>
      </c>
    </row>
    <row r="2569" customFormat="false" ht="15" hidden="false" customHeight="false" outlineLevel="0" collapsed="false">
      <c r="A2569" s="0" t="n">
        <v>29</v>
      </c>
      <c r="B2569" s="0" t="s">
        <v>62</v>
      </c>
      <c r="C2569" s="0" t="n">
        <v>2011</v>
      </c>
      <c r="D2569" s="0" t="n">
        <v>4</v>
      </c>
      <c r="E2569" s="38" t="n">
        <v>425001</v>
      </c>
    </row>
    <row r="2570" customFormat="false" ht="15" hidden="false" customHeight="false" outlineLevel="0" collapsed="false">
      <c r="A2570" s="0" t="n">
        <v>29</v>
      </c>
      <c r="B2570" s="0" t="s">
        <v>62</v>
      </c>
      <c r="C2570" s="0" t="n">
        <v>2011</v>
      </c>
      <c r="D2570" s="0" t="n">
        <v>5</v>
      </c>
      <c r="E2570" s="38" t="n">
        <v>402830.86</v>
      </c>
    </row>
    <row r="2571" customFormat="false" ht="15" hidden="false" customHeight="false" outlineLevel="0" collapsed="false">
      <c r="A2571" s="0" t="n">
        <v>29</v>
      </c>
      <c r="B2571" s="0" t="s">
        <v>62</v>
      </c>
      <c r="C2571" s="0" t="n">
        <v>2011</v>
      </c>
      <c r="D2571" s="0" t="n">
        <v>6</v>
      </c>
      <c r="E2571" s="38" t="n">
        <v>438619.35</v>
      </c>
    </row>
    <row r="2572" customFormat="false" ht="15" hidden="false" customHeight="false" outlineLevel="0" collapsed="false">
      <c r="A2572" s="0" t="n">
        <v>29</v>
      </c>
      <c r="B2572" s="0" t="s">
        <v>62</v>
      </c>
      <c r="C2572" s="0" t="n">
        <v>2011</v>
      </c>
      <c r="D2572" s="0" t="n">
        <v>7</v>
      </c>
      <c r="E2572" s="38" t="n">
        <v>449221.09</v>
      </c>
    </row>
    <row r="2573" customFormat="false" ht="15" hidden="false" customHeight="false" outlineLevel="0" collapsed="false">
      <c r="A2573" s="0" t="n">
        <v>29</v>
      </c>
      <c r="B2573" s="0" t="s">
        <v>62</v>
      </c>
      <c r="C2573" s="0" t="n">
        <v>2011</v>
      </c>
      <c r="D2573" s="0" t="n">
        <v>8</v>
      </c>
      <c r="E2573" s="38" t="n">
        <v>346704.09</v>
      </c>
    </row>
    <row r="2574" customFormat="false" ht="15" hidden="false" customHeight="false" outlineLevel="0" collapsed="false">
      <c r="A2574" s="0" t="n">
        <v>29</v>
      </c>
      <c r="B2574" s="0" t="s">
        <v>62</v>
      </c>
      <c r="C2574" s="0" t="n">
        <v>2011</v>
      </c>
      <c r="D2574" s="0" t="n">
        <v>9</v>
      </c>
      <c r="E2574" s="38" t="n">
        <v>379748.06</v>
      </c>
    </row>
    <row r="2575" customFormat="false" ht="15" hidden="false" customHeight="false" outlineLevel="0" collapsed="false">
      <c r="A2575" s="0" t="n">
        <v>29</v>
      </c>
      <c r="B2575" s="0" t="s">
        <v>62</v>
      </c>
      <c r="C2575" s="0" t="n">
        <v>2011</v>
      </c>
      <c r="D2575" s="0" t="n">
        <v>10</v>
      </c>
      <c r="E2575" s="38" t="n">
        <v>463495.34</v>
      </c>
    </row>
    <row r="2576" customFormat="false" ht="15" hidden="false" customHeight="false" outlineLevel="0" collapsed="false">
      <c r="A2576" s="0" t="n">
        <v>29</v>
      </c>
      <c r="B2576" s="0" t="s">
        <v>62</v>
      </c>
      <c r="C2576" s="0" t="n">
        <v>2011</v>
      </c>
      <c r="D2576" s="0" t="n">
        <v>11</v>
      </c>
      <c r="E2576" s="38" t="n">
        <v>666259.35</v>
      </c>
    </row>
    <row r="2577" customFormat="false" ht="15" hidden="false" customHeight="false" outlineLevel="0" collapsed="false">
      <c r="A2577" s="0" t="n">
        <v>29</v>
      </c>
      <c r="B2577" s="0" t="s">
        <v>62</v>
      </c>
      <c r="C2577" s="0" t="n">
        <v>2011</v>
      </c>
      <c r="D2577" s="0" t="n">
        <v>12</v>
      </c>
      <c r="E2577" s="38" t="n">
        <v>353352.05</v>
      </c>
    </row>
    <row r="2578" customFormat="false" ht="15" hidden="false" customHeight="false" outlineLevel="0" collapsed="false">
      <c r="A2578" s="0" t="n">
        <v>29</v>
      </c>
      <c r="B2578" s="0" t="s">
        <v>62</v>
      </c>
      <c r="C2578" s="0" t="n">
        <v>2012</v>
      </c>
      <c r="D2578" s="0" t="n">
        <v>1</v>
      </c>
      <c r="E2578" s="38" t="n">
        <v>406091.72</v>
      </c>
    </row>
    <row r="2579" customFormat="false" ht="15" hidden="false" customHeight="false" outlineLevel="0" collapsed="false">
      <c r="A2579" s="0" t="n">
        <v>29</v>
      </c>
      <c r="B2579" s="0" t="s">
        <v>62</v>
      </c>
      <c r="C2579" s="0" t="n">
        <v>2012</v>
      </c>
      <c r="D2579" s="0" t="n">
        <v>2</v>
      </c>
      <c r="E2579" s="38" t="n">
        <v>373609.44</v>
      </c>
    </row>
    <row r="2580" customFormat="false" ht="15" hidden="false" customHeight="false" outlineLevel="0" collapsed="false">
      <c r="A2580" s="0" t="n">
        <v>29</v>
      </c>
      <c r="B2580" s="0" t="s">
        <v>62</v>
      </c>
      <c r="C2580" s="0" t="n">
        <v>2012</v>
      </c>
      <c r="D2580" s="0" t="n">
        <v>3</v>
      </c>
      <c r="E2580" s="38" t="n">
        <v>350021.79</v>
      </c>
    </row>
    <row r="2581" customFormat="false" ht="15" hidden="false" customHeight="false" outlineLevel="0" collapsed="false">
      <c r="A2581" s="0" t="n">
        <v>29</v>
      </c>
      <c r="B2581" s="0" t="s">
        <v>62</v>
      </c>
      <c r="C2581" s="0" t="n">
        <v>2012</v>
      </c>
      <c r="D2581" s="0" t="n">
        <v>4</v>
      </c>
      <c r="E2581" s="38" t="n">
        <v>381274.63</v>
      </c>
    </row>
    <row r="2582" customFormat="false" ht="15" hidden="false" customHeight="false" outlineLevel="0" collapsed="false">
      <c r="A2582" s="0" t="n">
        <v>29</v>
      </c>
      <c r="B2582" s="0" t="s">
        <v>62</v>
      </c>
      <c r="C2582" s="0" t="n">
        <v>2012</v>
      </c>
      <c r="D2582" s="0" t="n">
        <v>5</v>
      </c>
      <c r="E2582" s="38" t="n">
        <v>358362.28</v>
      </c>
    </row>
    <row r="2583" customFormat="false" ht="15" hidden="false" customHeight="false" outlineLevel="0" collapsed="false">
      <c r="A2583" s="0" t="n">
        <v>29</v>
      </c>
      <c r="B2583" s="0" t="s">
        <v>62</v>
      </c>
      <c r="C2583" s="0" t="n">
        <v>2012</v>
      </c>
      <c r="D2583" s="0" t="n">
        <v>6</v>
      </c>
      <c r="E2583" s="38" t="n">
        <v>394904.5</v>
      </c>
    </row>
    <row r="2584" customFormat="false" ht="15" hidden="false" customHeight="false" outlineLevel="0" collapsed="false">
      <c r="A2584" s="0" t="n">
        <v>29</v>
      </c>
      <c r="B2584" s="0" t="s">
        <v>62</v>
      </c>
      <c r="C2584" s="0" t="n">
        <v>2012</v>
      </c>
      <c r="D2584" s="0" t="n">
        <v>7</v>
      </c>
      <c r="E2584" s="38" t="n">
        <v>379001.92</v>
      </c>
    </row>
    <row r="2585" customFormat="false" ht="15" hidden="false" customHeight="false" outlineLevel="0" collapsed="false">
      <c r="A2585" s="0" t="n">
        <v>29</v>
      </c>
      <c r="B2585" s="0" t="s">
        <v>62</v>
      </c>
      <c r="C2585" s="0" t="n">
        <v>2012</v>
      </c>
      <c r="D2585" s="0" t="n">
        <v>8</v>
      </c>
      <c r="E2585" s="38" t="n">
        <v>339358</v>
      </c>
    </row>
    <row r="2586" customFormat="false" ht="15" hidden="false" customHeight="false" outlineLevel="0" collapsed="false">
      <c r="A2586" s="0" t="n">
        <v>29</v>
      </c>
      <c r="B2586" s="0" t="s">
        <v>62</v>
      </c>
      <c r="C2586" s="0" t="n">
        <v>2012</v>
      </c>
      <c r="D2586" s="0" t="n">
        <v>9</v>
      </c>
      <c r="E2586" s="38" t="n">
        <v>393633.17</v>
      </c>
    </row>
    <row r="2587" customFormat="false" ht="15" hidden="false" customHeight="false" outlineLevel="0" collapsed="false">
      <c r="A2587" s="0" t="n">
        <v>29</v>
      </c>
      <c r="B2587" s="0" t="s">
        <v>62</v>
      </c>
      <c r="C2587" s="0" t="n">
        <v>2012</v>
      </c>
      <c r="D2587" s="0" t="n">
        <v>10</v>
      </c>
      <c r="E2587" s="38" t="n">
        <v>471673.05</v>
      </c>
    </row>
    <row r="2588" customFormat="false" ht="15" hidden="false" customHeight="false" outlineLevel="0" collapsed="false">
      <c r="A2588" s="0" t="n">
        <v>29</v>
      </c>
      <c r="B2588" s="0" t="s">
        <v>62</v>
      </c>
      <c r="C2588" s="0" t="n">
        <v>2012</v>
      </c>
      <c r="D2588" s="0" t="n">
        <v>11</v>
      </c>
      <c r="E2588" s="38" t="n">
        <v>645294.33</v>
      </c>
    </row>
    <row r="2589" customFormat="false" ht="15" hidden="false" customHeight="false" outlineLevel="0" collapsed="false">
      <c r="A2589" s="0" t="n">
        <v>29</v>
      </c>
      <c r="B2589" s="0" t="s">
        <v>62</v>
      </c>
      <c r="C2589" s="0" t="n">
        <v>2012</v>
      </c>
      <c r="D2589" s="0" t="n">
        <v>12</v>
      </c>
      <c r="E2589" s="38" t="n">
        <v>346228.74</v>
      </c>
    </row>
    <row r="2590" customFormat="false" ht="15" hidden="false" customHeight="false" outlineLevel="0" collapsed="false">
      <c r="A2590" s="0" t="n">
        <v>29</v>
      </c>
      <c r="B2590" s="0" t="s">
        <v>62</v>
      </c>
      <c r="C2590" s="0" t="n">
        <v>2013</v>
      </c>
      <c r="D2590" s="0" t="n">
        <v>1</v>
      </c>
      <c r="E2590" s="38" t="n">
        <v>419502.85</v>
      </c>
    </row>
    <row r="2591" customFormat="false" ht="15" hidden="false" customHeight="false" outlineLevel="0" collapsed="false">
      <c r="A2591" s="0" t="n">
        <v>29</v>
      </c>
      <c r="B2591" s="0" t="s">
        <v>62</v>
      </c>
      <c r="C2591" s="0" t="n">
        <v>2013</v>
      </c>
      <c r="D2591" s="0" t="n">
        <v>2</v>
      </c>
      <c r="E2591" s="38" t="n">
        <v>382240.09</v>
      </c>
    </row>
    <row r="2592" customFormat="false" ht="15" hidden="false" customHeight="false" outlineLevel="0" collapsed="false">
      <c r="A2592" s="0" t="n">
        <v>29</v>
      </c>
      <c r="B2592" s="0" t="s">
        <v>62</v>
      </c>
      <c r="C2592" s="0" t="n">
        <v>2013</v>
      </c>
      <c r="D2592" s="0" t="n">
        <v>3</v>
      </c>
      <c r="E2592" s="38" t="n">
        <v>365018.99</v>
      </c>
    </row>
    <row r="2593" customFormat="false" ht="15" hidden="false" customHeight="false" outlineLevel="0" collapsed="false">
      <c r="A2593" s="0" t="n">
        <v>29</v>
      </c>
      <c r="B2593" s="0" t="s">
        <v>62</v>
      </c>
      <c r="C2593" s="0" t="n">
        <v>2013</v>
      </c>
      <c r="D2593" s="0" t="n">
        <v>4</v>
      </c>
      <c r="E2593" s="38" t="n">
        <v>382303.26</v>
      </c>
    </row>
    <row r="2594" customFormat="false" ht="15" hidden="false" customHeight="false" outlineLevel="0" collapsed="false">
      <c r="A2594" s="0" t="n">
        <v>29</v>
      </c>
      <c r="B2594" s="0" t="s">
        <v>62</v>
      </c>
      <c r="C2594" s="0" t="n">
        <v>2013</v>
      </c>
      <c r="D2594" s="0" t="n">
        <v>5</v>
      </c>
      <c r="E2594" s="38" t="n">
        <v>379251.4</v>
      </c>
    </row>
    <row r="2595" customFormat="false" ht="15" hidden="false" customHeight="false" outlineLevel="0" collapsed="false">
      <c r="A2595" s="0" t="n">
        <v>29</v>
      </c>
      <c r="B2595" s="0" t="s">
        <v>62</v>
      </c>
      <c r="C2595" s="0" t="n">
        <v>2013</v>
      </c>
      <c r="D2595" s="0" t="n">
        <v>6</v>
      </c>
      <c r="E2595" s="38" t="n">
        <v>425241.86</v>
      </c>
    </row>
    <row r="2596" customFormat="false" ht="15" hidden="false" customHeight="false" outlineLevel="0" collapsed="false">
      <c r="A2596" s="0" t="n">
        <v>29</v>
      </c>
      <c r="B2596" s="0" t="s">
        <v>62</v>
      </c>
      <c r="C2596" s="0" t="n">
        <v>2013</v>
      </c>
      <c r="D2596" s="0" t="n">
        <v>7</v>
      </c>
      <c r="E2596" s="38" t="n">
        <v>423126.9</v>
      </c>
    </row>
    <row r="2597" customFormat="false" ht="15" hidden="false" customHeight="false" outlineLevel="0" collapsed="false">
      <c r="A2597" s="0" t="n">
        <v>29</v>
      </c>
      <c r="B2597" s="0" t="s">
        <v>62</v>
      </c>
      <c r="C2597" s="0" t="n">
        <v>2013</v>
      </c>
      <c r="D2597" s="0" t="n">
        <v>8</v>
      </c>
      <c r="E2597" s="38" t="n">
        <v>353596.69</v>
      </c>
    </row>
    <row r="2598" customFormat="false" ht="15" hidden="false" customHeight="false" outlineLevel="0" collapsed="false">
      <c r="A2598" s="0" t="n">
        <v>29</v>
      </c>
      <c r="B2598" s="0" t="s">
        <v>64</v>
      </c>
      <c r="C2598" s="0" t="n">
        <v>2011</v>
      </c>
      <c r="D2598" s="0" t="n">
        <v>2</v>
      </c>
      <c r="E2598" s="38" t="n">
        <v>23</v>
      </c>
    </row>
    <row r="2599" customFormat="false" ht="15" hidden="false" customHeight="false" outlineLevel="0" collapsed="false">
      <c r="A2599" s="0" t="n">
        <v>29</v>
      </c>
      <c r="B2599" s="0" t="s">
        <v>64</v>
      </c>
      <c r="C2599" s="0" t="n">
        <v>2011</v>
      </c>
      <c r="D2599" s="0" t="n">
        <v>3</v>
      </c>
      <c r="E2599" s="38" t="n">
        <v>8</v>
      </c>
    </row>
    <row r="2600" customFormat="false" ht="15" hidden="false" customHeight="false" outlineLevel="0" collapsed="false">
      <c r="A2600" s="0" t="n">
        <v>29</v>
      </c>
      <c r="B2600" s="0" t="s">
        <v>64</v>
      </c>
      <c r="C2600" s="0" t="n">
        <v>2011</v>
      </c>
      <c r="D2600" s="0" t="n">
        <v>4</v>
      </c>
      <c r="E2600" s="38" t="n">
        <v>8</v>
      </c>
    </row>
    <row r="2601" customFormat="false" ht="15" hidden="false" customHeight="false" outlineLevel="0" collapsed="false">
      <c r="A2601" s="0" t="n">
        <v>29</v>
      </c>
      <c r="B2601" s="0" t="s">
        <v>64</v>
      </c>
      <c r="C2601" s="0" t="n">
        <v>2011</v>
      </c>
      <c r="D2601" s="0" t="n">
        <v>5</v>
      </c>
      <c r="E2601" s="38" t="n">
        <v>39</v>
      </c>
    </row>
    <row r="2602" customFormat="false" ht="15" hidden="false" customHeight="false" outlineLevel="0" collapsed="false">
      <c r="A2602" s="0" t="n">
        <v>29</v>
      </c>
      <c r="B2602" s="0" t="s">
        <v>64</v>
      </c>
      <c r="C2602" s="0" t="n">
        <v>2012</v>
      </c>
      <c r="D2602" s="0" t="n">
        <v>2</v>
      </c>
      <c r="E2602" s="38" t="n">
        <v>7.17</v>
      </c>
    </row>
    <row r="2603" customFormat="false" ht="15" hidden="false" customHeight="false" outlineLevel="0" collapsed="false">
      <c r="A2603" s="0" t="n">
        <v>29</v>
      </c>
      <c r="B2603" s="0" t="s">
        <v>64</v>
      </c>
      <c r="C2603" s="0" t="n">
        <v>2012</v>
      </c>
      <c r="D2603" s="0" t="n">
        <v>3</v>
      </c>
      <c r="E2603" s="38" t="n">
        <v>5.37</v>
      </c>
    </row>
    <row r="2604" customFormat="false" ht="15" hidden="false" customHeight="false" outlineLevel="0" collapsed="false">
      <c r="A2604" s="0" t="n">
        <v>29</v>
      </c>
      <c r="B2604" s="0" t="s">
        <v>64</v>
      </c>
      <c r="C2604" s="0" t="n">
        <v>2012</v>
      </c>
      <c r="D2604" s="0" t="n">
        <v>5</v>
      </c>
      <c r="E2604" s="38" t="n">
        <v>25.4</v>
      </c>
    </row>
    <row r="2605" customFormat="false" ht="15" hidden="false" customHeight="false" outlineLevel="0" collapsed="false">
      <c r="A2605" s="0" t="n">
        <v>29</v>
      </c>
      <c r="B2605" s="0" t="s">
        <v>64</v>
      </c>
      <c r="C2605" s="0" t="n">
        <v>2012</v>
      </c>
      <c r="D2605" s="0" t="n">
        <v>6</v>
      </c>
      <c r="E2605" s="38" t="n">
        <v>2.49</v>
      </c>
    </row>
    <row r="2606" customFormat="false" ht="15" hidden="false" customHeight="false" outlineLevel="0" collapsed="false">
      <c r="A2606" s="0" t="n">
        <v>29</v>
      </c>
      <c r="B2606" s="0" t="s">
        <v>64</v>
      </c>
      <c r="C2606" s="0" t="n">
        <v>2012</v>
      </c>
      <c r="D2606" s="0" t="n">
        <v>12</v>
      </c>
      <c r="E2606" s="38" t="n">
        <v>6.26</v>
      </c>
    </row>
    <row r="2607" customFormat="false" ht="15" hidden="false" customHeight="false" outlineLevel="0" collapsed="false">
      <c r="A2607" s="0" t="n">
        <v>29</v>
      </c>
      <c r="B2607" s="0" t="s">
        <v>64</v>
      </c>
      <c r="C2607" s="0" t="n">
        <v>2013</v>
      </c>
      <c r="D2607" s="0" t="n">
        <v>1</v>
      </c>
      <c r="E2607" s="38" t="n">
        <v>4.7</v>
      </c>
    </row>
    <row r="2608" customFormat="false" ht="15" hidden="false" customHeight="false" outlineLevel="0" collapsed="false">
      <c r="A2608" s="0" t="n">
        <v>29</v>
      </c>
      <c r="B2608" s="0" t="s">
        <v>64</v>
      </c>
      <c r="C2608" s="0" t="n">
        <v>2013</v>
      </c>
      <c r="D2608" s="0" t="n">
        <v>2</v>
      </c>
      <c r="E2608" s="38" t="n">
        <v>10.96</v>
      </c>
    </row>
    <row r="2609" customFormat="false" ht="15" hidden="false" customHeight="false" outlineLevel="0" collapsed="false">
      <c r="A2609" s="0" t="n">
        <v>29</v>
      </c>
      <c r="B2609" s="0" t="s">
        <v>64</v>
      </c>
      <c r="C2609" s="0" t="n">
        <v>2013</v>
      </c>
      <c r="D2609" s="0" t="n">
        <v>8</v>
      </c>
      <c r="E2609" s="38" t="n">
        <v>6.75</v>
      </c>
    </row>
    <row r="2610" customFormat="false" ht="15" hidden="false" customHeight="false" outlineLevel="0" collapsed="false">
      <c r="A2610" s="0" t="n">
        <v>30</v>
      </c>
      <c r="B2610" s="0" t="s">
        <v>60</v>
      </c>
      <c r="C2610" s="0" t="n">
        <v>2011</v>
      </c>
      <c r="D2610" s="0" t="n">
        <v>1</v>
      </c>
      <c r="E2610" s="38" t="n">
        <v>395931.89</v>
      </c>
    </row>
    <row r="2611" customFormat="false" ht="15" hidden="false" customHeight="false" outlineLevel="0" collapsed="false">
      <c r="A2611" s="0" t="n">
        <v>30</v>
      </c>
      <c r="B2611" s="0" t="s">
        <v>60</v>
      </c>
      <c r="C2611" s="0" t="n">
        <v>2011</v>
      </c>
      <c r="D2611" s="0" t="n">
        <v>2</v>
      </c>
      <c r="E2611" s="38" t="n">
        <v>409027.06</v>
      </c>
    </row>
    <row r="2612" customFormat="false" ht="15" hidden="false" customHeight="false" outlineLevel="0" collapsed="false">
      <c r="A2612" s="0" t="n">
        <v>30</v>
      </c>
      <c r="B2612" s="0" t="s">
        <v>60</v>
      </c>
      <c r="C2612" s="0" t="n">
        <v>2011</v>
      </c>
      <c r="D2612" s="0" t="n">
        <v>3</v>
      </c>
      <c r="E2612" s="38" t="n">
        <v>420004.52</v>
      </c>
    </row>
    <row r="2613" customFormat="false" ht="15" hidden="false" customHeight="false" outlineLevel="0" collapsed="false">
      <c r="A2613" s="0" t="n">
        <v>30</v>
      </c>
      <c r="B2613" s="0" t="s">
        <v>60</v>
      </c>
      <c r="C2613" s="0" t="n">
        <v>2011</v>
      </c>
      <c r="D2613" s="0" t="n">
        <v>4</v>
      </c>
      <c r="E2613" s="38" t="n">
        <v>456498.48</v>
      </c>
    </row>
    <row r="2614" customFormat="false" ht="15" hidden="false" customHeight="false" outlineLevel="0" collapsed="false">
      <c r="A2614" s="0" t="n">
        <v>30</v>
      </c>
      <c r="B2614" s="0" t="s">
        <v>60</v>
      </c>
      <c r="C2614" s="0" t="n">
        <v>2011</v>
      </c>
      <c r="D2614" s="0" t="n">
        <v>5</v>
      </c>
      <c r="E2614" s="38" t="n">
        <v>451651.03</v>
      </c>
    </row>
    <row r="2615" customFormat="false" ht="15" hidden="false" customHeight="false" outlineLevel="0" collapsed="false">
      <c r="A2615" s="0" t="n">
        <v>30</v>
      </c>
      <c r="B2615" s="0" t="s">
        <v>60</v>
      </c>
      <c r="C2615" s="0" t="n">
        <v>2011</v>
      </c>
      <c r="D2615" s="0" t="n">
        <v>6</v>
      </c>
      <c r="E2615" s="38" t="n">
        <v>440661.56</v>
      </c>
    </row>
    <row r="2616" customFormat="false" ht="15" hidden="false" customHeight="false" outlineLevel="0" collapsed="false">
      <c r="A2616" s="0" t="n">
        <v>30</v>
      </c>
      <c r="B2616" s="0" t="s">
        <v>60</v>
      </c>
      <c r="C2616" s="0" t="n">
        <v>2011</v>
      </c>
      <c r="D2616" s="0" t="n">
        <v>7</v>
      </c>
      <c r="E2616" s="38" t="n">
        <v>455569.31</v>
      </c>
    </row>
    <row r="2617" customFormat="false" ht="15" hidden="false" customHeight="false" outlineLevel="0" collapsed="false">
      <c r="A2617" s="0" t="n">
        <v>30</v>
      </c>
      <c r="B2617" s="0" t="s">
        <v>60</v>
      </c>
      <c r="C2617" s="0" t="n">
        <v>2011</v>
      </c>
      <c r="D2617" s="0" t="n">
        <v>8</v>
      </c>
      <c r="E2617" s="38" t="n">
        <v>339401.05</v>
      </c>
    </row>
    <row r="2618" customFormat="false" ht="15" hidden="false" customHeight="false" outlineLevel="0" collapsed="false">
      <c r="A2618" s="0" t="n">
        <v>30</v>
      </c>
      <c r="B2618" s="0" t="s">
        <v>60</v>
      </c>
      <c r="C2618" s="0" t="n">
        <v>2011</v>
      </c>
      <c r="D2618" s="0" t="n">
        <v>9</v>
      </c>
      <c r="E2618" s="38" t="n">
        <v>328591.62</v>
      </c>
    </row>
    <row r="2619" customFormat="false" ht="15" hidden="false" customHeight="false" outlineLevel="0" collapsed="false">
      <c r="A2619" s="0" t="n">
        <v>30</v>
      </c>
      <c r="B2619" s="0" t="s">
        <v>60</v>
      </c>
      <c r="C2619" s="0" t="n">
        <v>2011</v>
      </c>
      <c r="D2619" s="0" t="n">
        <v>10</v>
      </c>
      <c r="E2619" s="38" t="n">
        <v>282669.34</v>
      </c>
    </row>
    <row r="2620" customFormat="false" ht="15" hidden="false" customHeight="false" outlineLevel="0" collapsed="false">
      <c r="A2620" s="0" t="n">
        <v>30</v>
      </c>
      <c r="B2620" s="0" t="s">
        <v>60</v>
      </c>
      <c r="C2620" s="0" t="n">
        <v>2011</v>
      </c>
      <c r="D2620" s="0" t="n">
        <v>11</v>
      </c>
      <c r="E2620" s="38" t="n">
        <v>323005.31</v>
      </c>
    </row>
    <row r="2621" customFormat="false" ht="15" hidden="false" customHeight="false" outlineLevel="0" collapsed="false">
      <c r="A2621" s="0" t="n">
        <v>30</v>
      </c>
      <c r="B2621" s="0" t="s">
        <v>60</v>
      </c>
      <c r="C2621" s="0" t="n">
        <v>2011</v>
      </c>
      <c r="D2621" s="0" t="n">
        <v>12</v>
      </c>
      <c r="E2621" s="38" t="n">
        <v>287625.38</v>
      </c>
    </row>
    <row r="2622" customFormat="false" ht="15" hidden="false" customHeight="false" outlineLevel="0" collapsed="false">
      <c r="A2622" s="0" t="n">
        <v>30</v>
      </c>
      <c r="B2622" s="0" t="s">
        <v>60</v>
      </c>
      <c r="C2622" s="0" t="n">
        <v>2012</v>
      </c>
      <c r="D2622" s="0" t="n">
        <v>1</v>
      </c>
      <c r="E2622" s="38" t="n">
        <v>368390.22</v>
      </c>
    </row>
    <row r="2623" customFormat="false" ht="15" hidden="false" customHeight="false" outlineLevel="0" collapsed="false">
      <c r="A2623" s="0" t="n">
        <v>30</v>
      </c>
      <c r="B2623" s="0" t="s">
        <v>60</v>
      </c>
      <c r="C2623" s="0" t="n">
        <v>2012</v>
      </c>
      <c r="D2623" s="0" t="n">
        <v>2</v>
      </c>
      <c r="E2623" s="38" t="n">
        <v>411126.98</v>
      </c>
    </row>
    <row r="2624" customFormat="false" ht="15" hidden="false" customHeight="false" outlineLevel="0" collapsed="false">
      <c r="A2624" s="0" t="n">
        <v>30</v>
      </c>
      <c r="B2624" s="0" t="s">
        <v>60</v>
      </c>
      <c r="C2624" s="0" t="n">
        <v>2012</v>
      </c>
      <c r="D2624" s="0" t="n">
        <v>3</v>
      </c>
      <c r="E2624" s="38" t="n">
        <v>384293.13</v>
      </c>
    </row>
    <row r="2625" customFormat="false" ht="15" hidden="false" customHeight="false" outlineLevel="0" collapsed="false">
      <c r="A2625" s="0" t="n">
        <v>30</v>
      </c>
      <c r="B2625" s="0" t="s">
        <v>60</v>
      </c>
      <c r="C2625" s="0" t="n">
        <v>2012</v>
      </c>
      <c r="D2625" s="0" t="n">
        <v>4</v>
      </c>
      <c r="E2625" s="38" t="n">
        <v>411917.03</v>
      </c>
    </row>
    <row r="2626" customFormat="false" ht="15" hidden="false" customHeight="false" outlineLevel="0" collapsed="false">
      <c r="A2626" s="0" t="n">
        <v>30</v>
      </c>
      <c r="B2626" s="0" t="s">
        <v>60</v>
      </c>
      <c r="C2626" s="0" t="n">
        <v>2012</v>
      </c>
      <c r="D2626" s="0" t="n">
        <v>5</v>
      </c>
      <c r="E2626" s="38" t="n">
        <v>411015.02</v>
      </c>
    </row>
    <row r="2627" customFormat="false" ht="15" hidden="false" customHeight="false" outlineLevel="0" collapsed="false">
      <c r="A2627" s="0" t="n">
        <v>30</v>
      </c>
      <c r="B2627" s="0" t="s">
        <v>60</v>
      </c>
      <c r="C2627" s="0" t="n">
        <v>2012</v>
      </c>
      <c r="D2627" s="0" t="n">
        <v>6</v>
      </c>
      <c r="E2627" s="38" t="n">
        <v>413989.53</v>
      </c>
    </row>
    <row r="2628" customFormat="false" ht="15" hidden="false" customHeight="false" outlineLevel="0" collapsed="false">
      <c r="A2628" s="0" t="n">
        <v>30</v>
      </c>
      <c r="B2628" s="0" t="s">
        <v>60</v>
      </c>
      <c r="C2628" s="0" t="n">
        <v>2012</v>
      </c>
      <c r="D2628" s="0" t="n">
        <v>7</v>
      </c>
      <c r="E2628" s="38" t="n">
        <v>407005.29</v>
      </c>
    </row>
    <row r="2629" customFormat="false" ht="15" hidden="false" customHeight="false" outlineLevel="0" collapsed="false">
      <c r="A2629" s="0" t="n">
        <v>30</v>
      </c>
      <c r="B2629" s="0" t="s">
        <v>60</v>
      </c>
      <c r="C2629" s="0" t="n">
        <v>2012</v>
      </c>
      <c r="D2629" s="0" t="n">
        <v>8</v>
      </c>
      <c r="E2629" s="38" t="n">
        <v>316698.38</v>
      </c>
    </row>
    <row r="2630" customFormat="false" ht="15" hidden="false" customHeight="false" outlineLevel="0" collapsed="false">
      <c r="A2630" s="0" t="n">
        <v>30</v>
      </c>
      <c r="B2630" s="0" t="s">
        <v>60</v>
      </c>
      <c r="C2630" s="0" t="n">
        <v>2012</v>
      </c>
      <c r="D2630" s="0" t="n">
        <v>9</v>
      </c>
      <c r="E2630" s="38" t="n">
        <v>318061.98</v>
      </c>
    </row>
    <row r="2631" customFormat="false" ht="15" hidden="false" customHeight="false" outlineLevel="0" collapsed="false">
      <c r="A2631" s="0" t="n">
        <v>30</v>
      </c>
      <c r="B2631" s="0" t="s">
        <v>60</v>
      </c>
      <c r="C2631" s="0" t="n">
        <v>2012</v>
      </c>
      <c r="D2631" s="0" t="n">
        <v>10</v>
      </c>
      <c r="E2631" s="38" t="n">
        <v>272111.19</v>
      </c>
    </row>
    <row r="2632" customFormat="false" ht="15" hidden="false" customHeight="false" outlineLevel="0" collapsed="false">
      <c r="A2632" s="0" t="n">
        <v>30</v>
      </c>
      <c r="B2632" s="0" t="s">
        <v>60</v>
      </c>
      <c r="C2632" s="0" t="n">
        <v>2012</v>
      </c>
      <c r="D2632" s="0" t="n">
        <v>11</v>
      </c>
      <c r="E2632" s="38" t="n">
        <v>301679.85</v>
      </c>
    </row>
    <row r="2633" customFormat="false" ht="15" hidden="false" customHeight="false" outlineLevel="0" collapsed="false">
      <c r="A2633" s="0" t="n">
        <v>30</v>
      </c>
      <c r="B2633" s="0" t="s">
        <v>60</v>
      </c>
      <c r="C2633" s="0" t="n">
        <v>2012</v>
      </c>
      <c r="D2633" s="0" t="n">
        <v>12</v>
      </c>
      <c r="E2633" s="38" t="n">
        <v>271672.9</v>
      </c>
    </row>
    <row r="2634" customFormat="false" ht="15" hidden="false" customHeight="false" outlineLevel="0" collapsed="false">
      <c r="A2634" s="0" t="n">
        <v>30</v>
      </c>
      <c r="B2634" s="0" t="s">
        <v>60</v>
      </c>
      <c r="C2634" s="0" t="n">
        <v>2013</v>
      </c>
      <c r="D2634" s="0" t="n">
        <v>1</v>
      </c>
      <c r="E2634" s="38" t="n">
        <v>354669.1</v>
      </c>
    </row>
    <row r="2635" customFormat="false" ht="15" hidden="false" customHeight="false" outlineLevel="0" collapsed="false">
      <c r="A2635" s="0" t="n">
        <v>30</v>
      </c>
      <c r="B2635" s="0" t="s">
        <v>60</v>
      </c>
      <c r="C2635" s="0" t="n">
        <v>2013</v>
      </c>
      <c r="D2635" s="0" t="n">
        <v>2</v>
      </c>
      <c r="E2635" s="38" t="n">
        <v>388698.15</v>
      </c>
    </row>
    <row r="2636" customFormat="false" ht="15" hidden="false" customHeight="false" outlineLevel="0" collapsed="false">
      <c r="A2636" s="0" t="n">
        <v>30</v>
      </c>
      <c r="B2636" s="0" t="s">
        <v>60</v>
      </c>
      <c r="C2636" s="0" t="n">
        <v>2013</v>
      </c>
      <c r="D2636" s="0" t="n">
        <v>3</v>
      </c>
      <c r="E2636" s="38" t="n">
        <v>369570.7</v>
      </c>
    </row>
    <row r="2637" customFormat="false" ht="15" hidden="false" customHeight="false" outlineLevel="0" collapsed="false">
      <c r="A2637" s="0" t="n">
        <v>30</v>
      </c>
      <c r="B2637" s="0" t="s">
        <v>60</v>
      </c>
      <c r="C2637" s="0" t="n">
        <v>2013</v>
      </c>
      <c r="D2637" s="0" t="n">
        <v>4</v>
      </c>
      <c r="E2637" s="38" t="n">
        <v>392613.97</v>
      </c>
    </row>
    <row r="2638" customFormat="false" ht="15" hidden="false" customHeight="false" outlineLevel="0" collapsed="false">
      <c r="A2638" s="0" t="n">
        <v>30</v>
      </c>
      <c r="B2638" s="0" t="s">
        <v>60</v>
      </c>
      <c r="C2638" s="0" t="n">
        <v>2013</v>
      </c>
      <c r="D2638" s="0" t="n">
        <v>5</v>
      </c>
      <c r="E2638" s="38" t="n">
        <v>394032.74</v>
      </c>
    </row>
    <row r="2639" customFormat="false" ht="15" hidden="false" customHeight="false" outlineLevel="0" collapsed="false">
      <c r="A2639" s="0" t="n">
        <v>30</v>
      </c>
      <c r="B2639" s="0" t="s">
        <v>60</v>
      </c>
      <c r="C2639" s="0" t="n">
        <v>2013</v>
      </c>
      <c r="D2639" s="0" t="n">
        <v>6</v>
      </c>
      <c r="E2639" s="38" t="n">
        <v>381872.72</v>
      </c>
    </row>
    <row r="2640" customFormat="false" ht="15" hidden="false" customHeight="false" outlineLevel="0" collapsed="false">
      <c r="A2640" s="0" t="n">
        <v>30</v>
      </c>
      <c r="B2640" s="0" t="s">
        <v>60</v>
      </c>
      <c r="C2640" s="0" t="n">
        <v>2013</v>
      </c>
      <c r="D2640" s="0" t="n">
        <v>7</v>
      </c>
      <c r="E2640" s="38" t="n">
        <v>388108.27</v>
      </c>
    </row>
    <row r="2641" customFormat="false" ht="15" hidden="false" customHeight="false" outlineLevel="0" collapsed="false">
      <c r="A2641" s="0" t="n">
        <v>30</v>
      </c>
      <c r="B2641" s="0" t="s">
        <v>60</v>
      </c>
      <c r="C2641" s="0" t="n">
        <v>2013</v>
      </c>
      <c r="D2641" s="0" t="n">
        <v>8</v>
      </c>
      <c r="E2641" s="38" t="n">
        <v>286881.59</v>
      </c>
    </row>
    <row r="2642" customFormat="false" ht="15" hidden="false" customHeight="false" outlineLevel="0" collapsed="false">
      <c r="A2642" s="0" t="n">
        <v>30</v>
      </c>
      <c r="B2642" s="0" t="s">
        <v>62</v>
      </c>
      <c r="C2642" s="0" t="n">
        <v>2011</v>
      </c>
      <c r="D2642" s="0" t="n">
        <v>1</v>
      </c>
      <c r="E2642" s="38" t="n">
        <v>317025.62</v>
      </c>
    </row>
    <row r="2643" customFormat="false" ht="15" hidden="false" customHeight="false" outlineLevel="0" collapsed="false">
      <c r="A2643" s="0" t="n">
        <v>30</v>
      </c>
      <c r="B2643" s="0" t="s">
        <v>62</v>
      </c>
      <c r="C2643" s="0" t="n">
        <v>2011</v>
      </c>
      <c r="D2643" s="0" t="n">
        <v>2</v>
      </c>
      <c r="E2643" s="38" t="n">
        <v>339368.28</v>
      </c>
    </row>
    <row r="2644" customFormat="false" ht="15" hidden="false" customHeight="false" outlineLevel="0" collapsed="false">
      <c r="A2644" s="0" t="n">
        <v>30</v>
      </c>
      <c r="B2644" s="0" t="s">
        <v>62</v>
      </c>
      <c r="C2644" s="0" t="n">
        <v>2011</v>
      </c>
      <c r="D2644" s="0" t="n">
        <v>3</v>
      </c>
      <c r="E2644" s="38" t="n">
        <v>351749.68</v>
      </c>
    </row>
    <row r="2645" customFormat="false" ht="15" hidden="false" customHeight="false" outlineLevel="0" collapsed="false">
      <c r="A2645" s="0" t="n">
        <v>30</v>
      </c>
      <c r="B2645" s="0" t="s">
        <v>62</v>
      </c>
      <c r="C2645" s="0" t="n">
        <v>2011</v>
      </c>
      <c r="D2645" s="0" t="n">
        <v>4</v>
      </c>
      <c r="E2645" s="38" t="n">
        <v>380038.26</v>
      </c>
    </row>
    <row r="2646" customFormat="false" ht="15" hidden="false" customHeight="false" outlineLevel="0" collapsed="false">
      <c r="A2646" s="0" t="n">
        <v>30</v>
      </c>
      <c r="B2646" s="0" t="s">
        <v>62</v>
      </c>
      <c r="C2646" s="0" t="n">
        <v>2011</v>
      </c>
      <c r="D2646" s="0" t="n">
        <v>5</v>
      </c>
      <c r="E2646" s="38" t="n">
        <v>369831.42</v>
      </c>
    </row>
    <row r="2647" customFormat="false" ht="15" hidden="false" customHeight="false" outlineLevel="0" collapsed="false">
      <c r="A2647" s="0" t="n">
        <v>30</v>
      </c>
      <c r="B2647" s="0" t="s">
        <v>62</v>
      </c>
      <c r="C2647" s="0" t="n">
        <v>2011</v>
      </c>
      <c r="D2647" s="0" t="n">
        <v>6</v>
      </c>
      <c r="E2647" s="38" t="n">
        <v>372813.12</v>
      </c>
    </row>
    <row r="2648" customFormat="false" ht="15" hidden="false" customHeight="false" outlineLevel="0" collapsed="false">
      <c r="A2648" s="0" t="n">
        <v>30</v>
      </c>
      <c r="B2648" s="0" t="s">
        <v>62</v>
      </c>
      <c r="C2648" s="0" t="n">
        <v>2011</v>
      </c>
      <c r="D2648" s="0" t="n">
        <v>7</v>
      </c>
      <c r="E2648" s="38" t="n">
        <v>357462.22</v>
      </c>
    </row>
    <row r="2649" customFormat="false" ht="15" hidden="false" customHeight="false" outlineLevel="0" collapsed="false">
      <c r="A2649" s="0" t="n">
        <v>30</v>
      </c>
      <c r="B2649" s="0" t="s">
        <v>62</v>
      </c>
      <c r="C2649" s="0" t="n">
        <v>2011</v>
      </c>
      <c r="D2649" s="0" t="n">
        <v>8</v>
      </c>
      <c r="E2649" s="38" t="n">
        <v>264678.67</v>
      </c>
    </row>
    <row r="2650" customFormat="false" ht="15" hidden="false" customHeight="false" outlineLevel="0" collapsed="false">
      <c r="A2650" s="0" t="n">
        <v>30</v>
      </c>
      <c r="B2650" s="0" t="s">
        <v>62</v>
      </c>
      <c r="C2650" s="0" t="n">
        <v>2011</v>
      </c>
      <c r="D2650" s="0" t="n">
        <v>9</v>
      </c>
      <c r="E2650" s="38" t="n">
        <v>253406.47</v>
      </c>
    </row>
    <row r="2651" customFormat="false" ht="15" hidden="false" customHeight="false" outlineLevel="0" collapsed="false">
      <c r="A2651" s="0" t="n">
        <v>30</v>
      </c>
      <c r="B2651" s="0" t="s">
        <v>62</v>
      </c>
      <c r="C2651" s="0" t="n">
        <v>2011</v>
      </c>
      <c r="D2651" s="0" t="n">
        <v>10</v>
      </c>
      <c r="E2651" s="38" t="n">
        <v>235042.97</v>
      </c>
    </row>
    <row r="2652" customFormat="false" ht="15" hidden="false" customHeight="false" outlineLevel="0" collapsed="false">
      <c r="A2652" s="0" t="n">
        <v>30</v>
      </c>
      <c r="B2652" s="0" t="s">
        <v>62</v>
      </c>
      <c r="C2652" s="0" t="n">
        <v>2011</v>
      </c>
      <c r="D2652" s="0" t="n">
        <v>11</v>
      </c>
      <c r="E2652" s="38" t="n">
        <v>267899.59</v>
      </c>
    </row>
    <row r="2653" customFormat="false" ht="15" hidden="false" customHeight="false" outlineLevel="0" collapsed="false">
      <c r="A2653" s="0" t="n">
        <v>30</v>
      </c>
      <c r="B2653" s="0" t="s">
        <v>62</v>
      </c>
      <c r="C2653" s="0" t="n">
        <v>2011</v>
      </c>
      <c r="D2653" s="0" t="n">
        <v>12</v>
      </c>
      <c r="E2653" s="38" t="n">
        <v>220866.91</v>
      </c>
    </row>
    <row r="2654" customFormat="false" ht="15" hidden="false" customHeight="false" outlineLevel="0" collapsed="false">
      <c r="A2654" s="0" t="n">
        <v>30</v>
      </c>
      <c r="B2654" s="0" t="s">
        <v>62</v>
      </c>
      <c r="C2654" s="0" t="n">
        <v>2012</v>
      </c>
      <c r="D2654" s="0" t="n">
        <v>1</v>
      </c>
      <c r="E2654" s="38" t="n">
        <v>295964.13</v>
      </c>
    </row>
    <row r="2655" customFormat="false" ht="15" hidden="false" customHeight="false" outlineLevel="0" collapsed="false">
      <c r="A2655" s="0" t="n">
        <v>30</v>
      </c>
      <c r="B2655" s="0" t="s">
        <v>62</v>
      </c>
      <c r="C2655" s="0" t="n">
        <v>2012</v>
      </c>
      <c r="D2655" s="0" t="n">
        <v>2</v>
      </c>
      <c r="E2655" s="38" t="n">
        <v>329950.37</v>
      </c>
    </row>
    <row r="2656" customFormat="false" ht="15" hidden="false" customHeight="false" outlineLevel="0" collapsed="false">
      <c r="A2656" s="0" t="n">
        <v>30</v>
      </c>
      <c r="B2656" s="0" t="s">
        <v>62</v>
      </c>
      <c r="C2656" s="0" t="n">
        <v>2012</v>
      </c>
      <c r="D2656" s="0" t="n">
        <v>3</v>
      </c>
      <c r="E2656" s="38" t="n">
        <v>305015.43</v>
      </c>
    </row>
    <row r="2657" customFormat="false" ht="15" hidden="false" customHeight="false" outlineLevel="0" collapsed="false">
      <c r="A2657" s="0" t="n">
        <v>30</v>
      </c>
      <c r="B2657" s="0" t="s">
        <v>62</v>
      </c>
      <c r="C2657" s="0" t="n">
        <v>2012</v>
      </c>
      <c r="D2657" s="0" t="n">
        <v>4</v>
      </c>
      <c r="E2657" s="38" t="n">
        <v>326168.66</v>
      </c>
    </row>
    <row r="2658" customFormat="false" ht="15" hidden="false" customHeight="false" outlineLevel="0" collapsed="false">
      <c r="A2658" s="0" t="n">
        <v>30</v>
      </c>
      <c r="B2658" s="0" t="s">
        <v>62</v>
      </c>
      <c r="C2658" s="0" t="n">
        <v>2012</v>
      </c>
      <c r="D2658" s="0" t="n">
        <v>5</v>
      </c>
      <c r="E2658" s="38" t="n">
        <v>315207.29</v>
      </c>
    </row>
    <row r="2659" customFormat="false" ht="15" hidden="false" customHeight="false" outlineLevel="0" collapsed="false">
      <c r="A2659" s="0" t="n">
        <v>30</v>
      </c>
      <c r="B2659" s="0" t="s">
        <v>62</v>
      </c>
      <c r="C2659" s="0" t="n">
        <v>2012</v>
      </c>
      <c r="D2659" s="0" t="n">
        <v>6</v>
      </c>
      <c r="E2659" s="38" t="n">
        <v>326749.69</v>
      </c>
    </row>
    <row r="2660" customFormat="false" ht="15" hidden="false" customHeight="false" outlineLevel="0" collapsed="false">
      <c r="A2660" s="0" t="n">
        <v>30</v>
      </c>
      <c r="B2660" s="0" t="s">
        <v>62</v>
      </c>
      <c r="C2660" s="0" t="n">
        <v>2012</v>
      </c>
      <c r="D2660" s="0" t="n">
        <v>7</v>
      </c>
      <c r="E2660" s="38" t="n">
        <v>306554.65</v>
      </c>
    </row>
    <row r="2661" customFormat="false" ht="15" hidden="false" customHeight="false" outlineLevel="0" collapsed="false">
      <c r="A2661" s="0" t="n">
        <v>30</v>
      </c>
      <c r="B2661" s="0" t="s">
        <v>62</v>
      </c>
      <c r="C2661" s="0" t="n">
        <v>2012</v>
      </c>
      <c r="D2661" s="0" t="n">
        <v>8</v>
      </c>
      <c r="E2661" s="38" t="n">
        <v>247313.77</v>
      </c>
    </row>
    <row r="2662" customFormat="false" ht="15" hidden="false" customHeight="false" outlineLevel="0" collapsed="false">
      <c r="A2662" s="0" t="n">
        <v>30</v>
      </c>
      <c r="B2662" s="0" t="s">
        <v>62</v>
      </c>
      <c r="C2662" s="0" t="n">
        <v>2012</v>
      </c>
      <c r="D2662" s="0" t="n">
        <v>9</v>
      </c>
      <c r="E2662" s="38" t="n">
        <v>244146.43</v>
      </c>
    </row>
    <row r="2663" customFormat="false" ht="15" hidden="false" customHeight="false" outlineLevel="0" collapsed="false">
      <c r="A2663" s="0" t="n">
        <v>30</v>
      </c>
      <c r="B2663" s="0" t="s">
        <v>62</v>
      </c>
      <c r="C2663" s="0" t="n">
        <v>2012</v>
      </c>
      <c r="D2663" s="0" t="n">
        <v>10</v>
      </c>
      <c r="E2663" s="38" t="n">
        <v>221366.52</v>
      </c>
    </row>
    <row r="2664" customFormat="false" ht="15" hidden="false" customHeight="false" outlineLevel="0" collapsed="false">
      <c r="A2664" s="0" t="n">
        <v>30</v>
      </c>
      <c r="B2664" s="0" t="s">
        <v>62</v>
      </c>
      <c r="C2664" s="0" t="n">
        <v>2012</v>
      </c>
      <c r="D2664" s="0" t="n">
        <v>11</v>
      </c>
      <c r="E2664" s="38" t="n">
        <v>242038.8</v>
      </c>
    </row>
    <row r="2665" customFormat="false" ht="15" hidden="false" customHeight="false" outlineLevel="0" collapsed="false">
      <c r="A2665" s="0" t="n">
        <v>30</v>
      </c>
      <c r="B2665" s="0" t="s">
        <v>62</v>
      </c>
      <c r="C2665" s="0" t="n">
        <v>2012</v>
      </c>
      <c r="D2665" s="0" t="n">
        <v>12</v>
      </c>
      <c r="E2665" s="38" t="n">
        <v>207331.27</v>
      </c>
    </row>
    <row r="2666" customFormat="false" ht="15" hidden="false" customHeight="false" outlineLevel="0" collapsed="false">
      <c r="A2666" s="0" t="n">
        <v>30</v>
      </c>
      <c r="B2666" s="0" t="s">
        <v>62</v>
      </c>
      <c r="C2666" s="0" t="n">
        <v>2013</v>
      </c>
      <c r="D2666" s="0" t="n">
        <v>1</v>
      </c>
      <c r="E2666" s="38" t="n">
        <v>270744.59</v>
      </c>
    </row>
    <row r="2667" customFormat="false" ht="15" hidden="false" customHeight="false" outlineLevel="0" collapsed="false">
      <c r="A2667" s="0" t="n">
        <v>30</v>
      </c>
      <c r="B2667" s="0" t="s">
        <v>62</v>
      </c>
      <c r="C2667" s="0" t="n">
        <v>2013</v>
      </c>
      <c r="D2667" s="0" t="n">
        <v>2</v>
      </c>
      <c r="E2667" s="38" t="n">
        <v>314705.86</v>
      </c>
    </row>
    <row r="2668" customFormat="false" ht="15" hidden="false" customHeight="false" outlineLevel="0" collapsed="false">
      <c r="A2668" s="0" t="n">
        <v>30</v>
      </c>
      <c r="B2668" s="0" t="s">
        <v>62</v>
      </c>
      <c r="C2668" s="0" t="n">
        <v>2013</v>
      </c>
      <c r="D2668" s="0" t="n">
        <v>3</v>
      </c>
      <c r="E2668" s="38" t="n">
        <v>292543.06</v>
      </c>
    </row>
    <row r="2669" customFormat="false" ht="15" hidden="false" customHeight="false" outlineLevel="0" collapsed="false">
      <c r="A2669" s="0" t="n">
        <v>30</v>
      </c>
      <c r="B2669" s="0" t="s">
        <v>62</v>
      </c>
      <c r="C2669" s="0" t="n">
        <v>2013</v>
      </c>
      <c r="D2669" s="0" t="n">
        <v>4</v>
      </c>
      <c r="E2669" s="38" t="n">
        <v>311664</v>
      </c>
    </row>
    <row r="2670" customFormat="false" ht="15" hidden="false" customHeight="false" outlineLevel="0" collapsed="false">
      <c r="A2670" s="0" t="n">
        <v>30</v>
      </c>
      <c r="B2670" s="0" t="s">
        <v>62</v>
      </c>
      <c r="C2670" s="0" t="n">
        <v>2013</v>
      </c>
      <c r="D2670" s="0" t="n">
        <v>5</v>
      </c>
      <c r="E2670" s="38" t="n">
        <v>307904.01</v>
      </c>
    </row>
    <row r="2671" customFormat="false" ht="15" hidden="false" customHeight="false" outlineLevel="0" collapsed="false">
      <c r="A2671" s="0" t="n">
        <v>30</v>
      </c>
      <c r="B2671" s="0" t="s">
        <v>62</v>
      </c>
      <c r="C2671" s="0" t="n">
        <v>2013</v>
      </c>
      <c r="D2671" s="0" t="n">
        <v>6</v>
      </c>
      <c r="E2671" s="38" t="n">
        <v>321477.32</v>
      </c>
    </row>
    <row r="2672" customFormat="false" ht="15" hidden="false" customHeight="false" outlineLevel="0" collapsed="false">
      <c r="A2672" s="0" t="n">
        <v>30</v>
      </c>
      <c r="B2672" s="0" t="s">
        <v>62</v>
      </c>
      <c r="C2672" s="0" t="n">
        <v>2013</v>
      </c>
      <c r="D2672" s="0" t="n">
        <v>7</v>
      </c>
      <c r="E2672" s="38" t="n">
        <v>307437.43</v>
      </c>
    </row>
    <row r="2673" customFormat="false" ht="15" hidden="false" customHeight="false" outlineLevel="0" collapsed="false">
      <c r="A2673" s="0" t="n">
        <v>30</v>
      </c>
      <c r="B2673" s="0" t="s">
        <v>62</v>
      </c>
      <c r="C2673" s="0" t="n">
        <v>2013</v>
      </c>
      <c r="D2673" s="0" t="n">
        <v>8</v>
      </c>
      <c r="E2673" s="38" t="n">
        <v>236537.47</v>
      </c>
    </row>
    <row r="2674" customFormat="false" ht="15" hidden="false" customHeight="false" outlineLevel="0" collapsed="false">
      <c r="A2674" s="0" t="n">
        <v>31</v>
      </c>
      <c r="B2674" s="0" t="s">
        <v>60</v>
      </c>
      <c r="C2674" s="0" t="n">
        <v>2011</v>
      </c>
      <c r="D2674" s="0" t="n">
        <v>1</v>
      </c>
      <c r="E2674" s="38" t="n">
        <v>198860.4</v>
      </c>
    </row>
    <row r="2675" customFormat="false" ht="15" hidden="false" customHeight="false" outlineLevel="0" collapsed="false">
      <c r="A2675" s="0" t="n">
        <v>31</v>
      </c>
      <c r="B2675" s="0" t="s">
        <v>60</v>
      </c>
      <c r="C2675" s="0" t="n">
        <v>2011</v>
      </c>
      <c r="D2675" s="0" t="n">
        <v>2</v>
      </c>
      <c r="E2675" s="38" t="n">
        <v>179800.71</v>
      </c>
    </row>
    <row r="2676" customFormat="false" ht="15" hidden="false" customHeight="false" outlineLevel="0" collapsed="false">
      <c r="A2676" s="0" t="n">
        <v>31</v>
      </c>
      <c r="B2676" s="0" t="s">
        <v>60</v>
      </c>
      <c r="C2676" s="0" t="n">
        <v>2011</v>
      </c>
      <c r="D2676" s="0" t="n">
        <v>3</v>
      </c>
      <c r="E2676" s="38" t="n">
        <v>157368.81</v>
      </c>
    </row>
    <row r="2677" customFormat="false" ht="15" hidden="false" customHeight="false" outlineLevel="0" collapsed="false">
      <c r="A2677" s="0" t="n">
        <v>31</v>
      </c>
      <c r="B2677" s="0" t="s">
        <v>60</v>
      </c>
      <c r="C2677" s="0" t="n">
        <v>2011</v>
      </c>
      <c r="D2677" s="0" t="n">
        <v>4</v>
      </c>
      <c r="E2677" s="38" t="n">
        <v>171075.43</v>
      </c>
    </row>
    <row r="2678" customFormat="false" ht="15" hidden="false" customHeight="false" outlineLevel="0" collapsed="false">
      <c r="A2678" s="0" t="n">
        <v>31</v>
      </c>
      <c r="B2678" s="0" t="s">
        <v>60</v>
      </c>
      <c r="C2678" s="0" t="n">
        <v>2011</v>
      </c>
      <c r="D2678" s="0" t="n">
        <v>5</v>
      </c>
      <c r="E2678" s="38" t="n">
        <v>163358.52</v>
      </c>
    </row>
    <row r="2679" customFormat="false" ht="15" hidden="false" customHeight="false" outlineLevel="0" collapsed="false">
      <c r="A2679" s="0" t="n">
        <v>31</v>
      </c>
      <c r="B2679" s="0" t="s">
        <v>60</v>
      </c>
      <c r="C2679" s="0" t="n">
        <v>2011</v>
      </c>
      <c r="D2679" s="0" t="n">
        <v>6</v>
      </c>
      <c r="E2679" s="38" t="n">
        <v>233796.27</v>
      </c>
    </row>
    <row r="2680" customFormat="false" ht="15" hidden="false" customHeight="false" outlineLevel="0" collapsed="false">
      <c r="A2680" s="0" t="n">
        <v>31</v>
      </c>
      <c r="B2680" s="0" t="s">
        <v>60</v>
      </c>
      <c r="C2680" s="0" t="n">
        <v>2011</v>
      </c>
      <c r="D2680" s="0" t="n">
        <v>7</v>
      </c>
      <c r="E2680" s="38" t="n">
        <v>483183.83</v>
      </c>
    </row>
    <row r="2681" customFormat="false" ht="15" hidden="false" customHeight="false" outlineLevel="0" collapsed="false">
      <c r="A2681" s="0" t="n">
        <v>31</v>
      </c>
      <c r="B2681" s="0" t="s">
        <v>60</v>
      </c>
      <c r="C2681" s="0" t="n">
        <v>2011</v>
      </c>
      <c r="D2681" s="0" t="n">
        <v>8</v>
      </c>
      <c r="E2681" s="38" t="n">
        <v>241734.94</v>
      </c>
    </row>
    <row r="2682" customFormat="false" ht="15" hidden="false" customHeight="false" outlineLevel="0" collapsed="false">
      <c r="A2682" s="0" t="n">
        <v>31</v>
      </c>
      <c r="B2682" s="0" t="s">
        <v>60</v>
      </c>
      <c r="C2682" s="0" t="n">
        <v>2011</v>
      </c>
      <c r="D2682" s="0" t="n">
        <v>9</v>
      </c>
      <c r="E2682" s="38" t="n">
        <v>204240.07</v>
      </c>
    </row>
    <row r="2683" customFormat="false" ht="15" hidden="false" customHeight="false" outlineLevel="0" collapsed="false">
      <c r="A2683" s="0" t="n">
        <v>31</v>
      </c>
      <c r="B2683" s="0" t="s">
        <v>60</v>
      </c>
      <c r="C2683" s="0" t="n">
        <v>2011</v>
      </c>
      <c r="D2683" s="0" t="n">
        <v>10</v>
      </c>
      <c r="E2683" s="38" t="n">
        <v>241084.17</v>
      </c>
    </row>
    <row r="2684" customFormat="false" ht="15" hidden="false" customHeight="false" outlineLevel="0" collapsed="false">
      <c r="A2684" s="0" t="n">
        <v>31</v>
      </c>
      <c r="B2684" s="0" t="s">
        <v>60</v>
      </c>
      <c r="C2684" s="0" t="n">
        <v>2011</v>
      </c>
      <c r="D2684" s="0" t="n">
        <v>11</v>
      </c>
      <c r="E2684" s="38" t="n">
        <v>397698.31</v>
      </c>
    </row>
    <row r="2685" customFormat="false" ht="15" hidden="false" customHeight="false" outlineLevel="0" collapsed="false">
      <c r="A2685" s="0" t="n">
        <v>31</v>
      </c>
      <c r="B2685" s="0" t="s">
        <v>60</v>
      </c>
      <c r="C2685" s="0" t="n">
        <v>2011</v>
      </c>
      <c r="D2685" s="0" t="n">
        <v>12</v>
      </c>
      <c r="E2685" s="38" t="n">
        <v>193953.94</v>
      </c>
    </row>
    <row r="2686" customFormat="false" ht="15" hidden="false" customHeight="false" outlineLevel="0" collapsed="false">
      <c r="A2686" s="0" t="n">
        <v>31</v>
      </c>
      <c r="B2686" s="0" t="s">
        <v>60</v>
      </c>
      <c r="C2686" s="0" t="n">
        <v>2012</v>
      </c>
      <c r="D2686" s="0" t="n">
        <v>1</v>
      </c>
      <c r="E2686" s="38" t="n">
        <v>178460.38</v>
      </c>
    </row>
    <row r="2687" customFormat="false" ht="15" hidden="false" customHeight="false" outlineLevel="0" collapsed="false">
      <c r="A2687" s="0" t="n">
        <v>31</v>
      </c>
      <c r="B2687" s="0" t="s">
        <v>60</v>
      </c>
      <c r="C2687" s="0" t="n">
        <v>2012</v>
      </c>
      <c r="D2687" s="0" t="n">
        <v>2</v>
      </c>
      <c r="E2687" s="38" t="n">
        <v>176132.07</v>
      </c>
    </row>
    <row r="2688" customFormat="false" ht="15" hidden="false" customHeight="false" outlineLevel="0" collapsed="false">
      <c r="A2688" s="0" t="n">
        <v>31</v>
      </c>
      <c r="B2688" s="0" t="s">
        <v>60</v>
      </c>
      <c r="C2688" s="0" t="n">
        <v>2012</v>
      </c>
      <c r="D2688" s="0" t="n">
        <v>3</v>
      </c>
      <c r="E2688" s="38" t="n">
        <v>166940.52</v>
      </c>
    </row>
    <row r="2689" customFormat="false" ht="15" hidden="false" customHeight="false" outlineLevel="0" collapsed="false">
      <c r="A2689" s="0" t="n">
        <v>31</v>
      </c>
      <c r="B2689" s="0" t="s">
        <v>60</v>
      </c>
      <c r="C2689" s="0" t="n">
        <v>2012</v>
      </c>
      <c r="D2689" s="0" t="n">
        <v>4</v>
      </c>
      <c r="E2689" s="38" t="n">
        <v>180431</v>
      </c>
    </row>
    <row r="2690" customFormat="false" ht="15" hidden="false" customHeight="false" outlineLevel="0" collapsed="false">
      <c r="A2690" s="0" t="n">
        <v>31</v>
      </c>
      <c r="B2690" s="0" t="s">
        <v>60</v>
      </c>
      <c r="C2690" s="0" t="n">
        <v>2012</v>
      </c>
      <c r="D2690" s="0" t="n">
        <v>5</v>
      </c>
      <c r="E2690" s="38" t="n">
        <v>179025.47</v>
      </c>
    </row>
    <row r="2691" customFormat="false" ht="15" hidden="false" customHeight="false" outlineLevel="0" collapsed="false">
      <c r="A2691" s="0" t="n">
        <v>31</v>
      </c>
      <c r="B2691" s="0" t="s">
        <v>60</v>
      </c>
      <c r="C2691" s="0" t="n">
        <v>2012</v>
      </c>
      <c r="D2691" s="0" t="n">
        <v>6</v>
      </c>
      <c r="E2691" s="38" t="n">
        <v>271189.91</v>
      </c>
    </row>
    <row r="2692" customFormat="false" ht="15" hidden="false" customHeight="false" outlineLevel="0" collapsed="false">
      <c r="A2692" s="0" t="n">
        <v>31</v>
      </c>
      <c r="B2692" s="0" t="s">
        <v>60</v>
      </c>
      <c r="C2692" s="0" t="n">
        <v>2012</v>
      </c>
      <c r="D2692" s="0" t="n">
        <v>7</v>
      </c>
      <c r="E2692" s="38" t="n">
        <v>478418.85</v>
      </c>
    </row>
    <row r="2693" customFormat="false" ht="15" hidden="false" customHeight="false" outlineLevel="0" collapsed="false">
      <c r="A2693" s="0" t="n">
        <v>31</v>
      </c>
      <c r="B2693" s="0" t="s">
        <v>60</v>
      </c>
      <c r="C2693" s="0" t="n">
        <v>2012</v>
      </c>
      <c r="D2693" s="0" t="n">
        <v>8</v>
      </c>
      <c r="E2693" s="38" t="n">
        <v>218849.62</v>
      </c>
    </row>
    <row r="2694" customFormat="false" ht="15" hidden="false" customHeight="false" outlineLevel="0" collapsed="false">
      <c r="A2694" s="0" t="n">
        <v>31</v>
      </c>
      <c r="B2694" s="0" t="s">
        <v>60</v>
      </c>
      <c r="C2694" s="0" t="n">
        <v>2012</v>
      </c>
      <c r="D2694" s="0" t="n">
        <v>9</v>
      </c>
      <c r="E2694" s="38" t="n">
        <v>209364.83</v>
      </c>
    </row>
    <row r="2695" customFormat="false" ht="15" hidden="false" customHeight="false" outlineLevel="0" collapsed="false">
      <c r="A2695" s="0" t="n">
        <v>31</v>
      </c>
      <c r="B2695" s="0" t="s">
        <v>60</v>
      </c>
      <c r="C2695" s="0" t="n">
        <v>2012</v>
      </c>
      <c r="D2695" s="0" t="n">
        <v>10</v>
      </c>
      <c r="E2695" s="38" t="n">
        <v>223472.82</v>
      </c>
    </row>
    <row r="2696" customFormat="false" ht="15" hidden="false" customHeight="false" outlineLevel="0" collapsed="false">
      <c r="A2696" s="0" t="n">
        <v>31</v>
      </c>
      <c r="B2696" s="0" t="s">
        <v>60</v>
      </c>
      <c r="C2696" s="0" t="n">
        <v>2012</v>
      </c>
      <c r="D2696" s="0" t="n">
        <v>11</v>
      </c>
      <c r="E2696" s="38" t="n">
        <v>390282.84</v>
      </c>
    </row>
    <row r="2697" customFormat="false" ht="15" hidden="false" customHeight="false" outlineLevel="0" collapsed="false">
      <c r="A2697" s="0" t="n">
        <v>31</v>
      </c>
      <c r="B2697" s="0" t="s">
        <v>60</v>
      </c>
      <c r="C2697" s="0" t="n">
        <v>2012</v>
      </c>
      <c r="D2697" s="0" t="n">
        <v>12</v>
      </c>
      <c r="E2697" s="38" t="n">
        <v>156950.62</v>
      </c>
    </row>
    <row r="2698" customFormat="false" ht="15" hidden="false" customHeight="false" outlineLevel="0" collapsed="false">
      <c r="A2698" s="0" t="n">
        <v>31</v>
      </c>
      <c r="B2698" s="0" t="s">
        <v>60</v>
      </c>
      <c r="C2698" s="0" t="n">
        <v>2013</v>
      </c>
      <c r="D2698" s="0" t="n">
        <v>1</v>
      </c>
      <c r="E2698" s="38" t="n">
        <v>164704.65</v>
      </c>
    </row>
    <row r="2699" customFormat="false" ht="15" hidden="false" customHeight="false" outlineLevel="0" collapsed="false">
      <c r="A2699" s="0" t="n">
        <v>31</v>
      </c>
      <c r="B2699" s="0" t="s">
        <v>60</v>
      </c>
      <c r="C2699" s="0" t="n">
        <v>2013</v>
      </c>
      <c r="D2699" s="0" t="n">
        <v>2</v>
      </c>
      <c r="E2699" s="38" t="n">
        <v>163149.74</v>
      </c>
    </row>
    <row r="2700" customFormat="false" ht="15" hidden="false" customHeight="false" outlineLevel="0" collapsed="false">
      <c r="A2700" s="0" t="n">
        <v>31</v>
      </c>
      <c r="B2700" s="0" t="s">
        <v>60</v>
      </c>
      <c r="C2700" s="0" t="n">
        <v>2013</v>
      </c>
      <c r="D2700" s="0" t="n">
        <v>3</v>
      </c>
      <c r="E2700" s="38" t="n">
        <v>151486.18</v>
      </c>
    </row>
    <row r="2701" customFormat="false" ht="15" hidden="false" customHeight="false" outlineLevel="0" collapsed="false">
      <c r="A2701" s="0" t="n">
        <v>31</v>
      </c>
      <c r="B2701" s="0" t="s">
        <v>60</v>
      </c>
      <c r="C2701" s="0" t="n">
        <v>2013</v>
      </c>
      <c r="D2701" s="0" t="n">
        <v>4</v>
      </c>
      <c r="E2701" s="38" t="n">
        <v>168538.28</v>
      </c>
    </row>
    <row r="2702" customFormat="false" ht="15" hidden="false" customHeight="false" outlineLevel="0" collapsed="false">
      <c r="A2702" s="0" t="n">
        <v>31</v>
      </c>
      <c r="B2702" s="0" t="s">
        <v>60</v>
      </c>
      <c r="C2702" s="0" t="n">
        <v>2013</v>
      </c>
      <c r="D2702" s="0" t="n">
        <v>5</v>
      </c>
      <c r="E2702" s="38" t="n">
        <v>167586.81</v>
      </c>
    </row>
    <row r="2703" customFormat="false" ht="15" hidden="false" customHeight="false" outlineLevel="0" collapsed="false">
      <c r="A2703" s="0" t="n">
        <v>31</v>
      </c>
      <c r="B2703" s="0" t="s">
        <v>60</v>
      </c>
      <c r="C2703" s="0" t="n">
        <v>2013</v>
      </c>
      <c r="D2703" s="0" t="n">
        <v>6</v>
      </c>
      <c r="E2703" s="38" t="n">
        <v>266949.26</v>
      </c>
    </row>
    <row r="2704" customFormat="false" ht="15" hidden="false" customHeight="false" outlineLevel="0" collapsed="false">
      <c r="A2704" s="0" t="n">
        <v>31</v>
      </c>
      <c r="B2704" s="0" t="s">
        <v>60</v>
      </c>
      <c r="C2704" s="0" t="n">
        <v>2013</v>
      </c>
      <c r="D2704" s="0" t="n">
        <v>7</v>
      </c>
      <c r="E2704" s="38" t="n">
        <v>464451.68</v>
      </c>
    </row>
    <row r="2705" customFormat="false" ht="15" hidden="false" customHeight="false" outlineLevel="0" collapsed="false">
      <c r="A2705" s="0" t="n">
        <v>31</v>
      </c>
      <c r="B2705" s="0" t="s">
        <v>60</v>
      </c>
      <c r="C2705" s="0" t="n">
        <v>2013</v>
      </c>
      <c r="D2705" s="0" t="n">
        <v>8</v>
      </c>
      <c r="E2705" s="38" t="n">
        <v>211147.51</v>
      </c>
    </row>
    <row r="2706" customFormat="false" ht="15" hidden="false" customHeight="false" outlineLevel="0" collapsed="false">
      <c r="A2706" s="0" t="n">
        <v>31</v>
      </c>
      <c r="B2706" s="0" t="s">
        <v>62</v>
      </c>
      <c r="C2706" s="0" t="n">
        <v>2011</v>
      </c>
      <c r="D2706" s="0" t="n">
        <v>1</v>
      </c>
      <c r="E2706" s="38" t="n">
        <v>186239.6</v>
      </c>
    </row>
    <row r="2707" customFormat="false" ht="15" hidden="false" customHeight="false" outlineLevel="0" collapsed="false">
      <c r="A2707" s="0" t="n">
        <v>31</v>
      </c>
      <c r="B2707" s="0" t="s">
        <v>62</v>
      </c>
      <c r="C2707" s="0" t="n">
        <v>2011</v>
      </c>
      <c r="D2707" s="0" t="n">
        <v>2</v>
      </c>
      <c r="E2707" s="38" t="n">
        <v>174318.2</v>
      </c>
    </row>
    <row r="2708" customFormat="false" ht="15" hidden="false" customHeight="false" outlineLevel="0" collapsed="false">
      <c r="A2708" s="0" t="n">
        <v>31</v>
      </c>
      <c r="B2708" s="0" t="s">
        <v>62</v>
      </c>
      <c r="C2708" s="0" t="n">
        <v>2011</v>
      </c>
      <c r="D2708" s="0" t="n">
        <v>3</v>
      </c>
      <c r="E2708" s="38" t="n">
        <v>143376.33</v>
      </c>
    </row>
    <row r="2709" customFormat="false" ht="15" hidden="false" customHeight="false" outlineLevel="0" collapsed="false">
      <c r="A2709" s="0" t="n">
        <v>31</v>
      </c>
      <c r="B2709" s="0" t="s">
        <v>62</v>
      </c>
      <c r="C2709" s="0" t="n">
        <v>2011</v>
      </c>
      <c r="D2709" s="0" t="n">
        <v>4</v>
      </c>
      <c r="E2709" s="38" t="n">
        <v>153452.68</v>
      </c>
    </row>
    <row r="2710" customFormat="false" ht="15" hidden="false" customHeight="false" outlineLevel="0" collapsed="false">
      <c r="A2710" s="0" t="n">
        <v>31</v>
      </c>
      <c r="B2710" s="0" t="s">
        <v>62</v>
      </c>
      <c r="C2710" s="0" t="n">
        <v>2011</v>
      </c>
      <c r="D2710" s="0" t="n">
        <v>5</v>
      </c>
      <c r="E2710" s="38" t="n">
        <v>153212.51</v>
      </c>
    </row>
    <row r="2711" customFormat="false" ht="15" hidden="false" customHeight="false" outlineLevel="0" collapsed="false">
      <c r="A2711" s="0" t="n">
        <v>31</v>
      </c>
      <c r="B2711" s="0" t="s">
        <v>62</v>
      </c>
      <c r="C2711" s="0" t="n">
        <v>2011</v>
      </c>
      <c r="D2711" s="0" t="n">
        <v>6</v>
      </c>
      <c r="E2711" s="38" t="n">
        <v>195621.2</v>
      </c>
    </row>
    <row r="2712" customFormat="false" ht="15" hidden="false" customHeight="false" outlineLevel="0" collapsed="false">
      <c r="A2712" s="0" t="n">
        <v>31</v>
      </c>
      <c r="B2712" s="0" t="s">
        <v>62</v>
      </c>
      <c r="C2712" s="0" t="n">
        <v>2011</v>
      </c>
      <c r="D2712" s="0" t="n">
        <v>7</v>
      </c>
      <c r="E2712" s="38" t="n">
        <v>382544.12</v>
      </c>
    </row>
    <row r="2713" customFormat="false" ht="15" hidden="false" customHeight="false" outlineLevel="0" collapsed="false">
      <c r="A2713" s="0" t="n">
        <v>31</v>
      </c>
      <c r="B2713" s="0" t="s">
        <v>62</v>
      </c>
      <c r="C2713" s="0" t="n">
        <v>2011</v>
      </c>
      <c r="D2713" s="0" t="n">
        <v>8</v>
      </c>
      <c r="E2713" s="38" t="n">
        <v>202270.07</v>
      </c>
    </row>
    <row r="2714" customFormat="false" ht="15" hidden="false" customHeight="false" outlineLevel="0" collapsed="false">
      <c r="A2714" s="0" t="n">
        <v>31</v>
      </c>
      <c r="B2714" s="0" t="s">
        <v>62</v>
      </c>
      <c r="C2714" s="0" t="n">
        <v>2011</v>
      </c>
      <c r="D2714" s="0" t="n">
        <v>9</v>
      </c>
      <c r="E2714" s="38" t="n">
        <v>183391.4</v>
      </c>
    </row>
    <row r="2715" customFormat="false" ht="15" hidden="false" customHeight="false" outlineLevel="0" collapsed="false">
      <c r="A2715" s="0" t="n">
        <v>31</v>
      </c>
      <c r="B2715" s="0" t="s">
        <v>62</v>
      </c>
      <c r="C2715" s="0" t="n">
        <v>2011</v>
      </c>
      <c r="D2715" s="0" t="n">
        <v>10</v>
      </c>
      <c r="E2715" s="38" t="n">
        <v>211455.11</v>
      </c>
    </row>
    <row r="2716" customFormat="false" ht="15" hidden="false" customHeight="false" outlineLevel="0" collapsed="false">
      <c r="A2716" s="0" t="n">
        <v>31</v>
      </c>
      <c r="B2716" s="0" t="s">
        <v>62</v>
      </c>
      <c r="C2716" s="0" t="n">
        <v>2011</v>
      </c>
      <c r="D2716" s="0" t="n">
        <v>11</v>
      </c>
      <c r="E2716" s="38" t="n">
        <v>365375.1</v>
      </c>
    </row>
    <row r="2717" customFormat="false" ht="15" hidden="false" customHeight="false" outlineLevel="0" collapsed="false">
      <c r="A2717" s="0" t="n">
        <v>31</v>
      </c>
      <c r="B2717" s="0" t="s">
        <v>62</v>
      </c>
      <c r="C2717" s="0" t="n">
        <v>2011</v>
      </c>
      <c r="D2717" s="0" t="n">
        <v>12</v>
      </c>
      <c r="E2717" s="38" t="n">
        <v>162899.12</v>
      </c>
    </row>
    <row r="2718" customFormat="false" ht="15" hidden="false" customHeight="false" outlineLevel="0" collapsed="false">
      <c r="A2718" s="0" t="n">
        <v>31</v>
      </c>
      <c r="B2718" s="0" t="s">
        <v>62</v>
      </c>
      <c r="C2718" s="0" t="n">
        <v>2012</v>
      </c>
      <c r="D2718" s="0" t="n">
        <v>1</v>
      </c>
      <c r="E2718" s="38" t="n">
        <v>156735.58</v>
      </c>
    </row>
    <row r="2719" customFormat="false" ht="15" hidden="false" customHeight="false" outlineLevel="0" collapsed="false">
      <c r="A2719" s="0" t="n">
        <v>31</v>
      </c>
      <c r="B2719" s="0" t="s">
        <v>62</v>
      </c>
      <c r="C2719" s="0" t="n">
        <v>2012</v>
      </c>
      <c r="D2719" s="0" t="n">
        <v>2</v>
      </c>
      <c r="E2719" s="38" t="n">
        <v>172027.23</v>
      </c>
    </row>
    <row r="2720" customFormat="false" ht="15" hidden="false" customHeight="false" outlineLevel="0" collapsed="false">
      <c r="A2720" s="0" t="n">
        <v>31</v>
      </c>
      <c r="B2720" s="0" t="s">
        <v>62</v>
      </c>
      <c r="C2720" s="0" t="n">
        <v>2012</v>
      </c>
      <c r="D2720" s="0" t="n">
        <v>3</v>
      </c>
      <c r="E2720" s="38" t="n">
        <v>155773.56</v>
      </c>
    </row>
    <row r="2721" customFormat="false" ht="15" hidden="false" customHeight="false" outlineLevel="0" collapsed="false">
      <c r="A2721" s="0" t="n">
        <v>31</v>
      </c>
      <c r="B2721" s="0" t="s">
        <v>62</v>
      </c>
      <c r="C2721" s="0" t="n">
        <v>2012</v>
      </c>
      <c r="D2721" s="0" t="n">
        <v>4</v>
      </c>
      <c r="E2721" s="38" t="n">
        <v>166236.61</v>
      </c>
    </row>
    <row r="2722" customFormat="false" ht="15" hidden="false" customHeight="false" outlineLevel="0" collapsed="false">
      <c r="A2722" s="0" t="n">
        <v>31</v>
      </c>
      <c r="B2722" s="0" t="s">
        <v>62</v>
      </c>
      <c r="C2722" s="0" t="n">
        <v>2012</v>
      </c>
      <c r="D2722" s="0" t="n">
        <v>5</v>
      </c>
      <c r="E2722" s="38" t="n">
        <v>163177.06</v>
      </c>
    </row>
    <row r="2723" customFormat="false" ht="15" hidden="false" customHeight="false" outlineLevel="0" collapsed="false">
      <c r="A2723" s="0" t="n">
        <v>31</v>
      </c>
      <c r="B2723" s="0" t="s">
        <v>62</v>
      </c>
      <c r="C2723" s="0" t="n">
        <v>2012</v>
      </c>
      <c r="D2723" s="0" t="n">
        <v>6</v>
      </c>
      <c r="E2723" s="38" t="n">
        <v>214482.48</v>
      </c>
    </row>
    <row r="2724" customFormat="false" ht="15" hidden="false" customHeight="false" outlineLevel="0" collapsed="false">
      <c r="A2724" s="0" t="n">
        <v>31</v>
      </c>
      <c r="B2724" s="0" t="s">
        <v>62</v>
      </c>
      <c r="C2724" s="0" t="n">
        <v>2012</v>
      </c>
      <c r="D2724" s="0" t="n">
        <v>7</v>
      </c>
      <c r="E2724" s="38" t="n">
        <v>376011.5</v>
      </c>
    </row>
    <row r="2725" customFormat="false" ht="15" hidden="false" customHeight="false" outlineLevel="0" collapsed="false">
      <c r="A2725" s="0" t="n">
        <v>31</v>
      </c>
      <c r="B2725" s="0" t="s">
        <v>62</v>
      </c>
      <c r="C2725" s="0" t="n">
        <v>2012</v>
      </c>
      <c r="D2725" s="0" t="n">
        <v>8</v>
      </c>
      <c r="E2725" s="38" t="n">
        <v>193228.07</v>
      </c>
    </row>
    <row r="2726" customFormat="false" ht="15" hidden="false" customHeight="false" outlineLevel="0" collapsed="false">
      <c r="A2726" s="0" t="n">
        <v>31</v>
      </c>
      <c r="B2726" s="0" t="s">
        <v>62</v>
      </c>
      <c r="C2726" s="0" t="n">
        <v>2012</v>
      </c>
      <c r="D2726" s="0" t="n">
        <v>9</v>
      </c>
      <c r="E2726" s="38" t="n">
        <v>177920.79</v>
      </c>
    </row>
    <row r="2727" customFormat="false" ht="15" hidden="false" customHeight="false" outlineLevel="0" collapsed="false">
      <c r="A2727" s="0" t="n">
        <v>31</v>
      </c>
      <c r="B2727" s="0" t="s">
        <v>62</v>
      </c>
      <c r="C2727" s="0" t="n">
        <v>2012</v>
      </c>
      <c r="D2727" s="0" t="n">
        <v>10</v>
      </c>
      <c r="E2727" s="38" t="n">
        <v>193662.53</v>
      </c>
    </row>
    <row r="2728" customFormat="false" ht="15" hidden="false" customHeight="false" outlineLevel="0" collapsed="false">
      <c r="A2728" s="0" t="n">
        <v>31</v>
      </c>
      <c r="B2728" s="0" t="s">
        <v>62</v>
      </c>
      <c r="C2728" s="0" t="n">
        <v>2012</v>
      </c>
      <c r="D2728" s="0" t="n">
        <v>11</v>
      </c>
      <c r="E2728" s="38" t="n">
        <v>314521.06</v>
      </c>
    </row>
    <row r="2729" customFormat="false" ht="15" hidden="false" customHeight="false" outlineLevel="0" collapsed="false">
      <c r="A2729" s="0" t="n">
        <v>31</v>
      </c>
      <c r="B2729" s="0" t="s">
        <v>62</v>
      </c>
      <c r="C2729" s="0" t="n">
        <v>2012</v>
      </c>
      <c r="D2729" s="0" t="n">
        <v>12</v>
      </c>
      <c r="E2729" s="38" t="n">
        <v>140675.44</v>
      </c>
    </row>
    <row r="2730" customFormat="false" ht="15" hidden="false" customHeight="false" outlineLevel="0" collapsed="false">
      <c r="A2730" s="0" t="n">
        <v>31</v>
      </c>
      <c r="B2730" s="0" t="s">
        <v>62</v>
      </c>
      <c r="C2730" s="0" t="n">
        <v>2013</v>
      </c>
      <c r="D2730" s="0" t="n">
        <v>1</v>
      </c>
      <c r="E2730" s="38" t="n">
        <v>140922.31</v>
      </c>
    </row>
    <row r="2731" customFormat="false" ht="15" hidden="false" customHeight="false" outlineLevel="0" collapsed="false">
      <c r="A2731" s="0" t="n">
        <v>31</v>
      </c>
      <c r="B2731" s="0" t="s">
        <v>62</v>
      </c>
      <c r="C2731" s="0" t="n">
        <v>2013</v>
      </c>
      <c r="D2731" s="0" t="n">
        <v>2</v>
      </c>
      <c r="E2731" s="38" t="n">
        <v>141481.38</v>
      </c>
    </row>
    <row r="2732" customFormat="false" ht="15" hidden="false" customHeight="false" outlineLevel="0" collapsed="false">
      <c r="A2732" s="0" t="n">
        <v>31</v>
      </c>
      <c r="B2732" s="0" t="s">
        <v>62</v>
      </c>
      <c r="C2732" s="0" t="n">
        <v>2013</v>
      </c>
      <c r="D2732" s="0" t="n">
        <v>3</v>
      </c>
      <c r="E2732" s="38" t="n">
        <v>130254.5</v>
      </c>
    </row>
    <row r="2733" customFormat="false" ht="15" hidden="false" customHeight="false" outlineLevel="0" collapsed="false">
      <c r="A2733" s="0" t="n">
        <v>31</v>
      </c>
      <c r="B2733" s="0" t="s">
        <v>62</v>
      </c>
      <c r="C2733" s="0" t="n">
        <v>2013</v>
      </c>
      <c r="D2733" s="0" t="n">
        <v>4</v>
      </c>
      <c r="E2733" s="38" t="n">
        <v>144487.78</v>
      </c>
    </row>
    <row r="2734" customFormat="false" ht="15" hidden="false" customHeight="false" outlineLevel="0" collapsed="false">
      <c r="A2734" s="0" t="n">
        <v>31</v>
      </c>
      <c r="B2734" s="0" t="s">
        <v>62</v>
      </c>
      <c r="C2734" s="0" t="n">
        <v>2013</v>
      </c>
      <c r="D2734" s="0" t="n">
        <v>5</v>
      </c>
      <c r="E2734" s="38" t="n">
        <v>142694.76</v>
      </c>
    </row>
    <row r="2735" customFormat="false" ht="15" hidden="false" customHeight="false" outlineLevel="0" collapsed="false">
      <c r="A2735" s="0" t="n">
        <v>31</v>
      </c>
      <c r="B2735" s="0" t="s">
        <v>62</v>
      </c>
      <c r="C2735" s="0" t="n">
        <v>2013</v>
      </c>
      <c r="D2735" s="0" t="n">
        <v>6</v>
      </c>
      <c r="E2735" s="38" t="n">
        <v>205331.96</v>
      </c>
    </row>
    <row r="2736" customFormat="false" ht="15" hidden="false" customHeight="false" outlineLevel="0" collapsed="false">
      <c r="A2736" s="0" t="n">
        <v>31</v>
      </c>
      <c r="B2736" s="0" t="s">
        <v>62</v>
      </c>
      <c r="C2736" s="0" t="n">
        <v>2013</v>
      </c>
      <c r="D2736" s="0" t="n">
        <v>7</v>
      </c>
      <c r="E2736" s="38" t="n">
        <v>319977.47</v>
      </c>
    </row>
    <row r="2737" customFormat="false" ht="15" hidden="false" customHeight="false" outlineLevel="0" collapsed="false">
      <c r="A2737" s="0" t="n">
        <v>31</v>
      </c>
      <c r="B2737" s="0" t="s">
        <v>62</v>
      </c>
      <c r="C2737" s="0" t="n">
        <v>2013</v>
      </c>
      <c r="D2737" s="0" t="n">
        <v>8</v>
      </c>
      <c r="E2737" s="38" t="n">
        <v>169492.79</v>
      </c>
    </row>
    <row r="2738" customFormat="false" ht="15" hidden="false" customHeight="false" outlineLevel="0" collapsed="false">
      <c r="A2738" s="0" t="n">
        <v>31</v>
      </c>
      <c r="B2738" s="0" t="s">
        <v>64</v>
      </c>
      <c r="C2738" s="0" t="n">
        <v>2011</v>
      </c>
      <c r="D2738" s="0" t="n">
        <v>1</v>
      </c>
      <c r="E2738" s="38" t="n">
        <v>1440.38</v>
      </c>
    </row>
    <row r="2739" customFormat="false" ht="15" hidden="false" customHeight="false" outlineLevel="0" collapsed="false">
      <c r="A2739" s="0" t="n">
        <v>31</v>
      </c>
      <c r="B2739" s="0" t="s">
        <v>64</v>
      </c>
      <c r="C2739" s="0" t="n">
        <v>2011</v>
      </c>
      <c r="D2739" s="0" t="n">
        <v>2</v>
      </c>
      <c r="E2739" s="38" t="n">
        <v>1387.98</v>
      </c>
    </row>
    <row r="2740" customFormat="false" ht="15" hidden="false" customHeight="false" outlineLevel="0" collapsed="false">
      <c r="A2740" s="0" t="n">
        <v>31</v>
      </c>
      <c r="B2740" s="0" t="s">
        <v>64</v>
      </c>
      <c r="C2740" s="0" t="n">
        <v>2011</v>
      </c>
      <c r="D2740" s="0" t="n">
        <v>3</v>
      </c>
      <c r="E2740" s="38" t="n">
        <v>1345.49</v>
      </c>
    </row>
    <row r="2741" customFormat="false" ht="15" hidden="false" customHeight="false" outlineLevel="0" collapsed="false">
      <c r="A2741" s="0" t="n">
        <v>31</v>
      </c>
      <c r="B2741" s="0" t="s">
        <v>64</v>
      </c>
      <c r="C2741" s="0" t="n">
        <v>2011</v>
      </c>
      <c r="D2741" s="0" t="n">
        <v>4</v>
      </c>
      <c r="E2741" s="38" t="n">
        <v>649.63</v>
      </c>
    </row>
    <row r="2742" customFormat="false" ht="15" hidden="false" customHeight="false" outlineLevel="0" collapsed="false">
      <c r="A2742" s="0" t="n">
        <v>31</v>
      </c>
      <c r="B2742" s="0" t="s">
        <v>64</v>
      </c>
      <c r="C2742" s="0" t="n">
        <v>2011</v>
      </c>
      <c r="D2742" s="0" t="n">
        <v>5</v>
      </c>
      <c r="E2742" s="38" t="n">
        <v>1236.71</v>
      </c>
    </row>
    <row r="2743" customFormat="false" ht="15" hidden="false" customHeight="false" outlineLevel="0" collapsed="false">
      <c r="A2743" s="0" t="n">
        <v>31</v>
      </c>
      <c r="B2743" s="0" t="s">
        <v>64</v>
      </c>
      <c r="C2743" s="0" t="n">
        <v>2011</v>
      </c>
      <c r="D2743" s="0" t="n">
        <v>6</v>
      </c>
      <c r="E2743" s="38" t="n">
        <v>2235.23</v>
      </c>
    </row>
    <row r="2744" customFormat="false" ht="15" hidden="false" customHeight="false" outlineLevel="0" collapsed="false">
      <c r="A2744" s="0" t="n">
        <v>31</v>
      </c>
      <c r="B2744" s="0" t="s">
        <v>64</v>
      </c>
      <c r="C2744" s="0" t="n">
        <v>2011</v>
      </c>
      <c r="D2744" s="0" t="n">
        <v>7</v>
      </c>
      <c r="E2744" s="38" t="n">
        <v>1019.53</v>
      </c>
    </row>
    <row r="2745" customFormat="false" ht="15" hidden="false" customHeight="false" outlineLevel="0" collapsed="false">
      <c r="A2745" s="0" t="n">
        <v>31</v>
      </c>
      <c r="B2745" s="0" t="s">
        <v>64</v>
      </c>
      <c r="C2745" s="0" t="n">
        <v>2011</v>
      </c>
      <c r="D2745" s="0" t="n">
        <v>8</v>
      </c>
      <c r="E2745" s="38" t="n">
        <v>2595.82</v>
      </c>
    </row>
    <row r="2746" customFormat="false" ht="15" hidden="false" customHeight="false" outlineLevel="0" collapsed="false">
      <c r="A2746" s="0" t="n">
        <v>31</v>
      </c>
      <c r="B2746" s="0" t="s">
        <v>64</v>
      </c>
      <c r="C2746" s="0" t="n">
        <v>2011</v>
      </c>
      <c r="D2746" s="0" t="n">
        <v>9</v>
      </c>
      <c r="E2746" s="38" t="n">
        <v>977.63</v>
      </c>
    </row>
    <row r="2747" customFormat="false" ht="15" hidden="false" customHeight="false" outlineLevel="0" collapsed="false">
      <c r="A2747" s="0" t="n">
        <v>31</v>
      </c>
      <c r="B2747" s="0" t="s">
        <v>64</v>
      </c>
      <c r="C2747" s="0" t="n">
        <v>2011</v>
      </c>
      <c r="D2747" s="0" t="n">
        <v>10</v>
      </c>
      <c r="E2747" s="38" t="n">
        <v>1134.81</v>
      </c>
    </row>
    <row r="2748" customFormat="false" ht="15" hidden="false" customHeight="false" outlineLevel="0" collapsed="false">
      <c r="A2748" s="0" t="n">
        <v>31</v>
      </c>
      <c r="B2748" s="0" t="s">
        <v>64</v>
      </c>
      <c r="C2748" s="0" t="n">
        <v>2011</v>
      </c>
      <c r="D2748" s="0" t="n">
        <v>11</v>
      </c>
      <c r="E2748" s="38" t="n">
        <v>1640.32</v>
      </c>
    </row>
    <row r="2749" customFormat="false" ht="15" hidden="false" customHeight="false" outlineLevel="0" collapsed="false">
      <c r="A2749" s="0" t="n">
        <v>31</v>
      </c>
      <c r="B2749" s="0" t="s">
        <v>64</v>
      </c>
      <c r="C2749" s="0" t="n">
        <v>2011</v>
      </c>
      <c r="D2749" s="0" t="n">
        <v>12</v>
      </c>
      <c r="E2749" s="38" t="n">
        <v>1367.97</v>
      </c>
    </row>
    <row r="2750" customFormat="false" ht="15" hidden="false" customHeight="false" outlineLevel="0" collapsed="false">
      <c r="A2750" s="0" t="n">
        <v>31</v>
      </c>
      <c r="B2750" s="0" t="s">
        <v>64</v>
      </c>
      <c r="C2750" s="0" t="n">
        <v>2012</v>
      </c>
      <c r="D2750" s="0" t="n">
        <v>1</v>
      </c>
      <c r="E2750" s="38" t="n">
        <v>675.39</v>
      </c>
    </row>
    <row r="2751" customFormat="false" ht="15" hidden="false" customHeight="false" outlineLevel="0" collapsed="false">
      <c r="A2751" s="0" t="n">
        <v>31</v>
      </c>
      <c r="B2751" s="0" t="s">
        <v>64</v>
      </c>
      <c r="C2751" s="0" t="n">
        <v>2012</v>
      </c>
      <c r="D2751" s="0" t="n">
        <v>2</v>
      </c>
      <c r="E2751" s="38" t="n">
        <v>465.18</v>
      </c>
    </row>
    <row r="2752" customFormat="false" ht="15" hidden="false" customHeight="false" outlineLevel="0" collapsed="false">
      <c r="A2752" s="0" t="n">
        <v>31</v>
      </c>
      <c r="B2752" s="0" t="s">
        <v>64</v>
      </c>
      <c r="C2752" s="0" t="n">
        <v>2012</v>
      </c>
      <c r="D2752" s="0" t="n">
        <v>3</v>
      </c>
      <c r="E2752" s="38" t="n">
        <v>557.18</v>
      </c>
    </row>
    <row r="2753" customFormat="false" ht="15" hidden="false" customHeight="false" outlineLevel="0" collapsed="false">
      <c r="A2753" s="0" t="n">
        <v>31</v>
      </c>
      <c r="B2753" s="0" t="s">
        <v>64</v>
      </c>
      <c r="C2753" s="0" t="n">
        <v>2012</v>
      </c>
      <c r="D2753" s="0" t="n">
        <v>4</v>
      </c>
      <c r="E2753" s="38" t="n">
        <v>1012.47</v>
      </c>
    </row>
    <row r="2754" customFormat="false" ht="15" hidden="false" customHeight="false" outlineLevel="0" collapsed="false">
      <c r="A2754" s="0" t="n">
        <v>31</v>
      </c>
      <c r="B2754" s="0" t="s">
        <v>64</v>
      </c>
      <c r="C2754" s="0" t="n">
        <v>2012</v>
      </c>
      <c r="D2754" s="0" t="n">
        <v>5</v>
      </c>
      <c r="E2754" s="38" t="n">
        <v>627.5</v>
      </c>
    </row>
    <row r="2755" customFormat="false" ht="15" hidden="false" customHeight="false" outlineLevel="0" collapsed="false">
      <c r="A2755" s="0" t="n">
        <v>31</v>
      </c>
      <c r="B2755" s="0" t="s">
        <v>64</v>
      </c>
      <c r="C2755" s="0" t="n">
        <v>2012</v>
      </c>
      <c r="D2755" s="0" t="n">
        <v>6</v>
      </c>
      <c r="E2755" s="38" t="n">
        <v>829.31</v>
      </c>
    </row>
    <row r="2756" customFormat="false" ht="15" hidden="false" customHeight="false" outlineLevel="0" collapsed="false">
      <c r="A2756" s="0" t="n">
        <v>31</v>
      </c>
      <c r="B2756" s="0" t="s">
        <v>64</v>
      </c>
      <c r="C2756" s="0" t="n">
        <v>2012</v>
      </c>
      <c r="D2756" s="0" t="n">
        <v>7</v>
      </c>
      <c r="E2756" s="38" t="n">
        <v>673.85</v>
      </c>
    </row>
    <row r="2757" customFormat="false" ht="15" hidden="false" customHeight="false" outlineLevel="0" collapsed="false">
      <c r="A2757" s="0" t="n">
        <v>31</v>
      </c>
      <c r="B2757" s="0" t="s">
        <v>64</v>
      </c>
      <c r="C2757" s="0" t="n">
        <v>2012</v>
      </c>
      <c r="D2757" s="0" t="n">
        <v>8</v>
      </c>
      <c r="E2757" s="38" t="n">
        <v>1004.28</v>
      </c>
    </row>
    <row r="2758" customFormat="false" ht="15" hidden="false" customHeight="false" outlineLevel="0" collapsed="false">
      <c r="A2758" s="0" t="n">
        <v>31</v>
      </c>
      <c r="B2758" s="0" t="s">
        <v>64</v>
      </c>
      <c r="C2758" s="0" t="n">
        <v>2012</v>
      </c>
      <c r="D2758" s="0" t="n">
        <v>9</v>
      </c>
      <c r="E2758" s="38" t="n">
        <v>873.58</v>
      </c>
    </row>
    <row r="2759" customFormat="false" ht="15" hidden="false" customHeight="false" outlineLevel="0" collapsed="false">
      <c r="A2759" s="0" t="n">
        <v>31</v>
      </c>
      <c r="B2759" s="0" t="s">
        <v>64</v>
      </c>
      <c r="C2759" s="0" t="n">
        <v>2012</v>
      </c>
      <c r="D2759" s="0" t="n">
        <v>10</v>
      </c>
      <c r="E2759" s="38" t="n">
        <v>710.14</v>
      </c>
    </row>
    <row r="2760" customFormat="false" ht="15" hidden="false" customHeight="false" outlineLevel="0" collapsed="false">
      <c r="A2760" s="0" t="n">
        <v>31</v>
      </c>
      <c r="B2760" s="0" t="s">
        <v>64</v>
      </c>
      <c r="C2760" s="0" t="n">
        <v>2012</v>
      </c>
      <c r="D2760" s="0" t="n">
        <v>11</v>
      </c>
      <c r="E2760" s="38" t="n">
        <v>1225.27</v>
      </c>
    </row>
    <row r="2761" customFormat="false" ht="15" hidden="false" customHeight="false" outlineLevel="0" collapsed="false">
      <c r="A2761" s="0" t="n">
        <v>31</v>
      </c>
      <c r="B2761" s="0" t="s">
        <v>64</v>
      </c>
      <c r="C2761" s="0" t="n">
        <v>2012</v>
      </c>
      <c r="D2761" s="0" t="n">
        <v>12</v>
      </c>
      <c r="E2761" s="38" t="n">
        <v>1275.65</v>
      </c>
    </row>
    <row r="2762" customFormat="false" ht="15" hidden="false" customHeight="false" outlineLevel="0" collapsed="false">
      <c r="A2762" s="0" t="n">
        <v>31</v>
      </c>
      <c r="B2762" s="0" t="s">
        <v>64</v>
      </c>
      <c r="C2762" s="0" t="n">
        <v>2013</v>
      </c>
      <c r="D2762" s="0" t="n">
        <v>1</v>
      </c>
      <c r="E2762" s="38" t="n">
        <v>1600.06</v>
      </c>
    </row>
    <row r="2763" customFormat="false" ht="15" hidden="false" customHeight="false" outlineLevel="0" collapsed="false">
      <c r="A2763" s="0" t="n">
        <v>31</v>
      </c>
      <c r="B2763" s="0" t="s">
        <v>64</v>
      </c>
      <c r="C2763" s="0" t="n">
        <v>2013</v>
      </c>
      <c r="D2763" s="0" t="n">
        <v>2</v>
      </c>
      <c r="E2763" s="38" t="n">
        <v>1618.22</v>
      </c>
    </row>
    <row r="2764" customFormat="false" ht="15" hidden="false" customHeight="false" outlineLevel="0" collapsed="false">
      <c r="A2764" s="0" t="n">
        <v>31</v>
      </c>
      <c r="B2764" s="0" t="s">
        <v>64</v>
      </c>
      <c r="C2764" s="0" t="n">
        <v>2013</v>
      </c>
      <c r="D2764" s="0" t="n">
        <v>3</v>
      </c>
      <c r="E2764" s="38" t="n">
        <v>968.5</v>
      </c>
    </row>
    <row r="2765" customFormat="false" ht="15" hidden="false" customHeight="false" outlineLevel="0" collapsed="false">
      <c r="A2765" s="0" t="n">
        <v>31</v>
      </c>
      <c r="B2765" s="0" t="s">
        <v>64</v>
      </c>
      <c r="C2765" s="0" t="n">
        <v>2013</v>
      </c>
      <c r="D2765" s="0" t="n">
        <v>4</v>
      </c>
      <c r="E2765" s="38" t="n">
        <v>373.11</v>
      </c>
    </row>
    <row r="2766" customFormat="false" ht="15" hidden="false" customHeight="false" outlineLevel="0" collapsed="false">
      <c r="A2766" s="0" t="n">
        <v>31</v>
      </c>
      <c r="B2766" s="0" t="s">
        <v>64</v>
      </c>
      <c r="C2766" s="0" t="n">
        <v>2013</v>
      </c>
      <c r="D2766" s="0" t="n">
        <v>5</v>
      </c>
      <c r="E2766" s="38" t="n">
        <v>821.24</v>
      </c>
    </row>
    <row r="2767" customFormat="false" ht="15" hidden="false" customHeight="false" outlineLevel="0" collapsed="false">
      <c r="A2767" s="0" t="n">
        <v>31</v>
      </c>
      <c r="B2767" s="0" t="s">
        <v>64</v>
      </c>
      <c r="C2767" s="0" t="n">
        <v>2013</v>
      </c>
      <c r="D2767" s="0" t="n">
        <v>6</v>
      </c>
      <c r="E2767" s="38" t="n">
        <v>3560.03</v>
      </c>
    </row>
    <row r="2768" customFormat="false" ht="15" hidden="false" customHeight="false" outlineLevel="0" collapsed="false">
      <c r="A2768" s="0" t="n">
        <v>31</v>
      </c>
      <c r="B2768" s="0" t="s">
        <v>64</v>
      </c>
      <c r="C2768" s="0" t="n">
        <v>2013</v>
      </c>
      <c r="D2768" s="0" t="n">
        <v>7</v>
      </c>
      <c r="E2768" s="38" t="n">
        <v>1593.28</v>
      </c>
    </row>
    <row r="2769" customFormat="false" ht="15" hidden="false" customHeight="false" outlineLevel="0" collapsed="false">
      <c r="A2769" s="0" t="n">
        <v>31</v>
      </c>
      <c r="B2769" s="0" t="s">
        <v>64</v>
      </c>
      <c r="C2769" s="0" t="n">
        <v>2013</v>
      </c>
      <c r="D2769" s="0" t="n">
        <v>8</v>
      </c>
      <c r="E2769" s="38" t="n">
        <v>1506.93</v>
      </c>
    </row>
    <row r="2770" customFormat="false" ht="15" hidden="false" customHeight="false" outlineLevel="0" collapsed="false">
      <c r="A2770" s="0" t="n">
        <v>32</v>
      </c>
      <c r="B2770" s="0" t="s">
        <v>60</v>
      </c>
      <c r="C2770" s="0" t="n">
        <v>2011</v>
      </c>
      <c r="D2770" s="0" t="n">
        <v>1</v>
      </c>
      <c r="E2770" s="38" t="n">
        <v>894172.11</v>
      </c>
    </row>
    <row r="2771" customFormat="false" ht="15" hidden="false" customHeight="false" outlineLevel="0" collapsed="false">
      <c r="A2771" s="0" t="n">
        <v>32</v>
      </c>
      <c r="B2771" s="0" t="s">
        <v>60</v>
      </c>
      <c r="C2771" s="0" t="n">
        <v>2011</v>
      </c>
      <c r="D2771" s="0" t="n">
        <v>2</v>
      </c>
      <c r="E2771" s="38" t="n">
        <v>644220.16</v>
      </c>
    </row>
    <row r="2772" customFormat="false" ht="15" hidden="false" customHeight="false" outlineLevel="0" collapsed="false">
      <c r="A2772" s="0" t="n">
        <v>32</v>
      </c>
      <c r="B2772" s="0" t="s">
        <v>60</v>
      </c>
      <c r="C2772" s="0" t="n">
        <v>2011</v>
      </c>
      <c r="D2772" s="0" t="n">
        <v>3</v>
      </c>
      <c r="E2772" s="38" t="n">
        <v>607401.07</v>
      </c>
    </row>
    <row r="2773" customFormat="false" ht="15" hidden="false" customHeight="false" outlineLevel="0" collapsed="false">
      <c r="A2773" s="0" t="n">
        <v>32</v>
      </c>
      <c r="B2773" s="0" t="s">
        <v>60</v>
      </c>
      <c r="C2773" s="0" t="n">
        <v>2011</v>
      </c>
      <c r="D2773" s="0" t="n">
        <v>4</v>
      </c>
      <c r="E2773" s="38" t="n">
        <v>824966.41</v>
      </c>
    </row>
    <row r="2774" customFormat="false" ht="15" hidden="false" customHeight="false" outlineLevel="0" collapsed="false">
      <c r="A2774" s="0" t="n">
        <v>32</v>
      </c>
      <c r="B2774" s="0" t="s">
        <v>60</v>
      </c>
      <c r="C2774" s="0" t="n">
        <v>2011</v>
      </c>
      <c r="D2774" s="0" t="n">
        <v>5</v>
      </c>
      <c r="E2774" s="38" t="n">
        <v>690621.49</v>
      </c>
    </row>
    <row r="2775" customFormat="false" ht="15" hidden="false" customHeight="false" outlineLevel="0" collapsed="false">
      <c r="A2775" s="0" t="n">
        <v>32</v>
      </c>
      <c r="B2775" s="0" t="s">
        <v>60</v>
      </c>
      <c r="C2775" s="0" t="n">
        <v>2011</v>
      </c>
      <c r="D2775" s="0" t="n">
        <v>6</v>
      </c>
      <c r="E2775" s="38" t="n">
        <v>649133.02</v>
      </c>
    </row>
    <row r="2776" customFormat="false" ht="15" hidden="false" customHeight="false" outlineLevel="0" collapsed="false">
      <c r="A2776" s="0" t="n">
        <v>32</v>
      </c>
      <c r="B2776" s="0" t="s">
        <v>60</v>
      </c>
      <c r="C2776" s="0" t="n">
        <v>2011</v>
      </c>
      <c r="D2776" s="0" t="n">
        <v>7</v>
      </c>
      <c r="E2776" s="38" t="n">
        <v>638852.99</v>
      </c>
    </row>
    <row r="2777" customFormat="false" ht="15" hidden="false" customHeight="false" outlineLevel="0" collapsed="false">
      <c r="A2777" s="0" t="n">
        <v>32</v>
      </c>
      <c r="B2777" s="0" t="s">
        <v>60</v>
      </c>
      <c r="C2777" s="0" t="n">
        <v>2011</v>
      </c>
      <c r="D2777" s="0" t="n">
        <v>8</v>
      </c>
      <c r="E2777" s="38" t="n">
        <v>596709.12</v>
      </c>
    </row>
    <row r="2778" customFormat="false" ht="15" hidden="false" customHeight="false" outlineLevel="0" collapsed="false">
      <c r="A2778" s="0" t="n">
        <v>32</v>
      </c>
      <c r="B2778" s="0" t="s">
        <v>60</v>
      </c>
      <c r="C2778" s="0" t="n">
        <v>2011</v>
      </c>
      <c r="D2778" s="0" t="n">
        <v>9</v>
      </c>
      <c r="E2778" s="38" t="n">
        <v>591900.18</v>
      </c>
    </row>
    <row r="2779" customFormat="false" ht="15" hidden="false" customHeight="false" outlineLevel="0" collapsed="false">
      <c r="A2779" s="0" t="n">
        <v>32</v>
      </c>
      <c r="B2779" s="0" t="s">
        <v>60</v>
      </c>
      <c r="C2779" s="0" t="n">
        <v>2011</v>
      </c>
      <c r="D2779" s="0" t="n">
        <v>10</v>
      </c>
      <c r="E2779" s="38" t="n">
        <v>711577.55</v>
      </c>
    </row>
    <row r="2780" customFormat="false" ht="15" hidden="false" customHeight="false" outlineLevel="0" collapsed="false">
      <c r="A2780" s="0" t="n">
        <v>32</v>
      </c>
      <c r="B2780" s="0" t="s">
        <v>60</v>
      </c>
      <c r="C2780" s="0" t="n">
        <v>2011</v>
      </c>
      <c r="D2780" s="0" t="n">
        <v>11</v>
      </c>
      <c r="E2780" s="38" t="n">
        <v>1641123.05</v>
      </c>
    </row>
    <row r="2781" customFormat="false" ht="15" hidden="false" customHeight="false" outlineLevel="0" collapsed="false">
      <c r="A2781" s="0" t="n">
        <v>32</v>
      </c>
      <c r="B2781" s="0" t="s">
        <v>60</v>
      </c>
      <c r="C2781" s="0" t="n">
        <v>2011</v>
      </c>
      <c r="D2781" s="0" t="n">
        <v>12</v>
      </c>
      <c r="E2781" s="38" t="n">
        <v>487458.25</v>
      </c>
    </row>
    <row r="2782" customFormat="false" ht="15" hidden="false" customHeight="false" outlineLevel="0" collapsed="false">
      <c r="A2782" s="0" t="n">
        <v>32</v>
      </c>
      <c r="B2782" s="0" t="s">
        <v>60</v>
      </c>
      <c r="C2782" s="0" t="n">
        <v>2012</v>
      </c>
      <c r="D2782" s="0" t="n">
        <v>1</v>
      </c>
      <c r="E2782" s="38" t="n">
        <v>874142.77</v>
      </c>
    </row>
    <row r="2783" customFormat="false" ht="15" hidden="false" customHeight="false" outlineLevel="0" collapsed="false">
      <c r="A2783" s="0" t="n">
        <v>32</v>
      </c>
      <c r="B2783" s="0" t="s">
        <v>60</v>
      </c>
      <c r="C2783" s="0" t="n">
        <v>2012</v>
      </c>
      <c r="D2783" s="0" t="n">
        <v>2</v>
      </c>
      <c r="E2783" s="38" t="n">
        <v>606418.59</v>
      </c>
    </row>
    <row r="2784" customFormat="false" ht="15" hidden="false" customHeight="false" outlineLevel="0" collapsed="false">
      <c r="A2784" s="0" t="n">
        <v>32</v>
      </c>
      <c r="B2784" s="0" t="s">
        <v>60</v>
      </c>
      <c r="C2784" s="0" t="n">
        <v>2012</v>
      </c>
      <c r="D2784" s="0" t="n">
        <v>3</v>
      </c>
      <c r="E2784" s="38" t="n">
        <v>611557.7</v>
      </c>
    </row>
    <row r="2785" customFormat="false" ht="15" hidden="false" customHeight="false" outlineLevel="0" collapsed="false">
      <c r="A2785" s="0" t="n">
        <v>32</v>
      </c>
      <c r="B2785" s="0" t="s">
        <v>60</v>
      </c>
      <c r="C2785" s="0" t="n">
        <v>2012</v>
      </c>
      <c r="D2785" s="0" t="n">
        <v>4</v>
      </c>
      <c r="E2785" s="38" t="n">
        <v>799029.69</v>
      </c>
    </row>
    <row r="2786" customFormat="false" ht="15" hidden="false" customHeight="false" outlineLevel="0" collapsed="false">
      <c r="A2786" s="0" t="n">
        <v>32</v>
      </c>
      <c r="B2786" s="0" t="s">
        <v>60</v>
      </c>
      <c r="C2786" s="0" t="n">
        <v>2012</v>
      </c>
      <c r="D2786" s="0" t="n">
        <v>5</v>
      </c>
      <c r="E2786" s="38" t="n">
        <v>687451.74</v>
      </c>
    </row>
    <row r="2787" customFormat="false" ht="15" hidden="false" customHeight="false" outlineLevel="0" collapsed="false">
      <c r="A2787" s="0" t="n">
        <v>32</v>
      </c>
      <c r="B2787" s="0" t="s">
        <v>60</v>
      </c>
      <c r="C2787" s="0" t="n">
        <v>2012</v>
      </c>
      <c r="D2787" s="0" t="n">
        <v>6</v>
      </c>
      <c r="E2787" s="38" t="n">
        <v>668942.06</v>
      </c>
    </row>
    <row r="2788" customFormat="false" ht="15" hidden="false" customHeight="false" outlineLevel="0" collapsed="false">
      <c r="A2788" s="0" t="n">
        <v>32</v>
      </c>
      <c r="B2788" s="0" t="s">
        <v>60</v>
      </c>
      <c r="C2788" s="0" t="n">
        <v>2012</v>
      </c>
      <c r="D2788" s="0" t="n">
        <v>7</v>
      </c>
      <c r="E2788" s="38" t="n">
        <v>631568.73</v>
      </c>
    </row>
    <row r="2789" customFormat="false" ht="15" hidden="false" customHeight="false" outlineLevel="0" collapsed="false">
      <c r="A2789" s="0" t="n">
        <v>32</v>
      </c>
      <c r="B2789" s="0" t="s">
        <v>60</v>
      </c>
      <c r="C2789" s="0" t="n">
        <v>2012</v>
      </c>
      <c r="D2789" s="0" t="n">
        <v>8</v>
      </c>
      <c r="E2789" s="38" t="n">
        <v>572064.9</v>
      </c>
    </row>
    <row r="2790" customFormat="false" ht="15" hidden="false" customHeight="false" outlineLevel="0" collapsed="false">
      <c r="A2790" s="0" t="n">
        <v>32</v>
      </c>
      <c r="B2790" s="0" t="s">
        <v>60</v>
      </c>
      <c r="C2790" s="0" t="n">
        <v>2012</v>
      </c>
      <c r="D2790" s="0" t="n">
        <v>9</v>
      </c>
      <c r="E2790" s="38" t="n">
        <v>587526.59</v>
      </c>
    </row>
    <row r="2791" customFormat="false" ht="15" hidden="false" customHeight="false" outlineLevel="0" collapsed="false">
      <c r="A2791" s="0" t="n">
        <v>32</v>
      </c>
      <c r="B2791" s="0" t="s">
        <v>60</v>
      </c>
      <c r="C2791" s="0" t="n">
        <v>2012</v>
      </c>
      <c r="D2791" s="0" t="n">
        <v>10</v>
      </c>
      <c r="E2791" s="38" t="n">
        <v>702002.47</v>
      </c>
    </row>
    <row r="2792" customFormat="false" ht="15" hidden="false" customHeight="false" outlineLevel="0" collapsed="false">
      <c r="A2792" s="0" t="n">
        <v>32</v>
      </c>
      <c r="B2792" s="0" t="s">
        <v>60</v>
      </c>
      <c r="C2792" s="0" t="n">
        <v>2012</v>
      </c>
      <c r="D2792" s="0" t="n">
        <v>11</v>
      </c>
      <c r="E2792" s="38" t="n">
        <v>1565763.45</v>
      </c>
    </row>
    <row r="2793" customFormat="false" ht="15" hidden="false" customHeight="false" outlineLevel="0" collapsed="false">
      <c r="A2793" s="0" t="n">
        <v>32</v>
      </c>
      <c r="B2793" s="0" t="s">
        <v>60</v>
      </c>
      <c r="C2793" s="0" t="n">
        <v>2012</v>
      </c>
      <c r="D2793" s="0" t="n">
        <v>12</v>
      </c>
      <c r="E2793" s="38" t="n">
        <v>495667.53</v>
      </c>
    </row>
    <row r="2794" customFormat="false" ht="15" hidden="false" customHeight="false" outlineLevel="0" collapsed="false">
      <c r="A2794" s="0" t="n">
        <v>32</v>
      </c>
      <c r="B2794" s="0" t="s">
        <v>60</v>
      </c>
      <c r="C2794" s="0" t="n">
        <v>2013</v>
      </c>
      <c r="D2794" s="0" t="n">
        <v>1</v>
      </c>
      <c r="E2794" s="38" t="n">
        <v>866862.48</v>
      </c>
    </row>
    <row r="2795" customFormat="false" ht="15" hidden="false" customHeight="false" outlineLevel="0" collapsed="false">
      <c r="A2795" s="0" t="n">
        <v>32</v>
      </c>
      <c r="B2795" s="0" t="s">
        <v>60</v>
      </c>
      <c r="C2795" s="0" t="n">
        <v>2013</v>
      </c>
      <c r="D2795" s="0" t="n">
        <v>2</v>
      </c>
      <c r="E2795" s="38" t="n">
        <v>629914.69</v>
      </c>
    </row>
    <row r="2796" customFormat="false" ht="15" hidden="false" customHeight="false" outlineLevel="0" collapsed="false">
      <c r="A2796" s="0" t="n">
        <v>32</v>
      </c>
      <c r="B2796" s="0" t="s">
        <v>60</v>
      </c>
      <c r="C2796" s="0" t="n">
        <v>2013</v>
      </c>
      <c r="D2796" s="0" t="n">
        <v>3</v>
      </c>
      <c r="E2796" s="38" t="n">
        <v>640809.41</v>
      </c>
    </row>
    <row r="2797" customFormat="false" ht="15" hidden="false" customHeight="false" outlineLevel="0" collapsed="false">
      <c r="A2797" s="0" t="n">
        <v>32</v>
      </c>
      <c r="B2797" s="0" t="s">
        <v>60</v>
      </c>
      <c r="C2797" s="0" t="n">
        <v>2013</v>
      </c>
      <c r="D2797" s="0" t="n">
        <v>4</v>
      </c>
      <c r="E2797" s="38" t="n">
        <v>818486.67</v>
      </c>
    </row>
    <row r="2798" customFormat="false" ht="15" hidden="false" customHeight="false" outlineLevel="0" collapsed="false">
      <c r="A2798" s="0" t="n">
        <v>32</v>
      </c>
      <c r="B2798" s="0" t="s">
        <v>60</v>
      </c>
      <c r="C2798" s="0" t="n">
        <v>2013</v>
      </c>
      <c r="D2798" s="0" t="n">
        <v>5</v>
      </c>
      <c r="E2798" s="38" t="n">
        <v>698977.22</v>
      </c>
    </row>
    <row r="2799" customFormat="false" ht="15" hidden="false" customHeight="false" outlineLevel="0" collapsed="false">
      <c r="A2799" s="0" t="n">
        <v>32</v>
      </c>
      <c r="B2799" s="0" t="s">
        <v>60</v>
      </c>
      <c r="C2799" s="0" t="n">
        <v>2013</v>
      </c>
      <c r="D2799" s="0" t="n">
        <v>6</v>
      </c>
      <c r="E2799" s="38" t="n">
        <v>661496.21</v>
      </c>
    </row>
    <row r="2800" customFormat="false" ht="15" hidden="false" customHeight="false" outlineLevel="0" collapsed="false">
      <c r="A2800" s="0" t="n">
        <v>32</v>
      </c>
      <c r="B2800" s="0" t="s">
        <v>60</v>
      </c>
      <c r="C2800" s="0" t="n">
        <v>2013</v>
      </c>
      <c r="D2800" s="0" t="n">
        <v>7</v>
      </c>
      <c r="E2800" s="38" t="n">
        <v>630738.57</v>
      </c>
    </row>
    <row r="2801" customFormat="false" ht="15" hidden="false" customHeight="false" outlineLevel="0" collapsed="false">
      <c r="A2801" s="0" t="n">
        <v>32</v>
      </c>
      <c r="B2801" s="0" t="s">
        <v>60</v>
      </c>
      <c r="C2801" s="0" t="n">
        <v>2013</v>
      </c>
      <c r="D2801" s="0" t="n">
        <v>8</v>
      </c>
      <c r="E2801" s="38" t="n">
        <v>553298.28</v>
      </c>
    </row>
    <row r="2802" customFormat="false" ht="15" hidden="false" customHeight="false" outlineLevel="0" collapsed="false">
      <c r="A2802" s="0" t="n">
        <v>32</v>
      </c>
      <c r="B2802" s="0" t="s">
        <v>62</v>
      </c>
      <c r="C2802" s="0" t="n">
        <v>2011</v>
      </c>
      <c r="D2802" s="0" t="n">
        <v>1</v>
      </c>
      <c r="E2802" s="38" t="n">
        <v>649181.95</v>
      </c>
    </row>
    <row r="2803" customFormat="false" ht="15" hidden="false" customHeight="false" outlineLevel="0" collapsed="false">
      <c r="A2803" s="0" t="n">
        <v>32</v>
      </c>
      <c r="B2803" s="0" t="s">
        <v>62</v>
      </c>
      <c r="C2803" s="0" t="n">
        <v>2011</v>
      </c>
      <c r="D2803" s="0" t="n">
        <v>2</v>
      </c>
      <c r="E2803" s="38" t="n">
        <v>500076.29</v>
      </c>
    </row>
    <row r="2804" customFormat="false" ht="15" hidden="false" customHeight="false" outlineLevel="0" collapsed="false">
      <c r="A2804" s="0" t="n">
        <v>32</v>
      </c>
      <c r="B2804" s="0" t="s">
        <v>62</v>
      </c>
      <c r="C2804" s="0" t="n">
        <v>2011</v>
      </c>
      <c r="D2804" s="0" t="n">
        <v>3</v>
      </c>
      <c r="E2804" s="38" t="n">
        <v>468632.33</v>
      </c>
    </row>
    <row r="2805" customFormat="false" ht="15" hidden="false" customHeight="false" outlineLevel="0" collapsed="false">
      <c r="A2805" s="0" t="n">
        <v>32</v>
      </c>
      <c r="B2805" s="0" t="s">
        <v>62</v>
      </c>
      <c r="C2805" s="0" t="n">
        <v>2011</v>
      </c>
      <c r="D2805" s="0" t="n">
        <v>4</v>
      </c>
      <c r="E2805" s="38" t="n">
        <v>606659.23</v>
      </c>
    </row>
    <row r="2806" customFormat="false" ht="15" hidden="false" customHeight="false" outlineLevel="0" collapsed="false">
      <c r="A2806" s="0" t="n">
        <v>32</v>
      </c>
      <c r="B2806" s="0" t="s">
        <v>62</v>
      </c>
      <c r="C2806" s="0" t="n">
        <v>2011</v>
      </c>
      <c r="D2806" s="0" t="n">
        <v>5</v>
      </c>
      <c r="E2806" s="38" t="n">
        <v>519311.13</v>
      </c>
    </row>
    <row r="2807" customFormat="false" ht="15" hidden="false" customHeight="false" outlineLevel="0" collapsed="false">
      <c r="A2807" s="0" t="n">
        <v>32</v>
      </c>
      <c r="B2807" s="0" t="s">
        <v>62</v>
      </c>
      <c r="C2807" s="0" t="n">
        <v>2011</v>
      </c>
      <c r="D2807" s="0" t="n">
        <v>6</v>
      </c>
      <c r="E2807" s="38" t="n">
        <v>492092.14</v>
      </c>
    </row>
    <row r="2808" customFormat="false" ht="15" hidden="false" customHeight="false" outlineLevel="0" collapsed="false">
      <c r="A2808" s="0" t="n">
        <v>32</v>
      </c>
      <c r="B2808" s="0" t="s">
        <v>62</v>
      </c>
      <c r="C2808" s="0" t="n">
        <v>2011</v>
      </c>
      <c r="D2808" s="0" t="n">
        <v>7</v>
      </c>
      <c r="E2808" s="38" t="n">
        <v>477791.42</v>
      </c>
    </row>
    <row r="2809" customFormat="false" ht="15" hidden="false" customHeight="false" outlineLevel="0" collapsed="false">
      <c r="A2809" s="0" t="n">
        <v>32</v>
      </c>
      <c r="B2809" s="0" t="s">
        <v>62</v>
      </c>
      <c r="C2809" s="0" t="n">
        <v>2011</v>
      </c>
      <c r="D2809" s="0" t="n">
        <v>8</v>
      </c>
      <c r="E2809" s="38" t="n">
        <v>428931.36</v>
      </c>
    </row>
    <row r="2810" customFormat="false" ht="15" hidden="false" customHeight="false" outlineLevel="0" collapsed="false">
      <c r="A2810" s="0" t="n">
        <v>32</v>
      </c>
      <c r="B2810" s="0" t="s">
        <v>62</v>
      </c>
      <c r="C2810" s="0" t="n">
        <v>2011</v>
      </c>
      <c r="D2810" s="0" t="n">
        <v>9</v>
      </c>
      <c r="E2810" s="38" t="n">
        <v>408612.24</v>
      </c>
    </row>
    <row r="2811" customFormat="false" ht="15" hidden="false" customHeight="false" outlineLevel="0" collapsed="false">
      <c r="A2811" s="0" t="n">
        <v>32</v>
      </c>
      <c r="B2811" s="0" t="s">
        <v>62</v>
      </c>
      <c r="C2811" s="0" t="n">
        <v>2011</v>
      </c>
      <c r="D2811" s="0" t="n">
        <v>10</v>
      </c>
      <c r="E2811" s="38" t="n">
        <v>491049.35</v>
      </c>
    </row>
    <row r="2812" customFormat="false" ht="15" hidden="false" customHeight="false" outlineLevel="0" collapsed="false">
      <c r="A2812" s="0" t="n">
        <v>32</v>
      </c>
      <c r="B2812" s="0" t="s">
        <v>62</v>
      </c>
      <c r="C2812" s="0" t="n">
        <v>2011</v>
      </c>
      <c r="D2812" s="0" t="n">
        <v>11</v>
      </c>
      <c r="E2812" s="38" t="n">
        <v>1130318.44</v>
      </c>
    </row>
    <row r="2813" customFormat="false" ht="15" hidden="false" customHeight="false" outlineLevel="0" collapsed="false">
      <c r="A2813" s="0" t="n">
        <v>32</v>
      </c>
      <c r="B2813" s="0" t="s">
        <v>62</v>
      </c>
      <c r="C2813" s="0" t="n">
        <v>2011</v>
      </c>
      <c r="D2813" s="0" t="n">
        <v>12</v>
      </c>
      <c r="E2813" s="38" t="n">
        <v>356926.93</v>
      </c>
    </row>
    <row r="2814" customFormat="false" ht="15" hidden="false" customHeight="false" outlineLevel="0" collapsed="false">
      <c r="A2814" s="0" t="n">
        <v>32</v>
      </c>
      <c r="B2814" s="0" t="s">
        <v>62</v>
      </c>
      <c r="C2814" s="0" t="n">
        <v>2012</v>
      </c>
      <c r="D2814" s="0" t="n">
        <v>1</v>
      </c>
      <c r="E2814" s="38" t="n">
        <v>573636.72</v>
      </c>
    </row>
    <row r="2815" customFormat="false" ht="15" hidden="false" customHeight="false" outlineLevel="0" collapsed="false">
      <c r="A2815" s="0" t="n">
        <v>32</v>
      </c>
      <c r="B2815" s="0" t="s">
        <v>62</v>
      </c>
      <c r="C2815" s="0" t="n">
        <v>2012</v>
      </c>
      <c r="D2815" s="0" t="n">
        <v>2</v>
      </c>
      <c r="E2815" s="38" t="n">
        <v>456796.26</v>
      </c>
    </row>
    <row r="2816" customFormat="false" ht="15" hidden="false" customHeight="false" outlineLevel="0" collapsed="false">
      <c r="A2816" s="0" t="n">
        <v>32</v>
      </c>
      <c r="B2816" s="0" t="s">
        <v>62</v>
      </c>
      <c r="C2816" s="0" t="n">
        <v>2012</v>
      </c>
      <c r="D2816" s="0" t="n">
        <v>3</v>
      </c>
      <c r="E2816" s="38" t="n">
        <v>447203.65</v>
      </c>
    </row>
    <row r="2817" customFormat="false" ht="15" hidden="false" customHeight="false" outlineLevel="0" collapsed="false">
      <c r="A2817" s="0" t="n">
        <v>32</v>
      </c>
      <c r="B2817" s="0" t="s">
        <v>62</v>
      </c>
      <c r="C2817" s="0" t="n">
        <v>2012</v>
      </c>
      <c r="D2817" s="0" t="n">
        <v>4</v>
      </c>
      <c r="E2817" s="38" t="n">
        <v>554347.31</v>
      </c>
    </row>
    <row r="2818" customFormat="false" ht="15" hidden="false" customHeight="false" outlineLevel="0" collapsed="false">
      <c r="A2818" s="0" t="n">
        <v>32</v>
      </c>
      <c r="B2818" s="0" t="s">
        <v>62</v>
      </c>
      <c r="C2818" s="0" t="n">
        <v>2012</v>
      </c>
      <c r="D2818" s="0" t="n">
        <v>5</v>
      </c>
      <c r="E2818" s="38" t="n">
        <v>481567.58</v>
      </c>
    </row>
    <row r="2819" customFormat="false" ht="15" hidden="false" customHeight="false" outlineLevel="0" collapsed="false">
      <c r="A2819" s="0" t="n">
        <v>32</v>
      </c>
      <c r="B2819" s="0" t="s">
        <v>62</v>
      </c>
      <c r="C2819" s="0" t="n">
        <v>2012</v>
      </c>
      <c r="D2819" s="0" t="n">
        <v>6</v>
      </c>
      <c r="E2819" s="38" t="n">
        <v>478174.48</v>
      </c>
    </row>
    <row r="2820" customFormat="false" ht="15" hidden="false" customHeight="false" outlineLevel="0" collapsed="false">
      <c r="A2820" s="0" t="n">
        <v>32</v>
      </c>
      <c r="B2820" s="0" t="s">
        <v>62</v>
      </c>
      <c r="C2820" s="0" t="n">
        <v>2012</v>
      </c>
      <c r="D2820" s="0" t="n">
        <v>7</v>
      </c>
      <c r="E2820" s="38" t="n">
        <v>440811.34</v>
      </c>
    </row>
    <row r="2821" customFormat="false" ht="15" hidden="false" customHeight="false" outlineLevel="0" collapsed="false">
      <c r="A2821" s="0" t="n">
        <v>32</v>
      </c>
      <c r="B2821" s="0" t="s">
        <v>62</v>
      </c>
      <c r="C2821" s="0" t="n">
        <v>2012</v>
      </c>
      <c r="D2821" s="0" t="n">
        <v>8</v>
      </c>
      <c r="E2821" s="38" t="n">
        <v>392456.16</v>
      </c>
    </row>
    <row r="2822" customFormat="false" ht="15" hidden="false" customHeight="false" outlineLevel="0" collapsed="false">
      <c r="A2822" s="0" t="n">
        <v>32</v>
      </c>
      <c r="B2822" s="0" t="s">
        <v>62</v>
      </c>
      <c r="C2822" s="0" t="n">
        <v>2012</v>
      </c>
      <c r="D2822" s="0" t="n">
        <v>9</v>
      </c>
      <c r="E2822" s="38" t="n">
        <v>410613.46</v>
      </c>
    </row>
    <row r="2823" customFormat="false" ht="15" hidden="false" customHeight="false" outlineLevel="0" collapsed="false">
      <c r="A2823" s="0" t="n">
        <v>32</v>
      </c>
      <c r="B2823" s="0" t="s">
        <v>62</v>
      </c>
      <c r="C2823" s="0" t="n">
        <v>2012</v>
      </c>
      <c r="D2823" s="0" t="n">
        <v>10</v>
      </c>
      <c r="E2823" s="38" t="n">
        <v>518272.01</v>
      </c>
    </row>
    <row r="2824" customFormat="false" ht="15" hidden="false" customHeight="false" outlineLevel="0" collapsed="false">
      <c r="A2824" s="0" t="n">
        <v>32</v>
      </c>
      <c r="B2824" s="0" t="s">
        <v>62</v>
      </c>
      <c r="C2824" s="0" t="n">
        <v>2012</v>
      </c>
      <c r="D2824" s="0" t="n">
        <v>11</v>
      </c>
      <c r="E2824" s="38" t="n">
        <v>1076519.26</v>
      </c>
    </row>
    <row r="2825" customFormat="false" ht="15" hidden="false" customHeight="false" outlineLevel="0" collapsed="false">
      <c r="A2825" s="0" t="n">
        <v>32</v>
      </c>
      <c r="B2825" s="0" t="s">
        <v>62</v>
      </c>
      <c r="C2825" s="0" t="n">
        <v>2012</v>
      </c>
      <c r="D2825" s="0" t="n">
        <v>12</v>
      </c>
      <c r="E2825" s="38" t="n">
        <v>353050.58</v>
      </c>
    </row>
    <row r="2826" customFormat="false" ht="15" hidden="false" customHeight="false" outlineLevel="0" collapsed="false">
      <c r="A2826" s="0" t="n">
        <v>32</v>
      </c>
      <c r="B2826" s="0" t="s">
        <v>62</v>
      </c>
      <c r="C2826" s="0" t="n">
        <v>2013</v>
      </c>
      <c r="D2826" s="0" t="n">
        <v>1</v>
      </c>
      <c r="E2826" s="38" t="n">
        <v>572446.73</v>
      </c>
    </row>
    <row r="2827" customFormat="false" ht="15" hidden="false" customHeight="false" outlineLevel="0" collapsed="false">
      <c r="A2827" s="0" t="n">
        <v>32</v>
      </c>
      <c r="B2827" s="0" t="s">
        <v>62</v>
      </c>
      <c r="C2827" s="0" t="n">
        <v>2013</v>
      </c>
      <c r="D2827" s="0" t="n">
        <v>2</v>
      </c>
      <c r="E2827" s="38" t="n">
        <v>455895.39</v>
      </c>
    </row>
    <row r="2828" customFormat="false" ht="15" hidden="false" customHeight="false" outlineLevel="0" collapsed="false">
      <c r="A2828" s="0" t="n">
        <v>32</v>
      </c>
      <c r="B2828" s="0" t="s">
        <v>62</v>
      </c>
      <c r="C2828" s="0" t="n">
        <v>2013</v>
      </c>
      <c r="D2828" s="0" t="n">
        <v>3</v>
      </c>
      <c r="E2828" s="38" t="n">
        <v>439330.22</v>
      </c>
    </row>
    <row r="2829" customFormat="false" ht="15" hidden="false" customHeight="false" outlineLevel="0" collapsed="false">
      <c r="A2829" s="0" t="n">
        <v>32</v>
      </c>
      <c r="B2829" s="0" t="s">
        <v>62</v>
      </c>
      <c r="C2829" s="0" t="n">
        <v>2013</v>
      </c>
      <c r="D2829" s="0" t="n">
        <v>4</v>
      </c>
      <c r="E2829" s="38" t="n">
        <v>543016.98</v>
      </c>
    </row>
    <row r="2830" customFormat="false" ht="15" hidden="false" customHeight="false" outlineLevel="0" collapsed="false">
      <c r="A2830" s="0" t="n">
        <v>32</v>
      </c>
      <c r="B2830" s="0" t="s">
        <v>62</v>
      </c>
      <c r="C2830" s="0" t="n">
        <v>2013</v>
      </c>
      <c r="D2830" s="0" t="n">
        <v>5</v>
      </c>
      <c r="E2830" s="38" t="n">
        <v>485683.59</v>
      </c>
    </row>
    <row r="2831" customFormat="false" ht="15" hidden="false" customHeight="false" outlineLevel="0" collapsed="false">
      <c r="A2831" s="0" t="n">
        <v>32</v>
      </c>
      <c r="B2831" s="0" t="s">
        <v>62</v>
      </c>
      <c r="C2831" s="0" t="n">
        <v>2013</v>
      </c>
      <c r="D2831" s="0" t="n">
        <v>6</v>
      </c>
      <c r="E2831" s="38" t="n">
        <v>471625.7</v>
      </c>
    </row>
    <row r="2832" customFormat="false" ht="15" hidden="false" customHeight="false" outlineLevel="0" collapsed="false">
      <c r="A2832" s="0" t="n">
        <v>32</v>
      </c>
      <c r="B2832" s="0" t="s">
        <v>62</v>
      </c>
      <c r="C2832" s="0" t="n">
        <v>2013</v>
      </c>
      <c r="D2832" s="0" t="n">
        <v>7</v>
      </c>
      <c r="E2832" s="38" t="n">
        <v>420578.33</v>
      </c>
    </row>
    <row r="2833" customFormat="false" ht="15" hidden="false" customHeight="false" outlineLevel="0" collapsed="false">
      <c r="A2833" s="0" t="n">
        <v>32</v>
      </c>
      <c r="B2833" s="0" t="s">
        <v>62</v>
      </c>
      <c r="C2833" s="0" t="n">
        <v>2013</v>
      </c>
      <c r="D2833" s="0" t="n">
        <v>8</v>
      </c>
      <c r="E2833" s="38" t="n">
        <v>393076.26</v>
      </c>
    </row>
    <row r="2834" customFormat="false" ht="15" hidden="false" customHeight="false" outlineLevel="0" collapsed="false">
      <c r="A2834" s="0" t="n">
        <v>32</v>
      </c>
      <c r="B2834" s="0" t="s">
        <v>64</v>
      </c>
      <c r="C2834" s="0" t="n">
        <v>2011</v>
      </c>
      <c r="D2834" s="0" t="n">
        <v>1</v>
      </c>
      <c r="E2834" s="38" t="n">
        <v>326.43</v>
      </c>
    </row>
    <row r="2835" customFormat="false" ht="15" hidden="false" customHeight="false" outlineLevel="0" collapsed="false">
      <c r="A2835" s="0" t="n">
        <v>32</v>
      </c>
      <c r="B2835" s="0" t="s">
        <v>64</v>
      </c>
      <c r="C2835" s="0" t="n">
        <v>2011</v>
      </c>
      <c r="D2835" s="0" t="n">
        <v>2</v>
      </c>
      <c r="E2835" s="38" t="n">
        <v>562.4</v>
      </c>
    </row>
    <row r="2836" customFormat="false" ht="15" hidden="false" customHeight="false" outlineLevel="0" collapsed="false">
      <c r="A2836" s="0" t="n">
        <v>32</v>
      </c>
      <c r="B2836" s="0" t="s">
        <v>64</v>
      </c>
      <c r="C2836" s="0" t="n">
        <v>2011</v>
      </c>
      <c r="D2836" s="0" t="n">
        <v>3</v>
      </c>
      <c r="E2836" s="38" t="n">
        <v>556.48</v>
      </c>
    </row>
    <row r="2837" customFormat="false" ht="15" hidden="false" customHeight="false" outlineLevel="0" collapsed="false">
      <c r="A2837" s="0" t="n">
        <v>32</v>
      </c>
      <c r="B2837" s="0" t="s">
        <v>64</v>
      </c>
      <c r="C2837" s="0" t="n">
        <v>2011</v>
      </c>
      <c r="D2837" s="0" t="n">
        <v>4</v>
      </c>
      <c r="E2837" s="38" t="n">
        <v>874.33</v>
      </c>
    </row>
    <row r="2838" customFormat="false" ht="15" hidden="false" customHeight="false" outlineLevel="0" collapsed="false">
      <c r="A2838" s="0" t="n">
        <v>32</v>
      </c>
      <c r="B2838" s="0" t="s">
        <v>64</v>
      </c>
      <c r="C2838" s="0" t="n">
        <v>2011</v>
      </c>
      <c r="D2838" s="0" t="n">
        <v>5</v>
      </c>
      <c r="E2838" s="38" t="n">
        <v>886.66</v>
      </c>
    </row>
    <row r="2839" customFormat="false" ht="15" hidden="false" customHeight="false" outlineLevel="0" collapsed="false">
      <c r="A2839" s="0" t="n">
        <v>32</v>
      </c>
      <c r="B2839" s="0" t="s">
        <v>64</v>
      </c>
      <c r="C2839" s="0" t="n">
        <v>2011</v>
      </c>
      <c r="D2839" s="0" t="n">
        <v>6</v>
      </c>
      <c r="E2839" s="38" t="n">
        <v>868.8</v>
      </c>
    </row>
    <row r="2840" customFormat="false" ht="15" hidden="false" customHeight="false" outlineLevel="0" collapsed="false">
      <c r="A2840" s="0" t="n">
        <v>32</v>
      </c>
      <c r="B2840" s="0" t="s">
        <v>64</v>
      </c>
      <c r="C2840" s="0" t="n">
        <v>2011</v>
      </c>
      <c r="D2840" s="0" t="n">
        <v>7</v>
      </c>
      <c r="E2840" s="38" t="n">
        <v>737.08</v>
      </c>
    </row>
    <row r="2841" customFormat="false" ht="15" hidden="false" customHeight="false" outlineLevel="0" collapsed="false">
      <c r="A2841" s="0" t="n">
        <v>32</v>
      </c>
      <c r="B2841" s="0" t="s">
        <v>64</v>
      </c>
      <c r="C2841" s="0" t="n">
        <v>2011</v>
      </c>
      <c r="D2841" s="0" t="n">
        <v>8</v>
      </c>
      <c r="E2841" s="38" t="n">
        <v>630.88</v>
      </c>
    </row>
    <row r="2842" customFormat="false" ht="15" hidden="false" customHeight="false" outlineLevel="0" collapsed="false">
      <c r="A2842" s="0" t="n">
        <v>32</v>
      </c>
      <c r="B2842" s="0" t="s">
        <v>64</v>
      </c>
      <c r="C2842" s="0" t="n">
        <v>2011</v>
      </c>
      <c r="D2842" s="0" t="n">
        <v>9</v>
      </c>
      <c r="E2842" s="38" t="n">
        <v>540.92</v>
      </c>
    </row>
    <row r="2843" customFormat="false" ht="15" hidden="false" customHeight="false" outlineLevel="0" collapsed="false">
      <c r="A2843" s="0" t="n">
        <v>32</v>
      </c>
      <c r="B2843" s="0" t="s">
        <v>64</v>
      </c>
      <c r="C2843" s="0" t="n">
        <v>2011</v>
      </c>
      <c r="D2843" s="0" t="n">
        <v>10</v>
      </c>
      <c r="E2843" s="38" t="n">
        <v>398.26</v>
      </c>
    </row>
    <row r="2844" customFormat="false" ht="15" hidden="false" customHeight="false" outlineLevel="0" collapsed="false">
      <c r="A2844" s="0" t="n">
        <v>32</v>
      </c>
      <c r="B2844" s="0" t="s">
        <v>64</v>
      </c>
      <c r="C2844" s="0" t="n">
        <v>2011</v>
      </c>
      <c r="D2844" s="0" t="n">
        <v>11</v>
      </c>
      <c r="E2844" s="38" t="n">
        <v>276.4</v>
      </c>
    </row>
    <row r="2845" customFormat="false" ht="15" hidden="false" customHeight="false" outlineLevel="0" collapsed="false">
      <c r="A2845" s="0" t="n">
        <v>32</v>
      </c>
      <c r="B2845" s="0" t="s">
        <v>64</v>
      </c>
      <c r="C2845" s="0" t="n">
        <v>2011</v>
      </c>
      <c r="D2845" s="0" t="n">
        <v>12</v>
      </c>
      <c r="E2845" s="38" t="n">
        <v>307.99</v>
      </c>
    </row>
    <row r="2846" customFormat="false" ht="15" hidden="false" customHeight="false" outlineLevel="0" collapsed="false">
      <c r="A2846" s="0" t="n">
        <v>32</v>
      </c>
      <c r="B2846" s="0" t="s">
        <v>64</v>
      </c>
      <c r="C2846" s="0" t="n">
        <v>2012</v>
      </c>
      <c r="D2846" s="0" t="n">
        <v>1</v>
      </c>
      <c r="E2846" s="38" t="n">
        <v>548.44</v>
      </c>
    </row>
    <row r="2847" customFormat="false" ht="15" hidden="false" customHeight="false" outlineLevel="0" collapsed="false">
      <c r="A2847" s="0" t="n">
        <v>32</v>
      </c>
      <c r="B2847" s="0" t="s">
        <v>64</v>
      </c>
      <c r="C2847" s="0" t="n">
        <v>2012</v>
      </c>
      <c r="D2847" s="0" t="n">
        <v>2</v>
      </c>
      <c r="E2847" s="38" t="n">
        <v>516.63</v>
      </c>
    </row>
    <row r="2848" customFormat="false" ht="15" hidden="false" customHeight="false" outlineLevel="0" collapsed="false">
      <c r="A2848" s="0" t="n">
        <v>32</v>
      </c>
      <c r="B2848" s="0" t="s">
        <v>64</v>
      </c>
      <c r="C2848" s="0" t="n">
        <v>2012</v>
      </c>
      <c r="D2848" s="0" t="n">
        <v>3</v>
      </c>
      <c r="E2848" s="38" t="n">
        <v>610.42</v>
      </c>
    </row>
    <row r="2849" customFormat="false" ht="15" hidden="false" customHeight="false" outlineLevel="0" collapsed="false">
      <c r="A2849" s="0" t="n">
        <v>32</v>
      </c>
      <c r="B2849" s="0" t="s">
        <v>64</v>
      </c>
      <c r="C2849" s="0" t="n">
        <v>2012</v>
      </c>
      <c r="D2849" s="0" t="n">
        <v>4</v>
      </c>
      <c r="E2849" s="38" t="n">
        <v>588.42</v>
      </c>
    </row>
    <row r="2850" customFormat="false" ht="15" hidden="false" customHeight="false" outlineLevel="0" collapsed="false">
      <c r="A2850" s="0" t="n">
        <v>32</v>
      </c>
      <c r="B2850" s="0" t="s">
        <v>64</v>
      </c>
      <c r="C2850" s="0" t="n">
        <v>2012</v>
      </c>
      <c r="D2850" s="0" t="n">
        <v>5</v>
      </c>
      <c r="E2850" s="38" t="n">
        <v>515.02</v>
      </c>
    </row>
    <row r="2851" customFormat="false" ht="15" hidden="false" customHeight="false" outlineLevel="0" collapsed="false">
      <c r="A2851" s="0" t="n">
        <v>32</v>
      </c>
      <c r="B2851" s="0" t="s">
        <v>64</v>
      </c>
      <c r="C2851" s="0" t="n">
        <v>2012</v>
      </c>
      <c r="D2851" s="0" t="n">
        <v>6</v>
      </c>
      <c r="E2851" s="38" t="n">
        <v>579.18</v>
      </c>
    </row>
    <row r="2852" customFormat="false" ht="15" hidden="false" customHeight="false" outlineLevel="0" collapsed="false">
      <c r="A2852" s="0" t="n">
        <v>32</v>
      </c>
      <c r="B2852" s="0" t="s">
        <v>64</v>
      </c>
      <c r="C2852" s="0" t="n">
        <v>2012</v>
      </c>
      <c r="D2852" s="0" t="n">
        <v>7</v>
      </c>
      <c r="E2852" s="38" t="n">
        <v>545.98</v>
      </c>
    </row>
    <row r="2853" customFormat="false" ht="15" hidden="false" customHeight="false" outlineLevel="0" collapsed="false">
      <c r="A2853" s="0" t="n">
        <v>32</v>
      </c>
      <c r="B2853" s="0" t="s">
        <v>64</v>
      </c>
      <c r="C2853" s="0" t="n">
        <v>2012</v>
      </c>
      <c r="D2853" s="0" t="n">
        <v>8</v>
      </c>
      <c r="E2853" s="38" t="n">
        <v>459.15</v>
      </c>
    </row>
    <row r="2854" customFormat="false" ht="15" hidden="false" customHeight="false" outlineLevel="0" collapsed="false">
      <c r="A2854" s="0" t="n">
        <v>32</v>
      </c>
      <c r="B2854" s="0" t="s">
        <v>64</v>
      </c>
      <c r="C2854" s="0" t="n">
        <v>2012</v>
      </c>
      <c r="D2854" s="0" t="n">
        <v>9</v>
      </c>
      <c r="E2854" s="38" t="n">
        <v>319.41</v>
      </c>
    </row>
    <row r="2855" customFormat="false" ht="15" hidden="false" customHeight="false" outlineLevel="0" collapsed="false">
      <c r="A2855" s="0" t="n">
        <v>32</v>
      </c>
      <c r="B2855" s="0" t="s">
        <v>64</v>
      </c>
      <c r="C2855" s="0" t="n">
        <v>2012</v>
      </c>
      <c r="D2855" s="0" t="n">
        <v>10</v>
      </c>
      <c r="E2855" s="38" t="n">
        <v>265.5</v>
      </c>
    </row>
    <row r="2856" customFormat="false" ht="15" hidden="false" customHeight="false" outlineLevel="0" collapsed="false">
      <c r="A2856" s="0" t="n">
        <v>32</v>
      </c>
      <c r="B2856" s="0" t="s">
        <v>64</v>
      </c>
      <c r="C2856" s="0" t="n">
        <v>2012</v>
      </c>
      <c r="D2856" s="0" t="n">
        <v>11</v>
      </c>
      <c r="E2856" s="38" t="n">
        <v>242.97</v>
      </c>
    </row>
    <row r="2857" customFormat="false" ht="15" hidden="false" customHeight="false" outlineLevel="0" collapsed="false">
      <c r="A2857" s="0" t="n">
        <v>32</v>
      </c>
      <c r="B2857" s="0" t="s">
        <v>64</v>
      </c>
      <c r="C2857" s="0" t="n">
        <v>2012</v>
      </c>
      <c r="D2857" s="0" t="n">
        <v>12</v>
      </c>
      <c r="E2857" s="38" t="n">
        <v>401.86</v>
      </c>
    </row>
    <row r="2858" customFormat="false" ht="15" hidden="false" customHeight="false" outlineLevel="0" collapsed="false">
      <c r="A2858" s="0" t="n">
        <v>32</v>
      </c>
      <c r="B2858" s="0" t="s">
        <v>64</v>
      </c>
      <c r="C2858" s="0" t="n">
        <v>2013</v>
      </c>
      <c r="D2858" s="0" t="n">
        <v>1</v>
      </c>
      <c r="E2858" s="38" t="n">
        <v>651.02</v>
      </c>
    </row>
    <row r="2859" customFormat="false" ht="15" hidden="false" customHeight="false" outlineLevel="0" collapsed="false">
      <c r="A2859" s="0" t="n">
        <v>32</v>
      </c>
      <c r="B2859" s="0" t="s">
        <v>64</v>
      </c>
      <c r="C2859" s="0" t="n">
        <v>2013</v>
      </c>
      <c r="D2859" s="0" t="n">
        <v>2</v>
      </c>
      <c r="E2859" s="38" t="n">
        <v>1136.1</v>
      </c>
    </row>
    <row r="2860" customFormat="false" ht="15" hidden="false" customHeight="false" outlineLevel="0" collapsed="false">
      <c r="A2860" s="0" t="n">
        <v>32</v>
      </c>
      <c r="B2860" s="0" t="s">
        <v>64</v>
      </c>
      <c r="C2860" s="0" t="n">
        <v>2013</v>
      </c>
      <c r="D2860" s="0" t="n">
        <v>3</v>
      </c>
      <c r="E2860" s="38" t="n">
        <v>1654.79</v>
      </c>
    </row>
    <row r="2861" customFormat="false" ht="15" hidden="false" customHeight="false" outlineLevel="0" collapsed="false">
      <c r="A2861" s="0" t="n">
        <v>32</v>
      </c>
      <c r="B2861" s="0" t="s">
        <v>64</v>
      </c>
      <c r="C2861" s="0" t="n">
        <v>2013</v>
      </c>
      <c r="D2861" s="0" t="n">
        <v>4</v>
      </c>
      <c r="E2861" s="38" t="n">
        <v>2246.47</v>
      </c>
    </row>
    <row r="2862" customFormat="false" ht="15" hidden="false" customHeight="false" outlineLevel="0" collapsed="false">
      <c r="A2862" s="0" t="n">
        <v>32</v>
      </c>
      <c r="B2862" s="0" t="s">
        <v>64</v>
      </c>
      <c r="C2862" s="0" t="n">
        <v>2013</v>
      </c>
      <c r="D2862" s="0" t="n">
        <v>5</v>
      </c>
      <c r="E2862" s="38" t="n">
        <v>2071.42</v>
      </c>
    </row>
    <row r="2863" customFormat="false" ht="15" hidden="false" customHeight="false" outlineLevel="0" collapsed="false">
      <c r="A2863" s="0" t="n">
        <v>32</v>
      </c>
      <c r="B2863" s="0" t="s">
        <v>64</v>
      </c>
      <c r="C2863" s="0" t="n">
        <v>2013</v>
      </c>
      <c r="D2863" s="0" t="n">
        <v>6</v>
      </c>
      <c r="E2863" s="38" t="n">
        <v>1821.62</v>
      </c>
    </row>
    <row r="2864" customFormat="false" ht="15" hidden="false" customHeight="false" outlineLevel="0" collapsed="false">
      <c r="A2864" s="0" t="n">
        <v>32</v>
      </c>
      <c r="B2864" s="0" t="s">
        <v>64</v>
      </c>
      <c r="C2864" s="0" t="n">
        <v>2013</v>
      </c>
      <c r="D2864" s="0" t="n">
        <v>7</v>
      </c>
      <c r="E2864" s="38" t="n">
        <v>1174.44</v>
      </c>
    </row>
    <row r="2865" customFormat="false" ht="15" hidden="false" customHeight="false" outlineLevel="0" collapsed="false">
      <c r="A2865" s="0" t="n">
        <v>32</v>
      </c>
      <c r="B2865" s="0" t="s">
        <v>64</v>
      </c>
      <c r="C2865" s="0" t="n">
        <v>2013</v>
      </c>
      <c r="D2865" s="0" t="n">
        <v>8</v>
      </c>
      <c r="E2865" s="38" t="n">
        <v>1020.98</v>
      </c>
    </row>
    <row r="2866" customFormat="false" ht="15" hidden="false" customHeight="false" outlineLevel="0" collapsed="false">
      <c r="A2866" s="0" t="n">
        <v>33</v>
      </c>
      <c r="B2866" s="0" t="s">
        <v>60</v>
      </c>
      <c r="C2866" s="0" t="n">
        <v>2011</v>
      </c>
      <c r="D2866" s="0" t="n">
        <v>1</v>
      </c>
      <c r="E2866" s="38" t="n">
        <v>552428.45</v>
      </c>
    </row>
    <row r="2867" customFormat="false" ht="15" hidden="false" customHeight="false" outlineLevel="0" collapsed="false">
      <c r="A2867" s="0" t="n">
        <v>33</v>
      </c>
      <c r="B2867" s="0" t="s">
        <v>60</v>
      </c>
      <c r="C2867" s="0" t="n">
        <v>2011</v>
      </c>
      <c r="D2867" s="0" t="n">
        <v>2</v>
      </c>
      <c r="E2867" s="38" t="n">
        <v>627018.56</v>
      </c>
    </row>
    <row r="2868" customFormat="false" ht="15" hidden="false" customHeight="false" outlineLevel="0" collapsed="false">
      <c r="A2868" s="0" t="n">
        <v>33</v>
      </c>
      <c r="B2868" s="0" t="s">
        <v>60</v>
      </c>
      <c r="C2868" s="0" t="n">
        <v>2011</v>
      </c>
      <c r="D2868" s="0" t="n">
        <v>3</v>
      </c>
      <c r="E2868" s="38" t="n">
        <v>566457.25</v>
      </c>
    </row>
    <row r="2869" customFormat="false" ht="15" hidden="false" customHeight="false" outlineLevel="0" collapsed="false">
      <c r="A2869" s="0" t="n">
        <v>33</v>
      </c>
      <c r="B2869" s="0" t="s">
        <v>60</v>
      </c>
      <c r="C2869" s="0" t="n">
        <v>2011</v>
      </c>
      <c r="D2869" s="0" t="n">
        <v>4</v>
      </c>
      <c r="E2869" s="38" t="n">
        <v>585747.62</v>
      </c>
    </row>
    <row r="2870" customFormat="false" ht="15" hidden="false" customHeight="false" outlineLevel="0" collapsed="false">
      <c r="A2870" s="0" t="n">
        <v>33</v>
      </c>
      <c r="B2870" s="0" t="s">
        <v>60</v>
      </c>
      <c r="C2870" s="0" t="n">
        <v>2011</v>
      </c>
      <c r="D2870" s="0" t="n">
        <v>5</v>
      </c>
      <c r="E2870" s="38" t="n">
        <v>551012.06</v>
      </c>
    </row>
    <row r="2871" customFormat="false" ht="15" hidden="false" customHeight="false" outlineLevel="0" collapsed="false">
      <c r="A2871" s="0" t="n">
        <v>33</v>
      </c>
      <c r="B2871" s="0" t="s">
        <v>60</v>
      </c>
      <c r="C2871" s="0" t="n">
        <v>2011</v>
      </c>
      <c r="D2871" s="0" t="n">
        <v>6</v>
      </c>
      <c r="E2871" s="38" t="n">
        <v>537056.16</v>
      </c>
    </row>
    <row r="2872" customFormat="false" ht="15" hidden="false" customHeight="false" outlineLevel="0" collapsed="false">
      <c r="A2872" s="0" t="n">
        <v>33</v>
      </c>
      <c r="B2872" s="0" t="s">
        <v>60</v>
      </c>
      <c r="C2872" s="0" t="n">
        <v>2011</v>
      </c>
      <c r="D2872" s="0" t="n">
        <v>7</v>
      </c>
      <c r="E2872" s="38" t="n">
        <v>888176.49</v>
      </c>
    </row>
    <row r="2873" customFormat="false" ht="15" hidden="false" customHeight="false" outlineLevel="0" collapsed="false">
      <c r="A2873" s="0" t="n">
        <v>33</v>
      </c>
      <c r="B2873" s="0" t="s">
        <v>60</v>
      </c>
      <c r="C2873" s="0" t="n">
        <v>2011</v>
      </c>
      <c r="D2873" s="0" t="n">
        <v>8</v>
      </c>
      <c r="E2873" s="38" t="n">
        <v>503792.37</v>
      </c>
    </row>
    <row r="2874" customFormat="false" ht="15" hidden="false" customHeight="false" outlineLevel="0" collapsed="false">
      <c r="A2874" s="0" t="n">
        <v>33</v>
      </c>
      <c r="B2874" s="0" t="s">
        <v>60</v>
      </c>
      <c r="C2874" s="0" t="n">
        <v>2011</v>
      </c>
      <c r="D2874" s="0" t="n">
        <v>9</v>
      </c>
      <c r="E2874" s="38" t="n">
        <v>584287.31</v>
      </c>
    </row>
    <row r="2875" customFormat="false" ht="15" hidden="false" customHeight="false" outlineLevel="0" collapsed="false">
      <c r="A2875" s="0" t="n">
        <v>33</v>
      </c>
      <c r="B2875" s="0" t="s">
        <v>60</v>
      </c>
      <c r="C2875" s="0" t="n">
        <v>2011</v>
      </c>
      <c r="D2875" s="0" t="n">
        <v>10</v>
      </c>
      <c r="E2875" s="38" t="n">
        <v>779434.91</v>
      </c>
    </row>
    <row r="2876" customFormat="false" ht="15" hidden="false" customHeight="false" outlineLevel="0" collapsed="false">
      <c r="A2876" s="0" t="n">
        <v>33</v>
      </c>
      <c r="B2876" s="0" t="s">
        <v>60</v>
      </c>
      <c r="C2876" s="0" t="n">
        <v>2011</v>
      </c>
      <c r="D2876" s="0" t="n">
        <v>11</v>
      </c>
      <c r="E2876" s="38" t="n">
        <v>975191.57</v>
      </c>
    </row>
    <row r="2877" customFormat="false" ht="15" hidden="false" customHeight="false" outlineLevel="0" collapsed="false">
      <c r="A2877" s="0" t="n">
        <v>33</v>
      </c>
      <c r="B2877" s="0" t="s">
        <v>60</v>
      </c>
      <c r="C2877" s="0" t="n">
        <v>2011</v>
      </c>
      <c r="D2877" s="0" t="n">
        <v>12</v>
      </c>
      <c r="E2877" s="38" t="n">
        <v>376200.77</v>
      </c>
    </row>
    <row r="2878" customFormat="false" ht="15" hidden="false" customHeight="false" outlineLevel="0" collapsed="false">
      <c r="A2878" s="0" t="n">
        <v>33</v>
      </c>
      <c r="B2878" s="0" t="s">
        <v>60</v>
      </c>
      <c r="C2878" s="0" t="n">
        <v>2012</v>
      </c>
      <c r="D2878" s="0" t="n">
        <v>1</v>
      </c>
      <c r="E2878" s="38" t="n">
        <v>521446.61</v>
      </c>
    </row>
    <row r="2879" customFormat="false" ht="15" hidden="false" customHeight="false" outlineLevel="0" collapsed="false">
      <c r="A2879" s="0" t="n">
        <v>33</v>
      </c>
      <c r="B2879" s="0" t="s">
        <v>60</v>
      </c>
      <c r="C2879" s="0" t="n">
        <v>2012</v>
      </c>
      <c r="D2879" s="0" t="n">
        <v>2</v>
      </c>
      <c r="E2879" s="38" t="n">
        <v>501655.71</v>
      </c>
    </row>
    <row r="2880" customFormat="false" ht="15" hidden="false" customHeight="false" outlineLevel="0" collapsed="false">
      <c r="A2880" s="0" t="n">
        <v>33</v>
      </c>
      <c r="B2880" s="0" t="s">
        <v>60</v>
      </c>
      <c r="C2880" s="0" t="n">
        <v>2012</v>
      </c>
      <c r="D2880" s="0" t="n">
        <v>3</v>
      </c>
      <c r="E2880" s="38" t="n">
        <v>537796.83</v>
      </c>
    </row>
    <row r="2881" customFormat="false" ht="15" hidden="false" customHeight="false" outlineLevel="0" collapsed="false">
      <c r="A2881" s="0" t="n">
        <v>33</v>
      </c>
      <c r="B2881" s="0" t="s">
        <v>60</v>
      </c>
      <c r="C2881" s="0" t="n">
        <v>2012</v>
      </c>
      <c r="D2881" s="0" t="n">
        <v>4</v>
      </c>
      <c r="E2881" s="38" t="n">
        <v>492913.07</v>
      </c>
    </row>
    <row r="2882" customFormat="false" ht="15" hidden="false" customHeight="false" outlineLevel="0" collapsed="false">
      <c r="A2882" s="0" t="n">
        <v>33</v>
      </c>
      <c r="B2882" s="0" t="s">
        <v>60</v>
      </c>
      <c r="C2882" s="0" t="n">
        <v>2012</v>
      </c>
      <c r="D2882" s="0" t="n">
        <v>5</v>
      </c>
      <c r="E2882" s="38" t="n">
        <v>520732.82</v>
      </c>
    </row>
    <row r="2883" customFormat="false" ht="15" hidden="false" customHeight="false" outlineLevel="0" collapsed="false">
      <c r="A2883" s="0" t="n">
        <v>33</v>
      </c>
      <c r="B2883" s="0" t="s">
        <v>60</v>
      </c>
      <c r="C2883" s="0" t="n">
        <v>2012</v>
      </c>
      <c r="D2883" s="0" t="n">
        <v>6</v>
      </c>
      <c r="E2883" s="38" t="n">
        <v>528335.52</v>
      </c>
    </row>
    <row r="2884" customFormat="false" ht="15" hidden="false" customHeight="false" outlineLevel="0" collapsed="false">
      <c r="A2884" s="0" t="n">
        <v>33</v>
      </c>
      <c r="B2884" s="0" t="s">
        <v>60</v>
      </c>
      <c r="C2884" s="0" t="n">
        <v>2012</v>
      </c>
      <c r="D2884" s="0" t="n">
        <v>7</v>
      </c>
      <c r="E2884" s="38" t="n">
        <v>821345.01</v>
      </c>
    </row>
    <row r="2885" customFormat="false" ht="15" hidden="false" customHeight="false" outlineLevel="0" collapsed="false">
      <c r="A2885" s="0" t="n">
        <v>33</v>
      </c>
      <c r="B2885" s="0" t="s">
        <v>60</v>
      </c>
      <c r="C2885" s="0" t="n">
        <v>2012</v>
      </c>
      <c r="D2885" s="0" t="n">
        <v>8</v>
      </c>
      <c r="E2885" s="38" t="n">
        <v>523192.71</v>
      </c>
    </row>
    <row r="2886" customFormat="false" ht="15" hidden="false" customHeight="false" outlineLevel="0" collapsed="false">
      <c r="A2886" s="0" t="n">
        <v>33</v>
      </c>
      <c r="B2886" s="0" t="s">
        <v>60</v>
      </c>
      <c r="C2886" s="0" t="n">
        <v>2012</v>
      </c>
      <c r="D2886" s="0" t="n">
        <v>9</v>
      </c>
      <c r="E2886" s="38" t="n">
        <v>580035.12</v>
      </c>
    </row>
    <row r="2887" customFormat="false" ht="15" hidden="false" customHeight="false" outlineLevel="0" collapsed="false">
      <c r="A2887" s="0" t="n">
        <v>33</v>
      </c>
      <c r="B2887" s="0" t="s">
        <v>60</v>
      </c>
      <c r="C2887" s="0" t="n">
        <v>2012</v>
      </c>
      <c r="D2887" s="0" t="n">
        <v>10</v>
      </c>
      <c r="E2887" s="38" t="n">
        <v>739708.33</v>
      </c>
    </row>
    <row r="2888" customFormat="false" ht="15" hidden="false" customHeight="false" outlineLevel="0" collapsed="false">
      <c r="A2888" s="0" t="n">
        <v>33</v>
      </c>
      <c r="B2888" s="0" t="s">
        <v>60</v>
      </c>
      <c r="C2888" s="0" t="n">
        <v>2012</v>
      </c>
      <c r="D2888" s="0" t="n">
        <v>11</v>
      </c>
      <c r="E2888" s="38" t="n">
        <v>972652.42</v>
      </c>
    </row>
    <row r="2889" customFormat="false" ht="15" hidden="false" customHeight="false" outlineLevel="0" collapsed="false">
      <c r="A2889" s="0" t="n">
        <v>33</v>
      </c>
      <c r="B2889" s="0" t="s">
        <v>60</v>
      </c>
      <c r="C2889" s="0" t="n">
        <v>2012</v>
      </c>
      <c r="D2889" s="0" t="n">
        <v>12</v>
      </c>
      <c r="E2889" s="38" t="n">
        <v>354178.34</v>
      </c>
    </row>
    <row r="2890" customFormat="false" ht="15" hidden="false" customHeight="false" outlineLevel="0" collapsed="false">
      <c r="A2890" s="0" t="n">
        <v>33</v>
      </c>
      <c r="B2890" s="0" t="s">
        <v>60</v>
      </c>
      <c r="C2890" s="0" t="n">
        <v>2013</v>
      </c>
      <c r="D2890" s="0" t="n">
        <v>1</v>
      </c>
      <c r="E2890" s="38" t="n">
        <v>522561.5</v>
      </c>
    </row>
    <row r="2891" customFormat="false" ht="15" hidden="false" customHeight="false" outlineLevel="0" collapsed="false">
      <c r="A2891" s="0" t="n">
        <v>33</v>
      </c>
      <c r="B2891" s="0" t="s">
        <v>60</v>
      </c>
      <c r="C2891" s="0" t="n">
        <v>2013</v>
      </c>
      <c r="D2891" s="0" t="n">
        <v>2</v>
      </c>
      <c r="E2891" s="38" t="n">
        <v>554696.34</v>
      </c>
    </row>
    <row r="2892" customFormat="false" ht="15" hidden="false" customHeight="false" outlineLevel="0" collapsed="false">
      <c r="A2892" s="0" t="n">
        <v>33</v>
      </c>
      <c r="B2892" s="0" t="s">
        <v>60</v>
      </c>
      <c r="C2892" s="0" t="n">
        <v>2013</v>
      </c>
      <c r="D2892" s="0" t="n">
        <v>3</v>
      </c>
      <c r="E2892" s="38" t="n">
        <v>518253.85</v>
      </c>
    </row>
    <row r="2893" customFormat="false" ht="15" hidden="false" customHeight="false" outlineLevel="0" collapsed="false">
      <c r="A2893" s="0" t="n">
        <v>33</v>
      </c>
      <c r="B2893" s="0" t="s">
        <v>60</v>
      </c>
      <c r="C2893" s="0" t="n">
        <v>2013</v>
      </c>
      <c r="D2893" s="0" t="n">
        <v>4</v>
      </c>
      <c r="E2893" s="38" t="n">
        <v>515490.34</v>
      </c>
    </row>
    <row r="2894" customFormat="false" ht="15" hidden="false" customHeight="false" outlineLevel="0" collapsed="false">
      <c r="A2894" s="0" t="n">
        <v>33</v>
      </c>
      <c r="B2894" s="0" t="s">
        <v>60</v>
      </c>
      <c r="C2894" s="0" t="n">
        <v>2013</v>
      </c>
      <c r="D2894" s="0" t="n">
        <v>5</v>
      </c>
      <c r="E2894" s="38" t="n">
        <v>487801.31</v>
      </c>
    </row>
    <row r="2895" customFormat="false" ht="15" hidden="false" customHeight="false" outlineLevel="0" collapsed="false">
      <c r="A2895" s="0" t="n">
        <v>33</v>
      </c>
      <c r="B2895" s="0" t="s">
        <v>60</v>
      </c>
      <c r="C2895" s="0" t="n">
        <v>2013</v>
      </c>
      <c r="D2895" s="0" t="n">
        <v>6</v>
      </c>
      <c r="E2895" s="38" t="n">
        <v>572307.56</v>
      </c>
    </row>
    <row r="2896" customFormat="false" ht="15" hidden="false" customHeight="false" outlineLevel="0" collapsed="false">
      <c r="A2896" s="0" t="n">
        <v>33</v>
      </c>
      <c r="B2896" s="0" t="s">
        <v>60</v>
      </c>
      <c r="C2896" s="0" t="n">
        <v>2013</v>
      </c>
      <c r="D2896" s="0" t="n">
        <v>7</v>
      </c>
      <c r="E2896" s="38" t="n">
        <v>881958.87</v>
      </c>
    </row>
    <row r="2897" customFormat="false" ht="15" hidden="false" customHeight="false" outlineLevel="0" collapsed="false">
      <c r="A2897" s="0" t="n">
        <v>33</v>
      </c>
      <c r="B2897" s="0" t="s">
        <v>60</v>
      </c>
      <c r="C2897" s="0" t="n">
        <v>2013</v>
      </c>
      <c r="D2897" s="0" t="n">
        <v>8</v>
      </c>
      <c r="E2897" s="38" t="n">
        <v>505377.07</v>
      </c>
    </row>
    <row r="2898" customFormat="false" ht="15" hidden="false" customHeight="false" outlineLevel="0" collapsed="false">
      <c r="A2898" s="0" t="n">
        <v>33</v>
      </c>
      <c r="B2898" s="0" t="s">
        <v>62</v>
      </c>
      <c r="C2898" s="0" t="n">
        <v>2011</v>
      </c>
      <c r="D2898" s="0" t="n">
        <v>1</v>
      </c>
      <c r="E2898" s="38" t="n">
        <v>428327.44</v>
      </c>
    </row>
    <row r="2899" customFormat="false" ht="15" hidden="false" customHeight="false" outlineLevel="0" collapsed="false">
      <c r="A2899" s="0" t="n">
        <v>33</v>
      </c>
      <c r="B2899" s="0" t="s">
        <v>62</v>
      </c>
      <c r="C2899" s="0" t="n">
        <v>2011</v>
      </c>
      <c r="D2899" s="0" t="n">
        <v>2</v>
      </c>
      <c r="E2899" s="38" t="n">
        <v>485348.88</v>
      </c>
    </row>
    <row r="2900" customFormat="false" ht="15" hidden="false" customHeight="false" outlineLevel="0" collapsed="false">
      <c r="A2900" s="0" t="n">
        <v>33</v>
      </c>
      <c r="B2900" s="0" t="s">
        <v>62</v>
      </c>
      <c r="C2900" s="0" t="n">
        <v>2011</v>
      </c>
      <c r="D2900" s="0" t="n">
        <v>3</v>
      </c>
      <c r="E2900" s="38" t="n">
        <v>453219.52</v>
      </c>
    </row>
    <row r="2901" customFormat="false" ht="15" hidden="false" customHeight="false" outlineLevel="0" collapsed="false">
      <c r="A2901" s="0" t="n">
        <v>33</v>
      </c>
      <c r="B2901" s="0" t="s">
        <v>62</v>
      </c>
      <c r="C2901" s="0" t="n">
        <v>2011</v>
      </c>
      <c r="D2901" s="0" t="n">
        <v>4</v>
      </c>
      <c r="E2901" s="38" t="n">
        <v>471274.08</v>
      </c>
    </row>
    <row r="2902" customFormat="false" ht="15" hidden="false" customHeight="false" outlineLevel="0" collapsed="false">
      <c r="A2902" s="0" t="n">
        <v>33</v>
      </c>
      <c r="B2902" s="0" t="s">
        <v>62</v>
      </c>
      <c r="C2902" s="0" t="n">
        <v>2011</v>
      </c>
      <c r="D2902" s="0" t="n">
        <v>5</v>
      </c>
      <c r="E2902" s="38" t="n">
        <v>438021.92</v>
      </c>
    </row>
    <row r="2903" customFormat="false" ht="15" hidden="false" customHeight="false" outlineLevel="0" collapsed="false">
      <c r="A2903" s="0" t="n">
        <v>33</v>
      </c>
      <c r="B2903" s="0" t="s">
        <v>62</v>
      </c>
      <c r="C2903" s="0" t="n">
        <v>2011</v>
      </c>
      <c r="D2903" s="0" t="n">
        <v>6</v>
      </c>
      <c r="E2903" s="38" t="n">
        <v>431974.84</v>
      </c>
    </row>
    <row r="2904" customFormat="false" ht="15" hidden="false" customHeight="false" outlineLevel="0" collapsed="false">
      <c r="A2904" s="0" t="n">
        <v>33</v>
      </c>
      <c r="B2904" s="0" t="s">
        <v>62</v>
      </c>
      <c r="C2904" s="0" t="n">
        <v>2011</v>
      </c>
      <c r="D2904" s="0" t="n">
        <v>7</v>
      </c>
      <c r="E2904" s="38" t="n">
        <v>645976.83</v>
      </c>
    </row>
    <row r="2905" customFormat="false" ht="15" hidden="false" customHeight="false" outlineLevel="0" collapsed="false">
      <c r="A2905" s="0" t="n">
        <v>33</v>
      </c>
      <c r="B2905" s="0" t="s">
        <v>62</v>
      </c>
      <c r="C2905" s="0" t="n">
        <v>2011</v>
      </c>
      <c r="D2905" s="0" t="n">
        <v>8</v>
      </c>
      <c r="E2905" s="38" t="n">
        <v>391408.18</v>
      </c>
    </row>
    <row r="2906" customFormat="false" ht="15" hidden="false" customHeight="false" outlineLevel="0" collapsed="false">
      <c r="A2906" s="0" t="n">
        <v>33</v>
      </c>
      <c r="B2906" s="0" t="s">
        <v>62</v>
      </c>
      <c r="C2906" s="0" t="n">
        <v>2011</v>
      </c>
      <c r="D2906" s="0" t="n">
        <v>9</v>
      </c>
      <c r="E2906" s="38" t="n">
        <v>460630</v>
      </c>
    </row>
    <row r="2907" customFormat="false" ht="15" hidden="false" customHeight="false" outlineLevel="0" collapsed="false">
      <c r="A2907" s="0" t="n">
        <v>33</v>
      </c>
      <c r="B2907" s="0" t="s">
        <v>62</v>
      </c>
      <c r="C2907" s="0" t="n">
        <v>2011</v>
      </c>
      <c r="D2907" s="0" t="n">
        <v>10</v>
      </c>
      <c r="E2907" s="38" t="n">
        <v>580105.95</v>
      </c>
    </row>
    <row r="2908" customFormat="false" ht="15" hidden="false" customHeight="false" outlineLevel="0" collapsed="false">
      <c r="A2908" s="0" t="n">
        <v>33</v>
      </c>
      <c r="B2908" s="0" t="s">
        <v>62</v>
      </c>
      <c r="C2908" s="0" t="n">
        <v>2011</v>
      </c>
      <c r="D2908" s="0" t="n">
        <v>11</v>
      </c>
      <c r="E2908" s="38" t="n">
        <v>736388.39</v>
      </c>
    </row>
    <row r="2909" customFormat="false" ht="15" hidden="false" customHeight="false" outlineLevel="0" collapsed="false">
      <c r="A2909" s="0" t="n">
        <v>33</v>
      </c>
      <c r="B2909" s="0" t="s">
        <v>62</v>
      </c>
      <c r="C2909" s="0" t="n">
        <v>2011</v>
      </c>
      <c r="D2909" s="0" t="n">
        <v>12</v>
      </c>
      <c r="E2909" s="38" t="n">
        <v>286267.41</v>
      </c>
    </row>
    <row r="2910" customFormat="false" ht="15" hidden="false" customHeight="false" outlineLevel="0" collapsed="false">
      <c r="A2910" s="0" t="n">
        <v>33</v>
      </c>
      <c r="B2910" s="0" t="s">
        <v>62</v>
      </c>
      <c r="C2910" s="0" t="n">
        <v>2012</v>
      </c>
      <c r="D2910" s="0" t="n">
        <v>1</v>
      </c>
      <c r="E2910" s="38" t="n">
        <v>394780.78</v>
      </c>
    </row>
    <row r="2911" customFormat="false" ht="15" hidden="false" customHeight="false" outlineLevel="0" collapsed="false">
      <c r="A2911" s="0" t="n">
        <v>33</v>
      </c>
      <c r="B2911" s="0" t="s">
        <v>62</v>
      </c>
      <c r="C2911" s="0" t="n">
        <v>2012</v>
      </c>
      <c r="D2911" s="0" t="n">
        <v>2</v>
      </c>
      <c r="E2911" s="38" t="n">
        <v>391888.61</v>
      </c>
    </row>
    <row r="2912" customFormat="false" ht="15" hidden="false" customHeight="false" outlineLevel="0" collapsed="false">
      <c r="A2912" s="0" t="n">
        <v>33</v>
      </c>
      <c r="B2912" s="0" t="s">
        <v>62</v>
      </c>
      <c r="C2912" s="0" t="n">
        <v>2012</v>
      </c>
      <c r="D2912" s="0" t="n">
        <v>3</v>
      </c>
      <c r="E2912" s="38" t="n">
        <v>418142.25</v>
      </c>
    </row>
    <row r="2913" customFormat="false" ht="15" hidden="false" customHeight="false" outlineLevel="0" collapsed="false">
      <c r="A2913" s="0" t="n">
        <v>33</v>
      </c>
      <c r="B2913" s="0" t="s">
        <v>62</v>
      </c>
      <c r="C2913" s="0" t="n">
        <v>2012</v>
      </c>
      <c r="D2913" s="0" t="n">
        <v>4</v>
      </c>
      <c r="E2913" s="38" t="n">
        <v>399931.5</v>
      </c>
    </row>
    <row r="2914" customFormat="false" ht="15" hidden="false" customHeight="false" outlineLevel="0" collapsed="false">
      <c r="A2914" s="0" t="n">
        <v>33</v>
      </c>
      <c r="B2914" s="0" t="s">
        <v>62</v>
      </c>
      <c r="C2914" s="0" t="n">
        <v>2012</v>
      </c>
      <c r="D2914" s="0" t="n">
        <v>5</v>
      </c>
      <c r="E2914" s="38" t="n">
        <v>406934.66</v>
      </c>
    </row>
    <row r="2915" customFormat="false" ht="15" hidden="false" customHeight="false" outlineLevel="0" collapsed="false">
      <c r="A2915" s="0" t="n">
        <v>33</v>
      </c>
      <c r="B2915" s="0" t="s">
        <v>62</v>
      </c>
      <c r="C2915" s="0" t="n">
        <v>2012</v>
      </c>
      <c r="D2915" s="0" t="n">
        <v>6</v>
      </c>
      <c r="E2915" s="38" t="n">
        <v>401714.73</v>
      </c>
    </row>
    <row r="2916" customFormat="false" ht="15" hidden="false" customHeight="false" outlineLevel="0" collapsed="false">
      <c r="A2916" s="0" t="n">
        <v>33</v>
      </c>
      <c r="B2916" s="0" t="s">
        <v>62</v>
      </c>
      <c r="C2916" s="0" t="n">
        <v>2012</v>
      </c>
      <c r="D2916" s="0" t="n">
        <v>7</v>
      </c>
      <c r="E2916" s="38" t="n">
        <v>585753.98</v>
      </c>
    </row>
    <row r="2917" customFormat="false" ht="15" hidden="false" customHeight="false" outlineLevel="0" collapsed="false">
      <c r="A2917" s="0" t="n">
        <v>33</v>
      </c>
      <c r="B2917" s="0" t="s">
        <v>62</v>
      </c>
      <c r="C2917" s="0" t="n">
        <v>2012</v>
      </c>
      <c r="D2917" s="0" t="n">
        <v>8</v>
      </c>
      <c r="E2917" s="38" t="n">
        <v>391003.57</v>
      </c>
    </row>
    <row r="2918" customFormat="false" ht="15" hidden="false" customHeight="false" outlineLevel="0" collapsed="false">
      <c r="A2918" s="0" t="n">
        <v>33</v>
      </c>
      <c r="B2918" s="0" t="s">
        <v>62</v>
      </c>
      <c r="C2918" s="0" t="n">
        <v>2012</v>
      </c>
      <c r="D2918" s="0" t="n">
        <v>9</v>
      </c>
      <c r="E2918" s="38" t="n">
        <v>450935.06</v>
      </c>
    </row>
    <row r="2919" customFormat="false" ht="15" hidden="false" customHeight="false" outlineLevel="0" collapsed="false">
      <c r="A2919" s="0" t="n">
        <v>33</v>
      </c>
      <c r="B2919" s="0" t="s">
        <v>62</v>
      </c>
      <c r="C2919" s="0" t="n">
        <v>2012</v>
      </c>
      <c r="D2919" s="0" t="n">
        <v>10</v>
      </c>
      <c r="E2919" s="38" t="n">
        <v>558105.79</v>
      </c>
    </row>
    <row r="2920" customFormat="false" ht="15" hidden="false" customHeight="false" outlineLevel="0" collapsed="false">
      <c r="A2920" s="0" t="n">
        <v>33</v>
      </c>
      <c r="B2920" s="0" t="s">
        <v>62</v>
      </c>
      <c r="C2920" s="0" t="n">
        <v>2012</v>
      </c>
      <c r="D2920" s="0" t="n">
        <v>11</v>
      </c>
      <c r="E2920" s="38" t="n">
        <v>722728.67</v>
      </c>
    </row>
    <row r="2921" customFormat="false" ht="15" hidden="false" customHeight="false" outlineLevel="0" collapsed="false">
      <c r="A2921" s="0" t="n">
        <v>33</v>
      </c>
      <c r="B2921" s="0" t="s">
        <v>62</v>
      </c>
      <c r="C2921" s="0" t="n">
        <v>2012</v>
      </c>
      <c r="D2921" s="0" t="n">
        <v>12</v>
      </c>
      <c r="E2921" s="38" t="n">
        <v>271139.01</v>
      </c>
    </row>
    <row r="2922" customFormat="false" ht="15" hidden="false" customHeight="false" outlineLevel="0" collapsed="false">
      <c r="A2922" s="0" t="n">
        <v>33</v>
      </c>
      <c r="B2922" s="0" t="s">
        <v>62</v>
      </c>
      <c r="C2922" s="0" t="n">
        <v>2013</v>
      </c>
      <c r="D2922" s="0" t="n">
        <v>1</v>
      </c>
      <c r="E2922" s="38" t="n">
        <v>397609.39</v>
      </c>
    </row>
    <row r="2923" customFormat="false" ht="15" hidden="false" customHeight="false" outlineLevel="0" collapsed="false">
      <c r="A2923" s="0" t="n">
        <v>33</v>
      </c>
      <c r="B2923" s="0" t="s">
        <v>62</v>
      </c>
      <c r="C2923" s="0" t="n">
        <v>2013</v>
      </c>
      <c r="D2923" s="0" t="n">
        <v>2</v>
      </c>
      <c r="E2923" s="38" t="n">
        <v>437665.84</v>
      </c>
    </row>
    <row r="2924" customFormat="false" ht="15" hidden="false" customHeight="false" outlineLevel="0" collapsed="false">
      <c r="A2924" s="0" t="n">
        <v>33</v>
      </c>
      <c r="B2924" s="0" t="s">
        <v>62</v>
      </c>
      <c r="C2924" s="0" t="n">
        <v>2013</v>
      </c>
      <c r="D2924" s="0" t="n">
        <v>3</v>
      </c>
      <c r="E2924" s="38" t="n">
        <v>396627.2</v>
      </c>
    </row>
    <row r="2925" customFormat="false" ht="15" hidden="false" customHeight="false" outlineLevel="0" collapsed="false">
      <c r="A2925" s="0" t="n">
        <v>33</v>
      </c>
      <c r="B2925" s="0" t="s">
        <v>62</v>
      </c>
      <c r="C2925" s="0" t="n">
        <v>2013</v>
      </c>
      <c r="D2925" s="0" t="n">
        <v>4</v>
      </c>
      <c r="E2925" s="38" t="n">
        <v>383850.94</v>
      </c>
    </row>
    <row r="2926" customFormat="false" ht="15" hidden="false" customHeight="false" outlineLevel="0" collapsed="false">
      <c r="A2926" s="0" t="n">
        <v>33</v>
      </c>
      <c r="B2926" s="0" t="s">
        <v>62</v>
      </c>
      <c r="C2926" s="0" t="n">
        <v>2013</v>
      </c>
      <c r="D2926" s="0" t="n">
        <v>5</v>
      </c>
      <c r="E2926" s="38" t="n">
        <v>377676.34</v>
      </c>
    </row>
    <row r="2927" customFormat="false" ht="15" hidden="false" customHeight="false" outlineLevel="0" collapsed="false">
      <c r="A2927" s="0" t="n">
        <v>33</v>
      </c>
      <c r="B2927" s="0" t="s">
        <v>62</v>
      </c>
      <c r="C2927" s="0" t="n">
        <v>2013</v>
      </c>
      <c r="D2927" s="0" t="n">
        <v>6</v>
      </c>
      <c r="E2927" s="38" t="n">
        <v>461469.03</v>
      </c>
    </row>
    <row r="2928" customFormat="false" ht="15" hidden="false" customHeight="false" outlineLevel="0" collapsed="false">
      <c r="A2928" s="0" t="n">
        <v>33</v>
      </c>
      <c r="B2928" s="0" t="s">
        <v>62</v>
      </c>
      <c r="C2928" s="0" t="n">
        <v>2013</v>
      </c>
      <c r="D2928" s="0" t="n">
        <v>7</v>
      </c>
      <c r="E2928" s="38" t="n">
        <v>633416.75</v>
      </c>
    </row>
    <row r="2929" customFormat="false" ht="15" hidden="false" customHeight="false" outlineLevel="0" collapsed="false">
      <c r="A2929" s="0" t="n">
        <v>33</v>
      </c>
      <c r="B2929" s="0" t="s">
        <v>62</v>
      </c>
      <c r="C2929" s="0" t="n">
        <v>2013</v>
      </c>
      <c r="D2929" s="0" t="n">
        <v>8</v>
      </c>
      <c r="E2929" s="38" t="n">
        <v>401106.05</v>
      </c>
    </row>
    <row r="2930" customFormat="false" ht="15" hidden="false" customHeight="false" outlineLevel="0" collapsed="false">
      <c r="A2930" s="0" t="n">
        <v>33</v>
      </c>
      <c r="B2930" s="0" t="s">
        <v>64</v>
      </c>
      <c r="C2930" s="0" t="n">
        <v>2011</v>
      </c>
      <c r="D2930" s="0" t="n">
        <v>2</v>
      </c>
      <c r="E2930" s="38" t="n">
        <v>48.79</v>
      </c>
    </row>
    <row r="2931" customFormat="false" ht="15" hidden="false" customHeight="false" outlineLevel="0" collapsed="false">
      <c r="A2931" s="0" t="n">
        <v>33</v>
      </c>
      <c r="B2931" s="0" t="s">
        <v>64</v>
      </c>
      <c r="C2931" s="0" t="n">
        <v>2011</v>
      </c>
      <c r="D2931" s="0" t="n">
        <v>3</v>
      </c>
      <c r="E2931" s="38" t="n">
        <v>3.21</v>
      </c>
    </row>
    <row r="2932" customFormat="false" ht="15" hidden="false" customHeight="false" outlineLevel="0" collapsed="false">
      <c r="A2932" s="0" t="n">
        <v>33</v>
      </c>
      <c r="B2932" s="0" t="s">
        <v>64</v>
      </c>
      <c r="C2932" s="0" t="n">
        <v>2011</v>
      </c>
      <c r="D2932" s="0" t="n">
        <v>4</v>
      </c>
      <c r="E2932" s="38" t="n">
        <v>6</v>
      </c>
    </row>
    <row r="2933" customFormat="false" ht="15" hidden="false" customHeight="false" outlineLevel="0" collapsed="false">
      <c r="A2933" s="0" t="n">
        <v>33</v>
      </c>
      <c r="B2933" s="0" t="s">
        <v>64</v>
      </c>
      <c r="C2933" s="0" t="n">
        <v>2011</v>
      </c>
      <c r="D2933" s="0" t="n">
        <v>5</v>
      </c>
      <c r="E2933" s="38" t="n">
        <v>29</v>
      </c>
    </row>
    <row r="2934" customFormat="false" ht="15" hidden="false" customHeight="false" outlineLevel="0" collapsed="false">
      <c r="A2934" s="0" t="n">
        <v>33</v>
      </c>
      <c r="B2934" s="0" t="s">
        <v>64</v>
      </c>
      <c r="C2934" s="0" t="n">
        <v>2011</v>
      </c>
      <c r="D2934" s="0" t="n">
        <v>6</v>
      </c>
      <c r="E2934" s="38" t="n">
        <v>3</v>
      </c>
    </row>
    <row r="2935" customFormat="false" ht="15" hidden="false" customHeight="false" outlineLevel="0" collapsed="false">
      <c r="A2935" s="0" t="n">
        <v>33</v>
      </c>
      <c r="B2935" s="0" t="s">
        <v>64</v>
      </c>
      <c r="C2935" s="0" t="n">
        <v>2011</v>
      </c>
      <c r="D2935" s="0" t="n">
        <v>7</v>
      </c>
      <c r="E2935" s="38" t="n">
        <v>3</v>
      </c>
    </row>
    <row r="2936" customFormat="false" ht="15" hidden="false" customHeight="false" outlineLevel="0" collapsed="false">
      <c r="A2936" s="0" t="n">
        <v>33</v>
      </c>
      <c r="B2936" s="0" t="s">
        <v>64</v>
      </c>
      <c r="C2936" s="0" t="n">
        <v>2011</v>
      </c>
      <c r="D2936" s="0" t="n">
        <v>8</v>
      </c>
      <c r="E2936" s="38" t="n">
        <v>9.85</v>
      </c>
    </row>
    <row r="2937" customFormat="false" ht="15" hidden="false" customHeight="false" outlineLevel="0" collapsed="false">
      <c r="A2937" s="0" t="n">
        <v>33</v>
      </c>
      <c r="B2937" s="0" t="s">
        <v>64</v>
      </c>
      <c r="C2937" s="0" t="n">
        <v>2011</v>
      </c>
      <c r="D2937" s="0" t="n">
        <v>9</v>
      </c>
      <c r="E2937" s="38" t="n">
        <v>9.37</v>
      </c>
    </row>
    <row r="2938" customFormat="false" ht="15" hidden="false" customHeight="false" outlineLevel="0" collapsed="false">
      <c r="A2938" s="0" t="n">
        <v>33</v>
      </c>
      <c r="B2938" s="0" t="s">
        <v>64</v>
      </c>
      <c r="C2938" s="0" t="n">
        <v>2011</v>
      </c>
      <c r="D2938" s="0" t="n">
        <v>10</v>
      </c>
      <c r="E2938" s="38" t="n">
        <v>9.31</v>
      </c>
    </row>
    <row r="2939" customFormat="false" ht="15" hidden="false" customHeight="false" outlineLevel="0" collapsed="false">
      <c r="A2939" s="0" t="n">
        <v>33</v>
      </c>
      <c r="B2939" s="0" t="s">
        <v>64</v>
      </c>
      <c r="C2939" s="0" t="n">
        <v>2011</v>
      </c>
      <c r="D2939" s="0" t="n">
        <v>11</v>
      </c>
      <c r="E2939" s="38" t="n">
        <v>6.97</v>
      </c>
    </row>
    <row r="2940" customFormat="false" ht="15" hidden="false" customHeight="false" outlineLevel="0" collapsed="false">
      <c r="A2940" s="0" t="n">
        <v>33</v>
      </c>
      <c r="B2940" s="0" t="s">
        <v>64</v>
      </c>
      <c r="C2940" s="0" t="n">
        <v>2011</v>
      </c>
      <c r="D2940" s="0" t="n">
        <v>12</v>
      </c>
      <c r="E2940" s="38" t="n">
        <v>6.97</v>
      </c>
    </row>
    <row r="2941" customFormat="false" ht="15" hidden="false" customHeight="false" outlineLevel="0" collapsed="false">
      <c r="A2941" s="0" t="n">
        <v>33</v>
      </c>
      <c r="B2941" s="0" t="s">
        <v>64</v>
      </c>
      <c r="C2941" s="0" t="n">
        <v>2012</v>
      </c>
      <c r="D2941" s="0" t="n">
        <v>1</v>
      </c>
      <c r="E2941" s="38" t="n">
        <v>15.37</v>
      </c>
    </row>
    <row r="2942" customFormat="false" ht="15" hidden="false" customHeight="false" outlineLevel="0" collapsed="false">
      <c r="A2942" s="0" t="n">
        <v>33</v>
      </c>
      <c r="B2942" s="0" t="s">
        <v>64</v>
      </c>
      <c r="C2942" s="0" t="n">
        <v>2012</v>
      </c>
      <c r="D2942" s="0" t="n">
        <v>2</v>
      </c>
      <c r="E2942" s="38" t="n">
        <v>0.57</v>
      </c>
    </row>
    <row r="2943" customFormat="false" ht="15" hidden="false" customHeight="false" outlineLevel="0" collapsed="false">
      <c r="A2943" s="0" t="n">
        <v>33</v>
      </c>
      <c r="B2943" s="0" t="s">
        <v>64</v>
      </c>
      <c r="C2943" s="0" t="n">
        <v>2012</v>
      </c>
      <c r="D2943" s="0" t="n">
        <v>3</v>
      </c>
      <c r="E2943" s="38" t="n">
        <v>15.5</v>
      </c>
    </row>
    <row r="2944" customFormat="false" ht="15" hidden="false" customHeight="false" outlineLevel="0" collapsed="false">
      <c r="A2944" s="0" t="n">
        <v>33</v>
      </c>
      <c r="B2944" s="0" t="s">
        <v>64</v>
      </c>
      <c r="C2944" s="0" t="n">
        <v>2012</v>
      </c>
      <c r="D2944" s="0" t="n">
        <v>4</v>
      </c>
      <c r="E2944" s="38" t="n">
        <v>25</v>
      </c>
    </row>
    <row r="2945" customFormat="false" ht="15" hidden="false" customHeight="false" outlineLevel="0" collapsed="false">
      <c r="A2945" s="0" t="n">
        <v>33</v>
      </c>
      <c r="B2945" s="0" t="s">
        <v>64</v>
      </c>
      <c r="C2945" s="0" t="n">
        <v>2012</v>
      </c>
      <c r="D2945" s="0" t="n">
        <v>5</v>
      </c>
      <c r="E2945" s="38" t="n">
        <v>10.5</v>
      </c>
    </row>
    <row r="2946" customFormat="false" ht="15" hidden="false" customHeight="false" outlineLevel="0" collapsed="false">
      <c r="A2946" s="0" t="n">
        <v>33</v>
      </c>
      <c r="B2946" s="0" t="s">
        <v>64</v>
      </c>
      <c r="C2946" s="0" t="n">
        <v>2012</v>
      </c>
      <c r="D2946" s="0" t="n">
        <v>6</v>
      </c>
      <c r="E2946" s="38" t="n">
        <v>5.97</v>
      </c>
    </row>
    <row r="2947" customFormat="false" ht="15" hidden="false" customHeight="false" outlineLevel="0" collapsed="false">
      <c r="A2947" s="0" t="n">
        <v>33</v>
      </c>
      <c r="B2947" s="0" t="s">
        <v>64</v>
      </c>
      <c r="C2947" s="0" t="n">
        <v>2012</v>
      </c>
      <c r="D2947" s="0" t="n">
        <v>7</v>
      </c>
      <c r="E2947" s="38" t="n">
        <v>9</v>
      </c>
    </row>
    <row r="2948" customFormat="false" ht="15" hidden="false" customHeight="false" outlineLevel="0" collapsed="false">
      <c r="A2948" s="0" t="n">
        <v>33</v>
      </c>
      <c r="B2948" s="0" t="s">
        <v>64</v>
      </c>
      <c r="C2948" s="0" t="n">
        <v>2012</v>
      </c>
      <c r="D2948" s="0" t="n">
        <v>8</v>
      </c>
      <c r="E2948" s="38" t="n">
        <v>36</v>
      </c>
    </row>
    <row r="2949" customFormat="false" ht="15" hidden="false" customHeight="false" outlineLevel="0" collapsed="false">
      <c r="A2949" s="0" t="n">
        <v>33</v>
      </c>
      <c r="B2949" s="0" t="s">
        <v>64</v>
      </c>
      <c r="C2949" s="0" t="n">
        <v>2012</v>
      </c>
      <c r="D2949" s="0" t="n">
        <v>9</v>
      </c>
      <c r="E2949" s="38" t="n">
        <v>7.63</v>
      </c>
    </row>
    <row r="2950" customFormat="false" ht="15" hidden="false" customHeight="false" outlineLevel="0" collapsed="false">
      <c r="A2950" s="0" t="n">
        <v>33</v>
      </c>
      <c r="B2950" s="0" t="s">
        <v>64</v>
      </c>
      <c r="C2950" s="0" t="n">
        <v>2012</v>
      </c>
      <c r="D2950" s="0" t="n">
        <v>10</v>
      </c>
      <c r="E2950" s="38" t="n">
        <v>5.1</v>
      </c>
    </row>
    <row r="2951" customFormat="false" ht="15" hidden="false" customHeight="false" outlineLevel="0" collapsed="false">
      <c r="A2951" s="0" t="n">
        <v>33</v>
      </c>
      <c r="B2951" s="0" t="s">
        <v>64</v>
      </c>
      <c r="C2951" s="0" t="n">
        <v>2012</v>
      </c>
      <c r="D2951" s="0" t="n">
        <v>11</v>
      </c>
      <c r="E2951" s="38" t="n">
        <v>5</v>
      </c>
    </row>
    <row r="2952" customFormat="false" ht="15" hidden="false" customHeight="false" outlineLevel="0" collapsed="false">
      <c r="A2952" s="0" t="n">
        <v>33</v>
      </c>
      <c r="B2952" s="0" t="s">
        <v>64</v>
      </c>
      <c r="C2952" s="0" t="n">
        <v>2012</v>
      </c>
      <c r="D2952" s="0" t="n">
        <v>12</v>
      </c>
      <c r="E2952" s="38" t="n">
        <v>5.36</v>
      </c>
    </row>
    <row r="2953" customFormat="false" ht="15" hidden="false" customHeight="false" outlineLevel="0" collapsed="false">
      <c r="A2953" s="0" t="n">
        <v>33</v>
      </c>
      <c r="B2953" s="0" t="s">
        <v>64</v>
      </c>
      <c r="C2953" s="0" t="n">
        <v>2013</v>
      </c>
      <c r="D2953" s="0" t="n">
        <v>1</v>
      </c>
      <c r="E2953" s="38" t="n">
        <v>18.87</v>
      </c>
    </row>
    <row r="2954" customFormat="false" ht="15" hidden="false" customHeight="false" outlineLevel="0" collapsed="false">
      <c r="A2954" s="0" t="n">
        <v>33</v>
      </c>
      <c r="B2954" s="0" t="s">
        <v>64</v>
      </c>
      <c r="C2954" s="0" t="n">
        <v>2013</v>
      </c>
      <c r="D2954" s="0" t="n">
        <v>2</v>
      </c>
      <c r="E2954" s="38" t="n">
        <v>-6.26</v>
      </c>
    </row>
    <row r="2955" customFormat="false" ht="15" hidden="false" customHeight="false" outlineLevel="0" collapsed="false">
      <c r="A2955" s="0" t="n">
        <v>33</v>
      </c>
      <c r="B2955" s="0" t="s">
        <v>64</v>
      </c>
      <c r="C2955" s="0" t="n">
        <v>2013</v>
      </c>
      <c r="D2955" s="0" t="n">
        <v>3</v>
      </c>
      <c r="E2955" s="38" t="n">
        <v>23.68</v>
      </c>
    </row>
    <row r="2956" customFormat="false" ht="15" hidden="false" customHeight="false" outlineLevel="0" collapsed="false">
      <c r="A2956" s="0" t="n">
        <v>33</v>
      </c>
      <c r="B2956" s="0" t="s">
        <v>64</v>
      </c>
      <c r="C2956" s="0" t="n">
        <v>2013</v>
      </c>
      <c r="D2956" s="0" t="n">
        <v>4</v>
      </c>
      <c r="E2956" s="38" t="n">
        <v>24.11</v>
      </c>
    </row>
    <row r="2957" customFormat="false" ht="15" hidden="false" customHeight="false" outlineLevel="0" collapsed="false">
      <c r="A2957" s="0" t="n">
        <v>33</v>
      </c>
      <c r="B2957" s="0" t="s">
        <v>64</v>
      </c>
      <c r="C2957" s="0" t="n">
        <v>2013</v>
      </c>
      <c r="D2957" s="0" t="n">
        <v>5</v>
      </c>
      <c r="E2957" s="38" t="n">
        <v>42.85</v>
      </c>
    </row>
    <row r="2958" customFormat="false" ht="15" hidden="false" customHeight="false" outlineLevel="0" collapsed="false">
      <c r="A2958" s="0" t="n">
        <v>33</v>
      </c>
      <c r="B2958" s="0" t="s">
        <v>64</v>
      </c>
      <c r="C2958" s="0" t="n">
        <v>2013</v>
      </c>
      <c r="D2958" s="0" t="n">
        <v>6</v>
      </c>
      <c r="E2958" s="38" t="n">
        <v>23.83</v>
      </c>
    </row>
    <row r="2959" customFormat="false" ht="15" hidden="false" customHeight="false" outlineLevel="0" collapsed="false">
      <c r="A2959" s="0" t="n">
        <v>33</v>
      </c>
      <c r="B2959" s="0" t="s">
        <v>64</v>
      </c>
      <c r="C2959" s="0" t="n">
        <v>2013</v>
      </c>
      <c r="D2959" s="0" t="n">
        <v>7</v>
      </c>
      <c r="E2959" s="38" t="n">
        <v>15.03</v>
      </c>
    </row>
    <row r="2960" customFormat="false" ht="15" hidden="false" customHeight="false" outlineLevel="0" collapsed="false">
      <c r="A2960" s="0" t="n">
        <v>33</v>
      </c>
      <c r="B2960" s="0" t="s">
        <v>64</v>
      </c>
      <c r="C2960" s="0" t="n">
        <v>2013</v>
      </c>
      <c r="D2960" s="0" t="n">
        <v>8</v>
      </c>
      <c r="E2960" s="38" t="n">
        <v>44.82</v>
      </c>
    </row>
    <row r="2961" customFormat="false" ht="15" hidden="false" customHeight="false" outlineLevel="0" collapsed="false">
      <c r="A2961" s="0" t="n">
        <v>34</v>
      </c>
      <c r="B2961" s="0" t="s">
        <v>60</v>
      </c>
      <c r="C2961" s="0" t="n">
        <v>2011</v>
      </c>
      <c r="D2961" s="0" t="n">
        <v>1</v>
      </c>
      <c r="E2961" s="38" t="n">
        <v>1349002.31</v>
      </c>
    </row>
    <row r="2962" customFormat="false" ht="15" hidden="false" customHeight="false" outlineLevel="0" collapsed="false">
      <c r="A2962" s="0" t="n">
        <v>34</v>
      </c>
      <c r="B2962" s="0" t="s">
        <v>60</v>
      </c>
      <c r="C2962" s="0" t="n">
        <v>2011</v>
      </c>
      <c r="D2962" s="0" t="n">
        <v>2</v>
      </c>
      <c r="E2962" s="38" t="n">
        <v>1529598.98</v>
      </c>
    </row>
    <row r="2963" customFormat="false" ht="15" hidden="false" customHeight="false" outlineLevel="0" collapsed="false">
      <c r="A2963" s="0" t="n">
        <v>34</v>
      </c>
      <c r="B2963" s="0" t="s">
        <v>60</v>
      </c>
      <c r="C2963" s="0" t="n">
        <v>2011</v>
      </c>
      <c r="D2963" s="0" t="n">
        <v>3</v>
      </c>
      <c r="E2963" s="38" t="n">
        <v>1493486.82</v>
      </c>
    </row>
    <row r="2964" customFormat="false" ht="15" hidden="false" customHeight="false" outlineLevel="0" collapsed="false">
      <c r="A2964" s="0" t="n">
        <v>34</v>
      </c>
      <c r="B2964" s="0" t="s">
        <v>60</v>
      </c>
      <c r="C2964" s="0" t="n">
        <v>2011</v>
      </c>
      <c r="D2964" s="0" t="n">
        <v>4</v>
      </c>
      <c r="E2964" s="38" t="n">
        <v>1714671.05</v>
      </c>
    </row>
    <row r="2965" customFormat="false" ht="15" hidden="false" customHeight="false" outlineLevel="0" collapsed="false">
      <c r="A2965" s="0" t="n">
        <v>34</v>
      </c>
      <c r="B2965" s="0" t="s">
        <v>60</v>
      </c>
      <c r="C2965" s="0" t="n">
        <v>2011</v>
      </c>
      <c r="D2965" s="0" t="n">
        <v>5</v>
      </c>
      <c r="E2965" s="38" t="n">
        <v>1609356.06</v>
      </c>
    </row>
    <row r="2966" customFormat="false" ht="15" hidden="false" customHeight="false" outlineLevel="0" collapsed="false">
      <c r="A2966" s="0" t="n">
        <v>34</v>
      </c>
      <c r="B2966" s="0" t="s">
        <v>60</v>
      </c>
      <c r="C2966" s="0" t="n">
        <v>2011</v>
      </c>
      <c r="D2966" s="0" t="n">
        <v>6</v>
      </c>
      <c r="E2966" s="38" t="n">
        <v>1455096.65</v>
      </c>
    </row>
    <row r="2967" customFormat="false" ht="15" hidden="false" customHeight="false" outlineLevel="0" collapsed="false">
      <c r="A2967" s="0" t="n">
        <v>34</v>
      </c>
      <c r="B2967" s="0" t="s">
        <v>60</v>
      </c>
      <c r="C2967" s="0" t="n">
        <v>2011</v>
      </c>
      <c r="D2967" s="0" t="n">
        <v>7</v>
      </c>
      <c r="E2967" s="38" t="n">
        <v>1381022.58</v>
      </c>
    </row>
    <row r="2968" customFormat="false" ht="15" hidden="false" customHeight="false" outlineLevel="0" collapsed="false">
      <c r="A2968" s="0" t="n">
        <v>34</v>
      </c>
      <c r="B2968" s="0" t="s">
        <v>60</v>
      </c>
      <c r="C2968" s="0" t="n">
        <v>2011</v>
      </c>
      <c r="D2968" s="0" t="n">
        <v>8</v>
      </c>
      <c r="E2968" s="38" t="n">
        <v>1164791.34</v>
      </c>
    </row>
    <row r="2969" customFormat="false" ht="15" hidden="false" customHeight="false" outlineLevel="0" collapsed="false">
      <c r="A2969" s="0" t="n">
        <v>34</v>
      </c>
      <c r="B2969" s="0" t="s">
        <v>60</v>
      </c>
      <c r="C2969" s="0" t="n">
        <v>2011</v>
      </c>
      <c r="D2969" s="0" t="n">
        <v>9</v>
      </c>
      <c r="E2969" s="38" t="n">
        <v>1269756.96</v>
      </c>
    </row>
    <row r="2970" customFormat="false" ht="15" hidden="false" customHeight="false" outlineLevel="0" collapsed="false">
      <c r="A2970" s="0" t="n">
        <v>34</v>
      </c>
      <c r="B2970" s="0" t="s">
        <v>60</v>
      </c>
      <c r="C2970" s="0" t="n">
        <v>2011</v>
      </c>
      <c r="D2970" s="0" t="n">
        <v>10</v>
      </c>
      <c r="E2970" s="38" t="n">
        <v>1366590.5</v>
      </c>
    </row>
    <row r="2971" customFormat="false" ht="15" hidden="false" customHeight="false" outlineLevel="0" collapsed="false">
      <c r="A2971" s="0" t="n">
        <v>34</v>
      </c>
      <c r="B2971" s="0" t="s">
        <v>60</v>
      </c>
      <c r="C2971" s="0" t="n">
        <v>2011</v>
      </c>
      <c r="D2971" s="0" t="n">
        <v>11</v>
      </c>
      <c r="E2971" s="38" t="n">
        <v>1472625.76</v>
      </c>
    </row>
    <row r="2972" customFormat="false" ht="15" hidden="false" customHeight="false" outlineLevel="0" collapsed="false">
      <c r="A2972" s="0" t="n">
        <v>34</v>
      </c>
      <c r="B2972" s="0" t="s">
        <v>60</v>
      </c>
      <c r="C2972" s="0" t="n">
        <v>2011</v>
      </c>
      <c r="D2972" s="0" t="n">
        <v>12</v>
      </c>
      <c r="E2972" s="38" t="n">
        <v>976968.57</v>
      </c>
    </row>
    <row r="2973" customFormat="false" ht="15" hidden="false" customHeight="false" outlineLevel="0" collapsed="false">
      <c r="A2973" s="0" t="n">
        <v>34</v>
      </c>
      <c r="B2973" s="0" t="s">
        <v>60</v>
      </c>
      <c r="C2973" s="0" t="n">
        <v>2012</v>
      </c>
      <c r="D2973" s="0" t="n">
        <v>1</v>
      </c>
      <c r="E2973" s="38" t="n">
        <v>1192237.12</v>
      </c>
    </row>
    <row r="2974" customFormat="false" ht="15" hidden="false" customHeight="false" outlineLevel="0" collapsed="false">
      <c r="A2974" s="0" t="n">
        <v>34</v>
      </c>
      <c r="B2974" s="0" t="s">
        <v>60</v>
      </c>
      <c r="C2974" s="0" t="n">
        <v>2012</v>
      </c>
      <c r="D2974" s="0" t="n">
        <v>2</v>
      </c>
      <c r="E2974" s="38" t="n">
        <v>1340373.21</v>
      </c>
    </row>
    <row r="2975" customFormat="false" ht="15" hidden="false" customHeight="false" outlineLevel="0" collapsed="false">
      <c r="A2975" s="0" t="n">
        <v>34</v>
      </c>
      <c r="B2975" s="0" t="s">
        <v>60</v>
      </c>
      <c r="C2975" s="0" t="n">
        <v>2012</v>
      </c>
      <c r="D2975" s="0" t="n">
        <v>3</v>
      </c>
      <c r="E2975" s="38" t="n">
        <v>1349303.93</v>
      </c>
    </row>
    <row r="2976" customFormat="false" ht="15" hidden="false" customHeight="false" outlineLevel="0" collapsed="false">
      <c r="A2976" s="0" t="n">
        <v>34</v>
      </c>
      <c r="B2976" s="0" t="s">
        <v>60</v>
      </c>
      <c r="C2976" s="0" t="n">
        <v>2012</v>
      </c>
      <c r="D2976" s="0" t="n">
        <v>4</v>
      </c>
      <c r="E2976" s="38" t="n">
        <v>1546858.52</v>
      </c>
    </row>
    <row r="2977" customFormat="false" ht="15" hidden="false" customHeight="false" outlineLevel="0" collapsed="false">
      <c r="A2977" s="0" t="n">
        <v>34</v>
      </c>
      <c r="B2977" s="0" t="s">
        <v>60</v>
      </c>
      <c r="C2977" s="0" t="n">
        <v>2012</v>
      </c>
      <c r="D2977" s="0" t="n">
        <v>5</v>
      </c>
      <c r="E2977" s="38" t="n">
        <v>1565330.23</v>
      </c>
    </row>
    <row r="2978" customFormat="false" ht="15" hidden="false" customHeight="false" outlineLevel="0" collapsed="false">
      <c r="A2978" s="0" t="n">
        <v>34</v>
      </c>
      <c r="B2978" s="0" t="s">
        <v>60</v>
      </c>
      <c r="C2978" s="0" t="n">
        <v>2012</v>
      </c>
      <c r="D2978" s="0" t="n">
        <v>6</v>
      </c>
      <c r="E2978" s="38" t="n">
        <v>1484802.94</v>
      </c>
    </row>
    <row r="2979" customFormat="false" ht="15" hidden="false" customHeight="false" outlineLevel="0" collapsed="false">
      <c r="A2979" s="0" t="n">
        <v>34</v>
      </c>
      <c r="B2979" s="0" t="s">
        <v>60</v>
      </c>
      <c r="C2979" s="0" t="n">
        <v>2012</v>
      </c>
      <c r="D2979" s="0" t="n">
        <v>7</v>
      </c>
      <c r="E2979" s="38" t="n">
        <v>1343081.56</v>
      </c>
    </row>
    <row r="2980" customFormat="false" ht="15" hidden="false" customHeight="false" outlineLevel="0" collapsed="false">
      <c r="A2980" s="0" t="n">
        <v>34</v>
      </c>
      <c r="B2980" s="0" t="s">
        <v>60</v>
      </c>
      <c r="C2980" s="0" t="n">
        <v>2012</v>
      </c>
      <c r="D2980" s="0" t="n">
        <v>8</v>
      </c>
      <c r="E2980" s="38" t="n">
        <v>1126778.22</v>
      </c>
    </row>
    <row r="2981" customFormat="false" ht="15" hidden="false" customHeight="false" outlineLevel="0" collapsed="false">
      <c r="A2981" s="0" t="n">
        <v>34</v>
      </c>
      <c r="B2981" s="0" t="s">
        <v>60</v>
      </c>
      <c r="C2981" s="0" t="n">
        <v>2012</v>
      </c>
      <c r="D2981" s="0" t="n">
        <v>9</v>
      </c>
      <c r="E2981" s="38" t="n">
        <v>1208018.42</v>
      </c>
    </row>
    <row r="2982" customFormat="false" ht="15" hidden="false" customHeight="false" outlineLevel="0" collapsed="false">
      <c r="A2982" s="0" t="n">
        <v>34</v>
      </c>
      <c r="B2982" s="0" t="s">
        <v>60</v>
      </c>
      <c r="C2982" s="0" t="n">
        <v>2012</v>
      </c>
      <c r="D2982" s="0" t="n">
        <v>10</v>
      </c>
      <c r="E2982" s="38" t="n">
        <v>1246466.27</v>
      </c>
    </row>
    <row r="2983" customFormat="false" ht="15" hidden="false" customHeight="false" outlineLevel="0" collapsed="false">
      <c r="A2983" s="0" t="n">
        <v>34</v>
      </c>
      <c r="B2983" s="0" t="s">
        <v>60</v>
      </c>
      <c r="C2983" s="0" t="n">
        <v>2012</v>
      </c>
      <c r="D2983" s="0" t="n">
        <v>11</v>
      </c>
      <c r="E2983" s="38" t="n">
        <v>1482673.79</v>
      </c>
    </row>
    <row r="2984" customFormat="false" ht="15" hidden="false" customHeight="false" outlineLevel="0" collapsed="false">
      <c r="A2984" s="0" t="n">
        <v>34</v>
      </c>
      <c r="B2984" s="0" t="s">
        <v>60</v>
      </c>
      <c r="C2984" s="0" t="n">
        <v>2012</v>
      </c>
      <c r="D2984" s="0" t="n">
        <v>12</v>
      </c>
      <c r="E2984" s="38" t="n">
        <v>970229.25</v>
      </c>
    </row>
    <row r="2985" customFormat="false" ht="15" hidden="false" customHeight="false" outlineLevel="0" collapsed="false">
      <c r="A2985" s="0" t="n">
        <v>34</v>
      </c>
      <c r="B2985" s="0" t="s">
        <v>60</v>
      </c>
      <c r="C2985" s="0" t="n">
        <v>2013</v>
      </c>
      <c r="D2985" s="0" t="n">
        <v>1</v>
      </c>
      <c r="E2985" s="38" t="n">
        <v>1277530.27</v>
      </c>
    </row>
    <row r="2986" customFormat="false" ht="15" hidden="false" customHeight="false" outlineLevel="0" collapsed="false">
      <c r="A2986" s="0" t="n">
        <v>34</v>
      </c>
      <c r="B2986" s="0" t="s">
        <v>60</v>
      </c>
      <c r="C2986" s="0" t="n">
        <v>2013</v>
      </c>
      <c r="D2986" s="0" t="n">
        <v>2</v>
      </c>
      <c r="E2986" s="38" t="n">
        <v>1509493.72</v>
      </c>
    </row>
    <row r="2987" customFormat="false" ht="15" hidden="false" customHeight="false" outlineLevel="0" collapsed="false">
      <c r="A2987" s="0" t="n">
        <v>34</v>
      </c>
      <c r="B2987" s="0" t="s">
        <v>60</v>
      </c>
      <c r="C2987" s="0" t="n">
        <v>2013</v>
      </c>
      <c r="D2987" s="0" t="n">
        <v>3</v>
      </c>
      <c r="E2987" s="38" t="n">
        <v>1519095.28</v>
      </c>
    </row>
    <row r="2988" customFormat="false" ht="15" hidden="false" customHeight="false" outlineLevel="0" collapsed="false">
      <c r="A2988" s="0" t="n">
        <v>34</v>
      </c>
      <c r="B2988" s="0" t="s">
        <v>60</v>
      </c>
      <c r="C2988" s="0" t="n">
        <v>2013</v>
      </c>
      <c r="D2988" s="0" t="n">
        <v>4</v>
      </c>
      <c r="E2988" s="38" t="n">
        <v>1749491.67</v>
      </c>
    </row>
    <row r="2989" customFormat="false" ht="15" hidden="false" customHeight="false" outlineLevel="0" collapsed="false">
      <c r="A2989" s="0" t="n">
        <v>34</v>
      </c>
      <c r="B2989" s="0" t="s">
        <v>60</v>
      </c>
      <c r="C2989" s="0" t="n">
        <v>2013</v>
      </c>
      <c r="D2989" s="0" t="n">
        <v>5</v>
      </c>
      <c r="E2989" s="38" t="n">
        <v>1591794.49</v>
      </c>
    </row>
    <row r="2990" customFormat="false" ht="15" hidden="false" customHeight="false" outlineLevel="0" collapsed="false">
      <c r="A2990" s="0" t="n">
        <v>34</v>
      </c>
      <c r="B2990" s="0" t="s">
        <v>60</v>
      </c>
      <c r="C2990" s="0" t="n">
        <v>2013</v>
      </c>
      <c r="D2990" s="0" t="n">
        <v>6</v>
      </c>
      <c r="E2990" s="38" t="n">
        <v>1445245.5</v>
      </c>
    </row>
    <row r="2991" customFormat="false" ht="15" hidden="false" customHeight="false" outlineLevel="0" collapsed="false">
      <c r="A2991" s="0" t="n">
        <v>34</v>
      </c>
      <c r="B2991" s="0" t="s">
        <v>60</v>
      </c>
      <c r="C2991" s="0" t="n">
        <v>2013</v>
      </c>
      <c r="D2991" s="0" t="n">
        <v>7</v>
      </c>
      <c r="E2991" s="38" t="n">
        <v>1351716.89</v>
      </c>
    </row>
    <row r="2992" customFormat="false" ht="15" hidden="false" customHeight="false" outlineLevel="0" collapsed="false">
      <c r="A2992" s="0" t="n">
        <v>34</v>
      </c>
      <c r="B2992" s="0" t="s">
        <v>60</v>
      </c>
      <c r="C2992" s="0" t="n">
        <v>2013</v>
      </c>
      <c r="D2992" s="0" t="n">
        <v>8</v>
      </c>
      <c r="E2992" s="38" t="n">
        <v>1180709.93</v>
      </c>
    </row>
    <row r="2993" customFormat="false" ht="15" hidden="false" customHeight="false" outlineLevel="0" collapsed="false">
      <c r="A2993" s="0" t="n">
        <v>34</v>
      </c>
      <c r="B2993" s="0" t="s">
        <v>62</v>
      </c>
      <c r="C2993" s="0" t="n">
        <v>2011</v>
      </c>
      <c r="D2993" s="0" t="n">
        <v>1</v>
      </c>
      <c r="E2993" s="38" t="n">
        <v>1168440.36</v>
      </c>
    </row>
    <row r="2994" customFormat="false" ht="15" hidden="false" customHeight="false" outlineLevel="0" collapsed="false">
      <c r="A2994" s="0" t="n">
        <v>34</v>
      </c>
      <c r="B2994" s="0" t="s">
        <v>62</v>
      </c>
      <c r="C2994" s="0" t="n">
        <v>2011</v>
      </c>
      <c r="D2994" s="0" t="n">
        <v>2</v>
      </c>
      <c r="E2994" s="38" t="n">
        <v>1309928.66</v>
      </c>
    </row>
    <row r="2995" customFormat="false" ht="15" hidden="false" customHeight="false" outlineLevel="0" collapsed="false">
      <c r="A2995" s="0" t="n">
        <v>34</v>
      </c>
      <c r="B2995" s="0" t="s">
        <v>62</v>
      </c>
      <c r="C2995" s="0" t="n">
        <v>2011</v>
      </c>
      <c r="D2995" s="0" t="n">
        <v>3</v>
      </c>
      <c r="E2995" s="38" t="n">
        <v>1314039.39</v>
      </c>
    </row>
    <row r="2996" customFormat="false" ht="15" hidden="false" customHeight="false" outlineLevel="0" collapsed="false">
      <c r="A2996" s="0" t="n">
        <v>34</v>
      </c>
      <c r="B2996" s="0" t="s">
        <v>62</v>
      </c>
      <c r="C2996" s="0" t="n">
        <v>2011</v>
      </c>
      <c r="D2996" s="0" t="n">
        <v>4</v>
      </c>
      <c r="E2996" s="38" t="n">
        <v>1472860.92</v>
      </c>
    </row>
    <row r="2997" customFormat="false" ht="15" hidden="false" customHeight="false" outlineLevel="0" collapsed="false">
      <c r="A2997" s="0" t="n">
        <v>34</v>
      </c>
      <c r="B2997" s="0" t="s">
        <v>62</v>
      </c>
      <c r="C2997" s="0" t="n">
        <v>2011</v>
      </c>
      <c r="D2997" s="0" t="n">
        <v>5</v>
      </c>
      <c r="E2997" s="38" t="n">
        <v>1317012.09</v>
      </c>
    </row>
    <row r="2998" customFormat="false" ht="15" hidden="false" customHeight="false" outlineLevel="0" collapsed="false">
      <c r="A2998" s="0" t="n">
        <v>34</v>
      </c>
      <c r="B2998" s="0" t="s">
        <v>62</v>
      </c>
      <c r="C2998" s="0" t="n">
        <v>2011</v>
      </c>
      <c r="D2998" s="0" t="n">
        <v>6</v>
      </c>
      <c r="E2998" s="38" t="n">
        <v>1258149.47</v>
      </c>
    </row>
    <row r="2999" customFormat="false" ht="15" hidden="false" customHeight="false" outlineLevel="0" collapsed="false">
      <c r="A2999" s="0" t="n">
        <v>34</v>
      </c>
      <c r="B2999" s="0" t="s">
        <v>62</v>
      </c>
      <c r="C2999" s="0" t="n">
        <v>2011</v>
      </c>
      <c r="D2999" s="0" t="n">
        <v>7</v>
      </c>
      <c r="E2999" s="38" t="n">
        <v>1137728.4</v>
      </c>
    </row>
    <row r="3000" customFormat="false" ht="15" hidden="false" customHeight="false" outlineLevel="0" collapsed="false">
      <c r="A3000" s="0" t="n">
        <v>34</v>
      </c>
      <c r="B3000" s="0" t="s">
        <v>62</v>
      </c>
      <c r="C3000" s="0" t="n">
        <v>2011</v>
      </c>
      <c r="D3000" s="0" t="n">
        <v>8</v>
      </c>
      <c r="E3000" s="38" t="n">
        <v>961156.25</v>
      </c>
    </row>
    <row r="3001" customFormat="false" ht="15" hidden="false" customHeight="false" outlineLevel="0" collapsed="false">
      <c r="A3001" s="0" t="n">
        <v>34</v>
      </c>
      <c r="B3001" s="0" t="s">
        <v>62</v>
      </c>
      <c r="C3001" s="0" t="n">
        <v>2011</v>
      </c>
      <c r="D3001" s="0" t="n">
        <v>9</v>
      </c>
      <c r="E3001" s="38" t="n">
        <v>1061885.25</v>
      </c>
    </row>
    <row r="3002" customFormat="false" ht="15" hidden="false" customHeight="false" outlineLevel="0" collapsed="false">
      <c r="A3002" s="0" t="n">
        <v>34</v>
      </c>
      <c r="B3002" s="0" t="s">
        <v>62</v>
      </c>
      <c r="C3002" s="0" t="n">
        <v>2011</v>
      </c>
      <c r="D3002" s="0" t="n">
        <v>10</v>
      </c>
      <c r="E3002" s="38" t="n">
        <v>1096519.15</v>
      </c>
    </row>
    <row r="3003" customFormat="false" ht="15" hidden="false" customHeight="false" outlineLevel="0" collapsed="false">
      <c r="A3003" s="0" t="n">
        <v>34</v>
      </c>
      <c r="B3003" s="0" t="s">
        <v>62</v>
      </c>
      <c r="C3003" s="0" t="n">
        <v>2011</v>
      </c>
      <c r="D3003" s="0" t="n">
        <v>11</v>
      </c>
      <c r="E3003" s="38" t="n">
        <v>1206204.01</v>
      </c>
    </row>
    <row r="3004" customFormat="false" ht="15" hidden="false" customHeight="false" outlineLevel="0" collapsed="false">
      <c r="A3004" s="0" t="n">
        <v>34</v>
      </c>
      <c r="B3004" s="0" t="s">
        <v>62</v>
      </c>
      <c r="C3004" s="0" t="n">
        <v>2011</v>
      </c>
      <c r="D3004" s="0" t="n">
        <v>12</v>
      </c>
      <c r="E3004" s="38" t="n">
        <v>777706.23</v>
      </c>
    </row>
    <row r="3005" customFormat="false" ht="15" hidden="false" customHeight="false" outlineLevel="0" collapsed="false">
      <c r="A3005" s="0" t="n">
        <v>34</v>
      </c>
      <c r="B3005" s="0" t="s">
        <v>62</v>
      </c>
      <c r="C3005" s="0" t="n">
        <v>2012</v>
      </c>
      <c r="D3005" s="0" t="n">
        <v>1</v>
      </c>
      <c r="E3005" s="38" t="n">
        <v>935108.72</v>
      </c>
    </row>
    <row r="3006" customFormat="false" ht="15" hidden="false" customHeight="false" outlineLevel="0" collapsed="false">
      <c r="A3006" s="0" t="n">
        <v>34</v>
      </c>
      <c r="B3006" s="0" t="s">
        <v>62</v>
      </c>
      <c r="C3006" s="0" t="n">
        <v>2012</v>
      </c>
      <c r="D3006" s="0" t="n">
        <v>2</v>
      </c>
      <c r="E3006" s="38" t="n">
        <v>1052052.4</v>
      </c>
    </row>
    <row r="3007" customFormat="false" ht="15" hidden="false" customHeight="false" outlineLevel="0" collapsed="false">
      <c r="A3007" s="0" t="n">
        <v>34</v>
      </c>
      <c r="B3007" s="0" t="s">
        <v>62</v>
      </c>
      <c r="C3007" s="0" t="n">
        <v>2012</v>
      </c>
      <c r="D3007" s="0" t="n">
        <v>3</v>
      </c>
      <c r="E3007" s="38" t="n">
        <v>1091290.9</v>
      </c>
    </row>
    <row r="3008" customFormat="false" ht="15" hidden="false" customHeight="false" outlineLevel="0" collapsed="false">
      <c r="A3008" s="0" t="n">
        <v>34</v>
      </c>
      <c r="B3008" s="0" t="s">
        <v>62</v>
      </c>
      <c r="C3008" s="0" t="n">
        <v>2012</v>
      </c>
      <c r="D3008" s="0" t="n">
        <v>4</v>
      </c>
      <c r="E3008" s="38" t="n">
        <v>1283480.07</v>
      </c>
    </row>
    <row r="3009" customFormat="false" ht="15" hidden="false" customHeight="false" outlineLevel="0" collapsed="false">
      <c r="A3009" s="0" t="n">
        <v>34</v>
      </c>
      <c r="B3009" s="0" t="s">
        <v>62</v>
      </c>
      <c r="C3009" s="0" t="n">
        <v>2012</v>
      </c>
      <c r="D3009" s="0" t="n">
        <v>5</v>
      </c>
      <c r="E3009" s="38" t="n">
        <v>1272889.46</v>
      </c>
    </row>
    <row r="3010" customFormat="false" ht="15" hidden="false" customHeight="false" outlineLevel="0" collapsed="false">
      <c r="A3010" s="0" t="n">
        <v>34</v>
      </c>
      <c r="B3010" s="0" t="s">
        <v>62</v>
      </c>
      <c r="C3010" s="0" t="n">
        <v>2012</v>
      </c>
      <c r="D3010" s="0" t="n">
        <v>6</v>
      </c>
      <c r="E3010" s="38" t="n">
        <v>1251446.83</v>
      </c>
    </row>
    <row r="3011" customFormat="false" ht="15" hidden="false" customHeight="false" outlineLevel="0" collapsed="false">
      <c r="A3011" s="0" t="n">
        <v>34</v>
      </c>
      <c r="B3011" s="0" t="s">
        <v>62</v>
      </c>
      <c r="C3011" s="0" t="n">
        <v>2012</v>
      </c>
      <c r="D3011" s="0" t="n">
        <v>7</v>
      </c>
      <c r="E3011" s="38" t="n">
        <v>1081806.4</v>
      </c>
    </row>
    <row r="3012" customFormat="false" ht="15" hidden="false" customHeight="false" outlineLevel="0" collapsed="false">
      <c r="A3012" s="0" t="n">
        <v>34</v>
      </c>
      <c r="B3012" s="0" t="s">
        <v>62</v>
      </c>
      <c r="C3012" s="0" t="n">
        <v>2012</v>
      </c>
      <c r="D3012" s="0" t="n">
        <v>8</v>
      </c>
      <c r="E3012" s="38" t="n">
        <v>928379.25</v>
      </c>
    </row>
    <row r="3013" customFormat="false" ht="15" hidden="false" customHeight="false" outlineLevel="0" collapsed="false">
      <c r="A3013" s="0" t="n">
        <v>34</v>
      </c>
      <c r="B3013" s="0" t="s">
        <v>62</v>
      </c>
      <c r="C3013" s="0" t="n">
        <v>2012</v>
      </c>
      <c r="D3013" s="0" t="n">
        <v>9</v>
      </c>
      <c r="E3013" s="38" t="n">
        <v>1017005.67</v>
      </c>
    </row>
    <row r="3014" customFormat="false" ht="15" hidden="false" customHeight="false" outlineLevel="0" collapsed="false">
      <c r="A3014" s="0" t="n">
        <v>34</v>
      </c>
      <c r="B3014" s="0" t="s">
        <v>62</v>
      </c>
      <c r="C3014" s="0" t="n">
        <v>2012</v>
      </c>
      <c r="D3014" s="0" t="n">
        <v>10</v>
      </c>
      <c r="E3014" s="38" t="n">
        <v>1075210.28</v>
      </c>
    </row>
    <row r="3015" customFormat="false" ht="15" hidden="false" customHeight="false" outlineLevel="0" collapsed="false">
      <c r="A3015" s="0" t="n">
        <v>34</v>
      </c>
      <c r="B3015" s="0" t="s">
        <v>62</v>
      </c>
      <c r="C3015" s="0" t="n">
        <v>2012</v>
      </c>
      <c r="D3015" s="0" t="n">
        <v>11</v>
      </c>
      <c r="E3015" s="38" t="n">
        <v>1197514.84</v>
      </c>
    </row>
    <row r="3016" customFormat="false" ht="15" hidden="false" customHeight="false" outlineLevel="0" collapsed="false">
      <c r="A3016" s="0" t="n">
        <v>34</v>
      </c>
      <c r="B3016" s="0" t="s">
        <v>62</v>
      </c>
      <c r="C3016" s="0" t="n">
        <v>2012</v>
      </c>
      <c r="D3016" s="0" t="n">
        <v>12</v>
      </c>
      <c r="E3016" s="38" t="n">
        <v>779796.62</v>
      </c>
    </row>
    <row r="3017" customFormat="false" ht="15" hidden="false" customHeight="false" outlineLevel="0" collapsed="false">
      <c r="A3017" s="0" t="n">
        <v>34</v>
      </c>
      <c r="B3017" s="0" t="s">
        <v>62</v>
      </c>
      <c r="C3017" s="0" t="n">
        <v>2013</v>
      </c>
      <c r="D3017" s="0" t="n">
        <v>1</v>
      </c>
      <c r="E3017" s="38" t="n">
        <v>1032093.85</v>
      </c>
    </row>
    <row r="3018" customFormat="false" ht="15" hidden="false" customHeight="false" outlineLevel="0" collapsed="false">
      <c r="A3018" s="0" t="n">
        <v>34</v>
      </c>
      <c r="B3018" s="0" t="s">
        <v>62</v>
      </c>
      <c r="C3018" s="0" t="n">
        <v>2013</v>
      </c>
      <c r="D3018" s="0" t="n">
        <v>2</v>
      </c>
      <c r="E3018" s="38" t="n">
        <v>1260397.52</v>
      </c>
    </row>
    <row r="3019" customFormat="false" ht="15" hidden="false" customHeight="false" outlineLevel="0" collapsed="false">
      <c r="A3019" s="0" t="n">
        <v>34</v>
      </c>
      <c r="B3019" s="0" t="s">
        <v>62</v>
      </c>
      <c r="C3019" s="0" t="n">
        <v>2013</v>
      </c>
      <c r="D3019" s="0" t="n">
        <v>3</v>
      </c>
      <c r="E3019" s="38" t="n">
        <v>1252138.12</v>
      </c>
    </row>
    <row r="3020" customFormat="false" ht="15" hidden="false" customHeight="false" outlineLevel="0" collapsed="false">
      <c r="A3020" s="0" t="n">
        <v>34</v>
      </c>
      <c r="B3020" s="0" t="s">
        <v>62</v>
      </c>
      <c r="C3020" s="0" t="n">
        <v>2013</v>
      </c>
      <c r="D3020" s="0" t="n">
        <v>4</v>
      </c>
      <c r="E3020" s="38" t="n">
        <v>1438683.97</v>
      </c>
    </row>
    <row r="3021" customFormat="false" ht="15" hidden="false" customHeight="false" outlineLevel="0" collapsed="false">
      <c r="A3021" s="0" t="n">
        <v>34</v>
      </c>
      <c r="B3021" s="0" t="s">
        <v>62</v>
      </c>
      <c r="C3021" s="0" t="n">
        <v>2013</v>
      </c>
      <c r="D3021" s="0" t="n">
        <v>5</v>
      </c>
      <c r="E3021" s="38" t="n">
        <v>1336165.05</v>
      </c>
    </row>
    <row r="3022" customFormat="false" ht="15" hidden="false" customHeight="false" outlineLevel="0" collapsed="false">
      <c r="A3022" s="0" t="n">
        <v>34</v>
      </c>
      <c r="B3022" s="0" t="s">
        <v>62</v>
      </c>
      <c r="C3022" s="0" t="n">
        <v>2013</v>
      </c>
      <c r="D3022" s="0" t="n">
        <v>6</v>
      </c>
      <c r="E3022" s="38" t="n">
        <v>1241328.88</v>
      </c>
    </row>
    <row r="3023" customFormat="false" ht="15" hidden="false" customHeight="false" outlineLevel="0" collapsed="false">
      <c r="A3023" s="0" t="n">
        <v>34</v>
      </c>
      <c r="B3023" s="0" t="s">
        <v>62</v>
      </c>
      <c r="C3023" s="0" t="n">
        <v>2013</v>
      </c>
      <c r="D3023" s="0" t="n">
        <v>7</v>
      </c>
      <c r="E3023" s="38" t="n">
        <v>1119766.73</v>
      </c>
    </row>
    <row r="3024" customFormat="false" ht="15" hidden="false" customHeight="false" outlineLevel="0" collapsed="false">
      <c r="A3024" s="0" t="n">
        <v>34</v>
      </c>
      <c r="B3024" s="0" t="s">
        <v>62</v>
      </c>
      <c r="C3024" s="0" t="n">
        <v>2013</v>
      </c>
      <c r="D3024" s="0" t="n">
        <v>8</v>
      </c>
      <c r="E3024" s="38" t="n">
        <v>1001857.99</v>
      </c>
    </row>
    <row r="3025" customFormat="false" ht="15" hidden="false" customHeight="false" outlineLevel="0" collapsed="false">
      <c r="A3025" s="0" t="n">
        <v>34</v>
      </c>
      <c r="B3025" s="0" t="s">
        <v>64</v>
      </c>
      <c r="C3025" s="0" t="n">
        <v>2011</v>
      </c>
      <c r="D3025" s="0" t="n">
        <v>1</v>
      </c>
      <c r="E3025" s="38" t="n">
        <v>20</v>
      </c>
    </row>
    <row r="3026" customFormat="false" ht="15" hidden="false" customHeight="false" outlineLevel="0" collapsed="false">
      <c r="A3026" s="0" t="n">
        <v>34</v>
      </c>
      <c r="B3026" s="0" t="s">
        <v>64</v>
      </c>
      <c r="C3026" s="0" t="n">
        <v>2011</v>
      </c>
      <c r="D3026" s="0" t="n">
        <v>4</v>
      </c>
      <c r="E3026" s="38" t="n">
        <v>4</v>
      </c>
    </row>
    <row r="3027" customFormat="false" ht="15" hidden="false" customHeight="false" outlineLevel="0" collapsed="false">
      <c r="A3027" s="0" t="n">
        <v>34</v>
      </c>
      <c r="B3027" s="0" t="s">
        <v>64</v>
      </c>
      <c r="C3027" s="0" t="n">
        <v>2011</v>
      </c>
      <c r="D3027" s="0" t="n">
        <v>5</v>
      </c>
      <c r="E3027" s="38" t="n">
        <v>24</v>
      </c>
    </row>
    <row r="3028" customFormat="false" ht="15" hidden="false" customHeight="false" outlineLevel="0" collapsed="false">
      <c r="A3028" s="0" t="n">
        <v>34</v>
      </c>
      <c r="B3028" s="0" t="s">
        <v>64</v>
      </c>
      <c r="C3028" s="0" t="n">
        <v>2011</v>
      </c>
      <c r="D3028" s="0" t="n">
        <v>6</v>
      </c>
      <c r="E3028" s="38" t="n">
        <v>5.5</v>
      </c>
    </row>
    <row r="3029" customFormat="false" ht="15" hidden="false" customHeight="false" outlineLevel="0" collapsed="false">
      <c r="A3029" s="0" t="n">
        <v>34</v>
      </c>
      <c r="B3029" s="0" t="s">
        <v>64</v>
      </c>
      <c r="C3029" s="0" t="n">
        <v>2011</v>
      </c>
      <c r="D3029" s="0" t="n">
        <v>7</v>
      </c>
      <c r="E3029" s="38" t="n">
        <v>4.5</v>
      </c>
    </row>
    <row r="3030" customFormat="false" ht="15" hidden="false" customHeight="false" outlineLevel="0" collapsed="false">
      <c r="A3030" s="0" t="n">
        <v>34</v>
      </c>
      <c r="B3030" s="0" t="s">
        <v>64</v>
      </c>
      <c r="C3030" s="0" t="n">
        <v>2011</v>
      </c>
      <c r="D3030" s="0" t="n">
        <v>8</v>
      </c>
      <c r="E3030" s="38" t="n">
        <v>10.29</v>
      </c>
    </row>
    <row r="3031" customFormat="false" ht="15" hidden="false" customHeight="false" outlineLevel="0" collapsed="false">
      <c r="A3031" s="0" t="n">
        <v>34</v>
      </c>
      <c r="B3031" s="0" t="s">
        <v>64</v>
      </c>
      <c r="C3031" s="0" t="n">
        <v>2011</v>
      </c>
      <c r="D3031" s="0" t="n">
        <v>9</v>
      </c>
      <c r="E3031" s="38" t="n">
        <v>5.14</v>
      </c>
    </row>
    <row r="3032" customFormat="false" ht="15" hidden="false" customHeight="false" outlineLevel="0" collapsed="false">
      <c r="A3032" s="0" t="n">
        <v>34</v>
      </c>
      <c r="B3032" s="0" t="s">
        <v>64</v>
      </c>
      <c r="C3032" s="0" t="n">
        <v>2011</v>
      </c>
      <c r="D3032" s="0" t="n">
        <v>10</v>
      </c>
      <c r="E3032" s="38" t="n">
        <v>9.14</v>
      </c>
    </row>
    <row r="3033" customFormat="false" ht="15" hidden="false" customHeight="false" outlineLevel="0" collapsed="false">
      <c r="A3033" s="0" t="n">
        <v>34</v>
      </c>
      <c r="B3033" s="0" t="s">
        <v>64</v>
      </c>
      <c r="C3033" s="0" t="n">
        <v>2011</v>
      </c>
      <c r="D3033" s="0" t="n">
        <v>11</v>
      </c>
      <c r="E3033" s="38" t="n">
        <v>15.43</v>
      </c>
    </row>
    <row r="3034" customFormat="false" ht="15" hidden="false" customHeight="false" outlineLevel="0" collapsed="false">
      <c r="A3034" s="0" t="n">
        <v>34</v>
      </c>
      <c r="B3034" s="0" t="s">
        <v>64</v>
      </c>
      <c r="C3034" s="0" t="n">
        <v>2011</v>
      </c>
      <c r="D3034" s="0" t="n">
        <v>12</v>
      </c>
      <c r="E3034" s="38" t="n">
        <v>28</v>
      </c>
    </row>
    <row r="3035" customFormat="false" ht="15" hidden="false" customHeight="false" outlineLevel="0" collapsed="false">
      <c r="A3035" s="0" t="n">
        <v>34</v>
      </c>
      <c r="B3035" s="0" t="s">
        <v>64</v>
      </c>
      <c r="C3035" s="0" t="n">
        <v>2012</v>
      </c>
      <c r="D3035" s="0" t="n">
        <v>1</v>
      </c>
      <c r="E3035" s="38" t="n">
        <v>5.13</v>
      </c>
    </row>
    <row r="3036" customFormat="false" ht="15" hidden="false" customHeight="false" outlineLevel="0" collapsed="false">
      <c r="A3036" s="0" t="n">
        <v>34</v>
      </c>
      <c r="B3036" s="0" t="s">
        <v>64</v>
      </c>
      <c r="C3036" s="0" t="n">
        <v>2012</v>
      </c>
      <c r="D3036" s="0" t="n">
        <v>2</v>
      </c>
      <c r="E3036" s="38" t="n">
        <v>6.84</v>
      </c>
    </row>
    <row r="3037" customFormat="false" ht="15" hidden="false" customHeight="false" outlineLevel="0" collapsed="false">
      <c r="A3037" s="0" t="n">
        <v>34</v>
      </c>
      <c r="B3037" s="0" t="s">
        <v>64</v>
      </c>
      <c r="C3037" s="0" t="n">
        <v>2012</v>
      </c>
      <c r="D3037" s="0" t="n">
        <v>3</v>
      </c>
      <c r="E3037" s="38" t="n">
        <v>5.6</v>
      </c>
    </row>
    <row r="3038" customFormat="false" ht="15" hidden="false" customHeight="false" outlineLevel="0" collapsed="false">
      <c r="A3038" s="0" t="n">
        <v>34</v>
      </c>
      <c r="B3038" s="0" t="s">
        <v>64</v>
      </c>
      <c r="C3038" s="0" t="n">
        <v>2012</v>
      </c>
      <c r="D3038" s="0" t="n">
        <v>4</v>
      </c>
      <c r="E3038" s="38" t="n">
        <v>3.5</v>
      </c>
    </row>
    <row r="3039" customFormat="false" ht="15" hidden="false" customHeight="false" outlineLevel="0" collapsed="false">
      <c r="A3039" s="0" t="n">
        <v>34</v>
      </c>
      <c r="B3039" s="0" t="s">
        <v>64</v>
      </c>
      <c r="C3039" s="0" t="n">
        <v>2012</v>
      </c>
      <c r="D3039" s="0" t="n">
        <v>5</v>
      </c>
      <c r="E3039" s="38" t="n">
        <v>-9.88</v>
      </c>
    </row>
    <row r="3040" customFormat="false" ht="15" hidden="false" customHeight="false" outlineLevel="0" collapsed="false">
      <c r="A3040" s="0" t="n">
        <v>34</v>
      </c>
      <c r="B3040" s="0" t="s">
        <v>64</v>
      </c>
      <c r="C3040" s="0" t="n">
        <v>2012</v>
      </c>
      <c r="D3040" s="0" t="n">
        <v>6</v>
      </c>
      <c r="E3040" s="38" t="n">
        <v>3.88</v>
      </c>
    </row>
    <row r="3041" customFormat="false" ht="15" hidden="false" customHeight="false" outlineLevel="0" collapsed="false">
      <c r="A3041" s="0" t="n">
        <v>34</v>
      </c>
      <c r="B3041" s="0" t="s">
        <v>64</v>
      </c>
      <c r="C3041" s="0" t="n">
        <v>2012</v>
      </c>
      <c r="D3041" s="0" t="n">
        <v>8</v>
      </c>
      <c r="E3041" s="38" t="n">
        <v>45.64</v>
      </c>
    </row>
    <row r="3042" customFormat="false" ht="15" hidden="false" customHeight="false" outlineLevel="0" collapsed="false">
      <c r="A3042" s="0" t="n">
        <v>34</v>
      </c>
      <c r="B3042" s="0" t="s">
        <v>64</v>
      </c>
      <c r="C3042" s="0" t="n">
        <v>2012</v>
      </c>
      <c r="D3042" s="0" t="n">
        <v>12</v>
      </c>
      <c r="E3042" s="38" t="n">
        <v>11.94</v>
      </c>
    </row>
    <row r="3043" customFormat="false" ht="15" hidden="false" customHeight="false" outlineLevel="0" collapsed="false">
      <c r="A3043" s="0" t="n">
        <v>35</v>
      </c>
      <c r="B3043" s="0" t="s">
        <v>60</v>
      </c>
      <c r="C3043" s="0" t="n">
        <v>2011</v>
      </c>
      <c r="D3043" s="0" t="n">
        <v>1</v>
      </c>
      <c r="E3043" s="38" t="n">
        <v>205070.14</v>
      </c>
    </row>
    <row r="3044" customFormat="false" ht="15" hidden="false" customHeight="false" outlineLevel="0" collapsed="false">
      <c r="A3044" s="0" t="n">
        <v>35</v>
      </c>
      <c r="B3044" s="0" t="s">
        <v>60</v>
      </c>
      <c r="C3044" s="0" t="n">
        <v>2011</v>
      </c>
      <c r="D3044" s="0" t="n">
        <v>2</v>
      </c>
      <c r="E3044" s="38" t="n">
        <v>280461.47</v>
      </c>
    </row>
    <row r="3045" customFormat="false" ht="15" hidden="false" customHeight="false" outlineLevel="0" collapsed="false">
      <c r="A3045" s="0" t="n">
        <v>35</v>
      </c>
      <c r="B3045" s="0" t="s">
        <v>60</v>
      </c>
      <c r="C3045" s="0" t="n">
        <v>2011</v>
      </c>
      <c r="D3045" s="0" t="n">
        <v>3</v>
      </c>
      <c r="E3045" s="38" t="n">
        <v>284084.82</v>
      </c>
    </row>
    <row r="3046" customFormat="false" ht="15" hidden="false" customHeight="false" outlineLevel="0" collapsed="false">
      <c r="A3046" s="0" t="n">
        <v>35</v>
      </c>
      <c r="B3046" s="0" t="s">
        <v>60</v>
      </c>
      <c r="C3046" s="0" t="n">
        <v>2011</v>
      </c>
      <c r="D3046" s="0" t="n">
        <v>4</v>
      </c>
      <c r="E3046" s="38" t="n">
        <v>340937.91</v>
      </c>
    </row>
    <row r="3047" customFormat="false" ht="15" hidden="false" customHeight="false" outlineLevel="0" collapsed="false">
      <c r="A3047" s="0" t="n">
        <v>35</v>
      </c>
      <c r="B3047" s="0" t="s">
        <v>60</v>
      </c>
      <c r="C3047" s="0" t="n">
        <v>2011</v>
      </c>
      <c r="D3047" s="0" t="n">
        <v>5</v>
      </c>
      <c r="E3047" s="38" t="n">
        <v>301367.84</v>
      </c>
    </row>
    <row r="3048" customFormat="false" ht="15" hidden="false" customHeight="false" outlineLevel="0" collapsed="false">
      <c r="A3048" s="0" t="n">
        <v>35</v>
      </c>
      <c r="B3048" s="0" t="s">
        <v>60</v>
      </c>
      <c r="C3048" s="0" t="n">
        <v>2011</v>
      </c>
      <c r="D3048" s="0" t="n">
        <v>6</v>
      </c>
      <c r="E3048" s="38" t="n">
        <v>260654.97</v>
      </c>
    </row>
    <row r="3049" customFormat="false" ht="15" hidden="false" customHeight="false" outlineLevel="0" collapsed="false">
      <c r="A3049" s="0" t="n">
        <v>35</v>
      </c>
      <c r="B3049" s="0" t="s">
        <v>60</v>
      </c>
      <c r="C3049" s="0" t="n">
        <v>2011</v>
      </c>
      <c r="D3049" s="0" t="n">
        <v>7</v>
      </c>
      <c r="E3049" s="38" t="n">
        <v>228898.74</v>
      </c>
    </row>
    <row r="3050" customFormat="false" ht="15" hidden="false" customHeight="false" outlineLevel="0" collapsed="false">
      <c r="A3050" s="0" t="n">
        <v>35</v>
      </c>
      <c r="B3050" s="0" t="s">
        <v>60</v>
      </c>
      <c r="C3050" s="0" t="n">
        <v>2011</v>
      </c>
      <c r="D3050" s="0" t="n">
        <v>8</v>
      </c>
      <c r="E3050" s="38" t="n">
        <v>217376.16</v>
      </c>
    </row>
    <row r="3051" customFormat="false" ht="15" hidden="false" customHeight="false" outlineLevel="0" collapsed="false">
      <c r="A3051" s="0" t="n">
        <v>35</v>
      </c>
      <c r="B3051" s="0" t="s">
        <v>60</v>
      </c>
      <c r="C3051" s="0" t="n">
        <v>2011</v>
      </c>
      <c r="D3051" s="0" t="n">
        <v>9</v>
      </c>
      <c r="E3051" s="38" t="n">
        <v>256912.9</v>
      </c>
    </row>
    <row r="3052" customFormat="false" ht="15" hidden="false" customHeight="false" outlineLevel="0" collapsed="false">
      <c r="A3052" s="0" t="n">
        <v>35</v>
      </c>
      <c r="B3052" s="0" t="s">
        <v>60</v>
      </c>
      <c r="C3052" s="0" t="n">
        <v>2011</v>
      </c>
      <c r="D3052" s="0" t="n">
        <v>10</v>
      </c>
      <c r="E3052" s="38" t="n">
        <v>261738.05</v>
      </c>
    </row>
    <row r="3053" customFormat="false" ht="15" hidden="false" customHeight="false" outlineLevel="0" collapsed="false">
      <c r="A3053" s="0" t="n">
        <v>35</v>
      </c>
      <c r="B3053" s="0" t="s">
        <v>60</v>
      </c>
      <c r="C3053" s="0" t="n">
        <v>2011</v>
      </c>
      <c r="D3053" s="0" t="n">
        <v>11</v>
      </c>
      <c r="E3053" s="38" t="n">
        <v>301522.25</v>
      </c>
    </row>
    <row r="3054" customFormat="false" ht="15" hidden="false" customHeight="false" outlineLevel="0" collapsed="false">
      <c r="A3054" s="0" t="n">
        <v>35</v>
      </c>
      <c r="B3054" s="0" t="s">
        <v>60</v>
      </c>
      <c r="C3054" s="0" t="n">
        <v>2011</v>
      </c>
      <c r="D3054" s="0" t="n">
        <v>12</v>
      </c>
      <c r="E3054" s="38" t="n">
        <v>171040.27</v>
      </c>
    </row>
    <row r="3055" customFormat="false" ht="15" hidden="false" customHeight="false" outlineLevel="0" collapsed="false">
      <c r="A3055" s="0" t="n">
        <v>35</v>
      </c>
      <c r="B3055" s="0" t="s">
        <v>60</v>
      </c>
      <c r="C3055" s="0" t="n">
        <v>2012</v>
      </c>
      <c r="D3055" s="0" t="n">
        <v>1</v>
      </c>
      <c r="E3055" s="38" t="n">
        <v>227749.06</v>
      </c>
    </row>
    <row r="3056" customFormat="false" ht="15" hidden="false" customHeight="false" outlineLevel="0" collapsed="false">
      <c r="A3056" s="0" t="n">
        <v>35</v>
      </c>
      <c r="B3056" s="0" t="s">
        <v>60</v>
      </c>
      <c r="C3056" s="0" t="n">
        <v>2012</v>
      </c>
      <c r="D3056" s="0" t="n">
        <v>2</v>
      </c>
      <c r="E3056" s="38" t="n">
        <v>275448.85</v>
      </c>
    </row>
    <row r="3057" customFormat="false" ht="15" hidden="false" customHeight="false" outlineLevel="0" collapsed="false">
      <c r="A3057" s="0" t="n">
        <v>35</v>
      </c>
      <c r="B3057" s="0" t="s">
        <v>60</v>
      </c>
      <c r="C3057" s="0" t="n">
        <v>2012</v>
      </c>
      <c r="D3057" s="0" t="n">
        <v>3</v>
      </c>
      <c r="E3057" s="38" t="n">
        <v>301185.78</v>
      </c>
    </row>
    <row r="3058" customFormat="false" ht="15" hidden="false" customHeight="false" outlineLevel="0" collapsed="false">
      <c r="A3058" s="0" t="n">
        <v>35</v>
      </c>
      <c r="B3058" s="0" t="s">
        <v>60</v>
      </c>
      <c r="C3058" s="0" t="n">
        <v>2012</v>
      </c>
      <c r="D3058" s="0" t="n">
        <v>4</v>
      </c>
      <c r="E3058" s="38" t="n">
        <v>339518.72</v>
      </c>
    </row>
    <row r="3059" customFormat="false" ht="15" hidden="false" customHeight="false" outlineLevel="0" collapsed="false">
      <c r="A3059" s="0" t="n">
        <v>35</v>
      </c>
      <c r="B3059" s="0" t="s">
        <v>60</v>
      </c>
      <c r="C3059" s="0" t="n">
        <v>2012</v>
      </c>
      <c r="D3059" s="0" t="n">
        <v>5</v>
      </c>
      <c r="E3059" s="38" t="n">
        <v>304936.89</v>
      </c>
    </row>
    <row r="3060" customFormat="false" ht="15" hidden="false" customHeight="false" outlineLevel="0" collapsed="false">
      <c r="A3060" s="0" t="n">
        <v>35</v>
      </c>
      <c r="B3060" s="0" t="s">
        <v>60</v>
      </c>
      <c r="C3060" s="0" t="n">
        <v>2012</v>
      </c>
      <c r="D3060" s="0" t="n">
        <v>6</v>
      </c>
      <c r="E3060" s="38" t="n">
        <v>263313.94</v>
      </c>
    </row>
    <row r="3061" customFormat="false" ht="15" hidden="false" customHeight="false" outlineLevel="0" collapsed="false">
      <c r="A3061" s="0" t="n">
        <v>35</v>
      </c>
      <c r="B3061" s="0" t="s">
        <v>60</v>
      </c>
      <c r="C3061" s="0" t="n">
        <v>2012</v>
      </c>
      <c r="D3061" s="0" t="n">
        <v>7</v>
      </c>
      <c r="E3061" s="38" t="n">
        <v>240921.7</v>
      </c>
    </row>
    <row r="3062" customFormat="false" ht="15" hidden="false" customHeight="false" outlineLevel="0" collapsed="false">
      <c r="A3062" s="0" t="n">
        <v>35</v>
      </c>
      <c r="B3062" s="0" t="s">
        <v>60</v>
      </c>
      <c r="C3062" s="0" t="n">
        <v>2012</v>
      </c>
      <c r="D3062" s="0" t="n">
        <v>8</v>
      </c>
      <c r="E3062" s="38" t="n">
        <v>235627.64</v>
      </c>
    </row>
    <row r="3063" customFormat="false" ht="15" hidden="false" customHeight="false" outlineLevel="0" collapsed="false">
      <c r="A3063" s="0" t="n">
        <v>35</v>
      </c>
      <c r="B3063" s="0" t="s">
        <v>60</v>
      </c>
      <c r="C3063" s="0" t="n">
        <v>2012</v>
      </c>
      <c r="D3063" s="0" t="n">
        <v>9</v>
      </c>
      <c r="E3063" s="38" t="n">
        <v>248186.55</v>
      </c>
    </row>
    <row r="3064" customFormat="false" ht="15" hidden="false" customHeight="false" outlineLevel="0" collapsed="false">
      <c r="A3064" s="0" t="n">
        <v>35</v>
      </c>
      <c r="B3064" s="0" t="s">
        <v>60</v>
      </c>
      <c r="C3064" s="0" t="n">
        <v>2012</v>
      </c>
      <c r="D3064" s="0" t="n">
        <v>10</v>
      </c>
      <c r="E3064" s="38" t="n">
        <v>243848.76</v>
      </c>
    </row>
    <row r="3065" customFormat="false" ht="15" hidden="false" customHeight="false" outlineLevel="0" collapsed="false">
      <c r="A3065" s="0" t="n">
        <v>35</v>
      </c>
      <c r="B3065" s="0" t="s">
        <v>60</v>
      </c>
      <c r="C3065" s="0" t="n">
        <v>2012</v>
      </c>
      <c r="D3065" s="0" t="n">
        <v>11</v>
      </c>
      <c r="E3065" s="38" t="n">
        <v>295350.81</v>
      </c>
    </row>
    <row r="3066" customFormat="false" ht="15" hidden="false" customHeight="false" outlineLevel="0" collapsed="false">
      <c r="A3066" s="0" t="n">
        <v>35</v>
      </c>
      <c r="B3066" s="0" t="s">
        <v>60</v>
      </c>
      <c r="C3066" s="0" t="n">
        <v>2012</v>
      </c>
      <c r="D3066" s="0" t="n">
        <v>12</v>
      </c>
      <c r="E3066" s="38" t="n">
        <v>184822</v>
      </c>
    </row>
    <row r="3067" customFormat="false" ht="15" hidden="false" customHeight="false" outlineLevel="0" collapsed="false">
      <c r="A3067" s="0" t="n">
        <v>35</v>
      </c>
      <c r="B3067" s="0" t="s">
        <v>60</v>
      </c>
      <c r="C3067" s="0" t="n">
        <v>2013</v>
      </c>
      <c r="D3067" s="0" t="n">
        <v>1</v>
      </c>
      <c r="E3067" s="38" t="n">
        <v>248902.68</v>
      </c>
    </row>
    <row r="3068" customFormat="false" ht="15" hidden="false" customHeight="false" outlineLevel="0" collapsed="false">
      <c r="A3068" s="0" t="n">
        <v>35</v>
      </c>
      <c r="B3068" s="0" t="s">
        <v>60</v>
      </c>
      <c r="C3068" s="0" t="n">
        <v>2013</v>
      </c>
      <c r="D3068" s="0" t="n">
        <v>2</v>
      </c>
      <c r="E3068" s="38" t="n">
        <v>289579.85</v>
      </c>
    </row>
    <row r="3069" customFormat="false" ht="15" hidden="false" customHeight="false" outlineLevel="0" collapsed="false">
      <c r="A3069" s="0" t="n">
        <v>35</v>
      </c>
      <c r="B3069" s="0" t="s">
        <v>60</v>
      </c>
      <c r="C3069" s="0" t="n">
        <v>2013</v>
      </c>
      <c r="D3069" s="0" t="n">
        <v>3</v>
      </c>
      <c r="E3069" s="38" t="n">
        <v>300371.21</v>
      </c>
    </row>
    <row r="3070" customFormat="false" ht="15" hidden="false" customHeight="false" outlineLevel="0" collapsed="false">
      <c r="A3070" s="0" t="n">
        <v>35</v>
      </c>
      <c r="B3070" s="0" t="s">
        <v>60</v>
      </c>
      <c r="C3070" s="0" t="n">
        <v>2013</v>
      </c>
      <c r="D3070" s="0" t="n">
        <v>4</v>
      </c>
      <c r="E3070" s="38" t="n">
        <v>365369.97</v>
      </c>
    </row>
    <row r="3071" customFormat="false" ht="15" hidden="false" customHeight="false" outlineLevel="0" collapsed="false">
      <c r="A3071" s="0" t="n">
        <v>35</v>
      </c>
      <c r="B3071" s="0" t="s">
        <v>60</v>
      </c>
      <c r="C3071" s="0" t="n">
        <v>2013</v>
      </c>
      <c r="D3071" s="0" t="n">
        <v>5</v>
      </c>
      <c r="E3071" s="38" t="n">
        <v>321035.6</v>
      </c>
    </row>
    <row r="3072" customFormat="false" ht="15" hidden="false" customHeight="false" outlineLevel="0" collapsed="false">
      <c r="A3072" s="0" t="n">
        <v>35</v>
      </c>
      <c r="B3072" s="0" t="s">
        <v>60</v>
      </c>
      <c r="C3072" s="0" t="n">
        <v>2013</v>
      </c>
      <c r="D3072" s="0" t="n">
        <v>6</v>
      </c>
      <c r="E3072" s="38" t="n">
        <v>258727.27</v>
      </c>
    </row>
    <row r="3073" customFormat="false" ht="15" hidden="false" customHeight="false" outlineLevel="0" collapsed="false">
      <c r="A3073" s="0" t="n">
        <v>35</v>
      </c>
      <c r="B3073" s="0" t="s">
        <v>60</v>
      </c>
      <c r="C3073" s="0" t="n">
        <v>2013</v>
      </c>
      <c r="D3073" s="0" t="n">
        <v>7</v>
      </c>
      <c r="E3073" s="38" t="n">
        <v>215749.24</v>
      </c>
    </row>
    <row r="3074" customFormat="false" ht="15" hidden="false" customHeight="false" outlineLevel="0" collapsed="false">
      <c r="A3074" s="0" t="n">
        <v>35</v>
      </c>
      <c r="B3074" s="0" t="s">
        <v>60</v>
      </c>
      <c r="C3074" s="0" t="n">
        <v>2013</v>
      </c>
      <c r="D3074" s="0" t="n">
        <v>8</v>
      </c>
      <c r="E3074" s="38" t="n">
        <v>207763.61</v>
      </c>
    </row>
    <row r="3075" customFormat="false" ht="15" hidden="false" customHeight="false" outlineLevel="0" collapsed="false">
      <c r="A3075" s="0" t="n">
        <v>35</v>
      </c>
      <c r="B3075" s="0" t="s">
        <v>62</v>
      </c>
      <c r="C3075" s="0" t="n">
        <v>2011</v>
      </c>
      <c r="D3075" s="0" t="n">
        <v>1</v>
      </c>
      <c r="E3075" s="38" t="n">
        <v>154268.1</v>
      </c>
    </row>
    <row r="3076" customFormat="false" ht="15" hidden="false" customHeight="false" outlineLevel="0" collapsed="false">
      <c r="A3076" s="0" t="n">
        <v>35</v>
      </c>
      <c r="B3076" s="0" t="s">
        <v>62</v>
      </c>
      <c r="C3076" s="0" t="n">
        <v>2011</v>
      </c>
      <c r="D3076" s="0" t="n">
        <v>2</v>
      </c>
      <c r="E3076" s="38" t="n">
        <v>222397.93</v>
      </c>
    </row>
    <row r="3077" customFormat="false" ht="15" hidden="false" customHeight="false" outlineLevel="0" collapsed="false">
      <c r="A3077" s="0" t="n">
        <v>35</v>
      </c>
      <c r="B3077" s="0" t="s">
        <v>62</v>
      </c>
      <c r="C3077" s="0" t="n">
        <v>2011</v>
      </c>
      <c r="D3077" s="0" t="n">
        <v>3</v>
      </c>
      <c r="E3077" s="38" t="n">
        <v>217180.31</v>
      </c>
    </row>
    <row r="3078" customFormat="false" ht="15" hidden="false" customHeight="false" outlineLevel="0" collapsed="false">
      <c r="A3078" s="0" t="n">
        <v>35</v>
      </c>
      <c r="B3078" s="0" t="s">
        <v>62</v>
      </c>
      <c r="C3078" s="0" t="n">
        <v>2011</v>
      </c>
      <c r="D3078" s="0" t="n">
        <v>4</v>
      </c>
      <c r="E3078" s="38" t="n">
        <v>259524.63</v>
      </c>
    </row>
    <row r="3079" customFormat="false" ht="15" hidden="false" customHeight="false" outlineLevel="0" collapsed="false">
      <c r="A3079" s="0" t="n">
        <v>35</v>
      </c>
      <c r="B3079" s="0" t="s">
        <v>62</v>
      </c>
      <c r="C3079" s="0" t="n">
        <v>2011</v>
      </c>
      <c r="D3079" s="0" t="n">
        <v>5</v>
      </c>
      <c r="E3079" s="38" t="n">
        <v>228415.72</v>
      </c>
    </row>
    <row r="3080" customFormat="false" ht="15" hidden="false" customHeight="false" outlineLevel="0" collapsed="false">
      <c r="A3080" s="0" t="n">
        <v>35</v>
      </c>
      <c r="B3080" s="0" t="s">
        <v>62</v>
      </c>
      <c r="C3080" s="0" t="n">
        <v>2011</v>
      </c>
      <c r="D3080" s="0" t="n">
        <v>6</v>
      </c>
      <c r="E3080" s="38" t="n">
        <v>207254.06</v>
      </c>
    </row>
    <row r="3081" customFormat="false" ht="15" hidden="false" customHeight="false" outlineLevel="0" collapsed="false">
      <c r="A3081" s="0" t="n">
        <v>35</v>
      </c>
      <c r="B3081" s="0" t="s">
        <v>62</v>
      </c>
      <c r="C3081" s="0" t="n">
        <v>2011</v>
      </c>
      <c r="D3081" s="0" t="n">
        <v>7</v>
      </c>
      <c r="E3081" s="38" t="n">
        <v>172135.89</v>
      </c>
    </row>
    <row r="3082" customFormat="false" ht="15" hidden="false" customHeight="false" outlineLevel="0" collapsed="false">
      <c r="A3082" s="0" t="n">
        <v>35</v>
      </c>
      <c r="B3082" s="0" t="s">
        <v>62</v>
      </c>
      <c r="C3082" s="0" t="n">
        <v>2011</v>
      </c>
      <c r="D3082" s="0" t="n">
        <v>8</v>
      </c>
      <c r="E3082" s="38" t="n">
        <v>178513.58</v>
      </c>
    </row>
    <row r="3083" customFormat="false" ht="15" hidden="false" customHeight="false" outlineLevel="0" collapsed="false">
      <c r="A3083" s="0" t="n">
        <v>35</v>
      </c>
      <c r="B3083" s="0" t="s">
        <v>62</v>
      </c>
      <c r="C3083" s="0" t="n">
        <v>2011</v>
      </c>
      <c r="D3083" s="0" t="n">
        <v>9</v>
      </c>
      <c r="E3083" s="38" t="n">
        <v>213023.04</v>
      </c>
    </row>
    <row r="3084" customFormat="false" ht="15" hidden="false" customHeight="false" outlineLevel="0" collapsed="false">
      <c r="A3084" s="0" t="n">
        <v>35</v>
      </c>
      <c r="B3084" s="0" t="s">
        <v>62</v>
      </c>
      <c r="C3084" s="0" t="n">
        <v>2011</v>
      </c>
      <c r="D3084" s="0" t="n">
        <v>10</v>
      </c>
      <c r="E3084" s="38" t="n">
        <v>210202.03</v>
      </c>
    </row>
    <row r="3085" customFormat="false" ht="15" hidden="false" customHeight="false" outlineLevel="0" collapsed="false">
      <c r="A3085" s="0" t="n">
        <v>35</v>
      </c>
      <c r="B3085" s="0" t="s">
        <v>62</v>
      </c>
      <c r="C3085" s="0" t="n">
        <v>2011</v>
      </c>
      <c r="D3085" s="0" t="n">
        <v>11</v>
      </c>
      <c r="E3085" s="38" t="n">
        <v>232148.57</v>
      </c>
    </row>
    <row r="3086" customFormat="false" ht="15" hidden="false" customHeight="false" outlineLevel="0" collapsed="false">
      <c r="A3086" s="0" t="n">
        <v>35</v>
      </c>
      <c r="B3086" s="0" t="s">
        <v>62</v>
      </c>
      <c r="C3086" s="0" t="n">
        <v>2011</v>
      </c>
      <c r="D3086" s="0" t="n">
        <v>12</v>
      </c>
      <c r="E3086" s="38" t="n">
        <v>131725.2</v>
      </c>
    </row>
    <row r="3087" customFormat="false" ht="15" hidden="false" customHeight="false" outlineLevel="0" collapsed="false">
      <c r="A3087" s="0" t="n">
        <v>35</v>
      </c>
      <c r="B3087" s="0" t="s">
        <v>62</v>
      </c>
      <c r="C3087" s="0" t="n">
        <v>2012</v>
      </c>
      <c r="D3087" s="0" t="n">
        <v>1</v>
      </c>
      <c r="E3087" s="38" t="n">
        <v>177243.25</v>
      </c>
    </row>
    <row r="3088" customFormat="false" ht="15" hidden="false" customHeight="false" outlineLevel="0" collapsed="false">
      <c r="A3088" s="0" t="n">
        <v>35</v>
      </c>
      <c r="B3088" s="0" t="s">
        <v>62</v>
      </c>
      <c r="C3088" s="0" t="n">
        <v>2012</v>
      </c>
      <c r="D3088" s="0" t="n">
        <v>2</v>
      </c>
      <c r="E3088" s="38" t="n">
        <v>223767.21</v>
      </c>
    </row>
    <row r="3089" customFormat="false" ht="15" hidden="false" customHeight="false" outlineLevel="0" collapsed="false">
      <c r="A3089" s="0" t="n">
        <v>35</v>
      </c>
      <c r="B3089" s="0" t="s">
        <v>62</v>
      </c>
      <c r="C3089" s="0" t="n">
        <v>2012</v>
      </c>
      <c r="D3089" s="0" t="n">
        <v>3</v>
      </c>
      <c r="E3089" s="38" t="n">
        <v>236651.8</v>
      </c>
    </row>
    <row r="3090" customFormat="false" ht="15" hidden="false" customHeight="false" outlineLevel="0" collapsed="false">
      <c r="A3090" s="0" t="n">
        <v>35</v>
      </c>
      <c r="B3090" s="0" t="s">
        <v>62</v>
      </c>
      <c r="C3090" s="0" t="n">
        <v>2012</v>
      </c>
      <c r="D3090" s="0" t="n">
        <v>4</v>
      </c>
      <c r="E3090" s="38" t="n">
        <v>268040.11</v>
      </c>
    </row>
    <row r="3091" customFormat="false" ht="15" hidden="false" customHeight="false" outlineLevel="0" collapsed="false">
      <c r="A3091" s="0" t="n">
        <v>35</v>
      </c>
      <c r="B3091" s="0" t="s">
        <v>62</v>
      </c>
      <c r="C3091" s="0" t="n">
        <v>2012</v>
      </c>
      <c r="D3091" s="0" t="n">
        <v>5</v>
      </c>
      <c r="E3091" s="38" t="n">
        <v>238283.15</v>
      </c>
    </row>
    <row r="3092" customFormat="false" ht="15" hidden="false" customHeight="false" outlineLevel="0" collapsed="false">
      <c r="A3092" s="0" t="n">
        <v>35</v>
      </c>
      <c r="B3092" s="0" t="s">
        <v>62</v>
      </c>
      <c r="C3092" s="0" t="n">
        <v>2012</v>
      </c>
      <c r="D3092" s="0" t="n">
        <v>6</v>
      </c>
      <c r="E3092" s="38" t="n">
        <v>214002.26</v>
      </c>
    </row>
    <row r="3093" customFormat="false" ht="15" hidden="false" customHeight="false" outlineLevel="0" collapsed="false">
      <c r="A3093" s="0" t="n">
        <v>35</v>
      </c>
      <c r="B3093" s="0" t="s">
        <v>62</v>
      </c>
      <c r="C3093" s="0" t="n">
        <v>2012</v>
      </c>
      <c r="D3093" s="0" t="n">
        <v>7</v>
      </c>
      <c r="E3093" s="38" t="n">
        <v>189848.84</v>
      </c>
    </row>
    <row r="3094" customFormat="false" ht="15" hidden="false" customHeight="false" outlineLevel="0" collapsed="false">
      <c r="A3094" s="0" t="n">
        <v>35</v>
      </c>
      <c r="B3094" s="0" t="s">
        <v>62</v>
      </c>
      <c r="C3094" s="0" t="n">
        <v>2012</v>
      </c>
      <c r="D3094" s="0" t="n">
        <v>8</v>
      </c>
      <c r="E3094" s="38" t="n">
        <v>194872.7</v>
      </c>
    </row>
    <row r="3095" customFormat="false" ht="15" hidden="false" customHeight="false" outlineLevel="0" collapsed="false">
      <c r="A3095" s="0" t="n">
        <v>35</v>
      </c>
      <c r="B3095" s="0" t="s">
        <v>62</v>
      </c>
      <c r="C3095" s="0" t="n">
        <v>2012</v>
      </c>
      <c r="D3095" s="0" t="n">
        <v>9</v>
      </c>
      <c r="E3095" s="38" t="n">
        <v>203674.87</v>
      </c>
    </row>
    <row r="3096" customFormat="false" ht="15" hidden="false" customHeight="false" outlineLevel="0" collapsed="false">
      <c r="A3096" s="0" t="n">
        <v>35</v>
      </c>
      <c r="B3096" s="0" t="s">
        <v>62</v>
      </c>
      <c r="C3096" s="0" t="n">
        <v>2012</v>
      </c>
      <c r="D3096" s="0" t="n">
        <v>10</v>
      </c>
      <c r="E3096" s="38" t="n">
        <v>200666.51</v>
      </c>
    </row>
    <row r="3097" customFormat="false" ht="15" hidden="false" customHeight="false" outlineLevel="0" collapsed="false">
      <c r="A3097" s="0" t="n">
        <v>35</v>
      </c>
      <c r="B3097" s="0" t="s">
        <v>62</v>
      </c>
      <c r="C3097" s="0" t="n">
        <v>2012</v>
      </c>
      <c r="D3097" s="0" t="n">
        <v>11</v>
      </c>
      <c r="E3097" s="38" t="n">
        <v>226859.57</v>
      </c>
    </row>
    <row r="3098" customFormat="false" ht="15" hidden="false" customHeight="false" outlineLevel="0" collapsed="false">
      <c r="A3098" s="0" t="n">
        <v>35</v>
      </c>
      <c r="B3098" s="0" t="s">
        <v>62</v>
      </c>
      <c r="C3098" s="0" t="n">
        <v>2012</v>
      </c>
      <c r="D3098" s="0" t="n">
        <v>12</v>
      </c>
      <c r="E3098" s="38" t="n">
        <v>140313.14</v>
      </c>
    </row>
    <row r="3099" customFormat="false" ht="15" hidden="false" customHeight="false" outlineLevel="0" collapsed="false">
      <c r="A3099" s="0" t="n">
        <v>35</v>
      </c>
      <c r="B3099" s="0" t="s">
        <v>62</v>
      </c>
      <c r="C3099" s="0" t="n">
        <v>2013</v>
      </c>
      <c r="D3099" s="0" t="n">
        <v>1</v>
      </c>
      <c r="E3099" s="38" t="n">
        <v>197407.47</v>
      </c>
    </row>
    <row r="3100" customFormat="false" ht="15" hidden="false" customHeight="false" outlineLevel="0" collapsed="false">
      <c r="A3100" s="0" t="n">
        <v>35</v>
      </c>
      <c r="B3100" s="0" t="s">
        <v>62</v>
      </c>
      <c r="C3100" s="0" t="n">
        <v>2013</v>
      </c>
      <c r="D3100" s="0" t="n">
        <v>2</v>
      </c>
      <c r="E3100" s="38" t="n">
        <v>226325.79</v>
      </c>
    </row>
    <row r="3101" customFormat="false" ht="15" hidden="false" customHeight="false" outlineLevel="0" collapsed="false">
      <c r="A3101" s="0" t="n">
        <v>35</v>
      </c>
      <c r="B3101" s="0" t="s">
        <v>62</v>
      </c>
      <c r="C3101" s="0" t="n">
        <v>2013</v>
      </c>
      <c r="D3101" s="0" t="n">
        <v>3</v>
      </c>
      <c r="E3101" s="38" t="n">
        <v>233330.6</v>
      </c>
    </row>
    <row r="3102" customFormat="false" ht="15" hidden="false" customHeight="false" outlineLevel="0" collapsed="false">
      <c r="A3102" s="0" t="n">
        <v>35</v>
      </c>
      <c r="B3102" s="0" t="s">
        <v>62</v>
      </c>
      <c r="C3102" s="0" t="n">
        <v>2013</v>
      </c>
      <c r="D3102" s="0" t="n">
        <v>4</v>
      </c>
      <c r="E3102" s="38" t="n">
        <v>278615.91</v>
      </c>
    </row>
    <row r="3103" customFormat="false" ht="15" hidden="false" customHeight="false" outlineLevel="0" collapsed="false">
      <c r="A3103" s="0" t="n">
        <v>35</v>
      </c>
      <c r="B3103" s="0" t="s">
        <v>62</v>
      </c>
      <c r="C3103" s="0" t="n">
        <v>2013</v>
      </c>
      <c r="D3103" s="0" t="n">
        <v>5</v>
      </c>
      <c r="E3103" s="38" t="n">
        <v>236533.77</v>
      </c>
    </row>
    <row r="3104" customFormat="false" ht="15" hidden="false" customHeight="false" outlineLevel="0" collapsed="false">
      <c r="A3104" s="0" t="n">
        <v>35</v>
      </c>
      <c r="B3104" s="0" t="s">
        <v>62</v>
      </c>
      <c r="C3104" s="0" t="n">
        <v>2013</v>
      </c>
      <c r="D3104" s="0" t="n">
        <v>6</v>
      </c>
      <c r="E3104" s="38" t="n">
        <v>183841.66</v>
      </c>
    </row>
    <row r="3105" customFormat="false" ht="15" hidden="false" customHeight="false" outlineLevel="0" collapsed="false">
      <c r="A3105" s="0" t="n">
        <v>35</v>
      </c>
      <c r="B3105" s="0" t="s">
        <v>62</v>
      </c>
      <c r="C3105" s="0" t="n">
        <v>2013</v>
      </c>
      <c r="D3105" s="0" t="n">
        <v>7</v>
      </c>
      <c r="E3105" s="38" t="n">
        <v>163275.47</v>
      </c>
    </row>
    <row r="3106" customFormat="false" ht="15" hidden="false" customHeight="false" outlineLevel="0" collapsed="false">
      <c r="A3106" s="0" t="n">
        <v>35</v>
      </c>
      <c r="B3106" s="0" t="s">
        <v>62</v>
      </c>
      <c r="C3106" s="0" t="n">
        <v>2013</v>
      </c>
      <c r="D3106" s="0" t="n">
        <v>8</v>
      </c>
      <c r="E3106" s="38" t="n">
        <v>159632.25</v>
      </c>
    </row>
    <row r="3107" customFormat="false" ht="15" hidden="false" customHeight="false" outlineLevel="0" collapsed="false">
      <c r="A3107" s="0" t="n">
        <v>35</v>
      </c>
      <c r="B3107" s="0" t="s">
        <v>64</v>
      </c>
      <c r="C3107" s="0" t="n">
        <v>2011</v>
      </c>
      <c r="D3107" s="0" t="n">
        <v>9</v>
      </c>
      <c r="E3107" s="38" t="n">
        <v>7</v>
      </c>
    </row>
    <row r="3108" customFormat="false" ht="15" hidden="false" customHeight="false" outlineLevel="0" collapsed="false">
      <c r="A3108" s="0" t="n">
        <v>36</v>
      </c>
      <c r="B3108" s="0" t="s">
        <v>60</v>
      </c>
      <c r="C3108" s="0" t="n">
        <v>2011</v>
      </c>
      <c r="D3108" s="0" t="n">
        <v>1</v>
      </c>
      <c r="E3108" s="38" t="n">
        <v>67562.58</v>
      </c>
    </row>
    <row r="3109" customFormat="false" ht="15" hidden="false" customHeight="false" outlineLevel="0" collapsed="false">
      <c r="A3109" s="0" t="n">
        <v>36</v>
      </c>
      <c r="B3109" s="0" t="s">
        <v>60</v>
      </c>
      <c r="C3109" s="0" t="n">
        <v>2011</v>
      </c>
      <c r="D3109" s="0" t="n">
        <v>2</v>
      </c>
      <c r="E3109" s="38" t="n">
        <v>134628.84</v>
      </c>
    </row>
    <row r="3110" customFormat="false" ht="15" hidden="false" customHeight="false" outlineLevel="0" collapsed="false">
      <c r="A3110" s="0" t="n">
        <v>36</v>
      </c>
      <c r="B3110" s="0" t="s">
        <v>60</v>
      </c>
      <c r="C3110" s="0" t="n">
        <v>2011</v>
      </c>
      <c r="D3110" s="0" t="n">
        <v>3</v>
      </c>
      <c r="E3110" s="38" t="n">
        <v>137585.46</v>
      </c>
    </row>
    <row r="3111" customFormat="false" ht="15" hidden="false" customHeight="false" outlineLevel="0" collapsed="false">
      <c r="A3111" s="0" t="n">
        <v>36</v>
      </c>
      <c r="B3111" s="0" t="s">
        <v>60</v>
      </c>
      <c r="C3111" s="0" t="n">
        <v>2011</v>
      </c>
      <c r="D3111" s="0" t="n">
        <v>4</v>
      </c>
      <c r="E3111" s="38" t="n">
        <v>309620.69</v>
      </c>
    </row>
    <row r="3112" customFormat="false" ht="15" hidden="false" customHeight="false" outlineLevel="0" collapsed="false">
      <c r="A3112" s="0" t="n">
        <v>36</v>
      </c>
      <c r="B3112" s="0" t="s">
        <v>60</v>
      </c>
      <c r="C3112" s="0" t="n">
        <v>2011</v>
      </c>
      <c r="D3112" s="0" t="n">
        <v>5</v>
      </c>
      <c r="E3112" s="38" t="n">
        <v>400732.84</v>
      </c>
    </row>
    <row r="3113" customFormat="false" ht="15" hidden="false" customHeight="false" outlineLevel="0" collapsed="false">
      <c r="A3113" s="0" t="n">
        <v>36</v>
      </c>
      <c r="B3113" s="0" t="s">
        <v>60</v>
      </c>
      <c r="C3113" s="0" t="n">
        <v>2011</v>
      </c>
      <c r="D3113" s="0" t="n">
        <v>6</v>
      </c>
      <c r="E3113" s="38" t="n">
        <v>239268.81</v>
      </c>
    </row>
    <row r="3114" customFormat="false" ht="15" hidden="false" customHeight="false" outlineLevel="0" collapsed="false">
      <c r="A3114" s="0" t="n">
        <v>36</v>
      </c>
      <c r="B3114" s="0" t="s">
        <v>60</v>
      </c>
      <c r="C3114" s="0" t="n">
        <v>2011</v>
      </c>
      <c r="D3114" s="0" t="n">
        <v>7</v>
      </c>
      <c r="E3114" s="38" t="n">
        <v>81246.14</v>
      </c>
    </row>
    <row r="3115" customFormat="false" ht="15" hidden="false" customHeight="false" outlineLevel="0" collapsed="false">
      <c r="A3115" s="0" t="n">
        <v>36</v>
      </c>
      <c r="B3115" s="0" t="s">
        <v>60</v>
      </c>
      <c r="C3115" s="0" t="n">
        <v>2011</v>
      </c>
      <c r="D3115" s="0" t="n">
        <v>8</v>
      </c>
      <c r="E3115" s="38" t="n">
        <v>57842.8</v>
      </c>
    </row>
    <row r="3116" customFormat="false" ht="15" hidden="false" customHeight="false" outlineLevel="0" collapsed="false">
      <c r="A3116" s="0" t="n">
        <v>36</v>
      </c>
      <c r="B3116" s="0" t="s">
        <v>60</v>
      </c>
      <c r="C3116" s="0" t="n">
        <v>2011</v>
      </c>
      <c r="D3116" s="0" t="n">
        <v>9</v>
      </c>
      <c r="E3116" s="38" t="n">
        <v>100206.39</v>
      </c>
    </row>
    <row r="3117" customFormat="false" ht="15" hidden="false" customHeight="false" outlineLevel="0" collapsed="false">
      <c r="A3117" s="0" t="n">
        <v>36</v>
      </c>
      <c r="B3117" s="0" t="s">
        <v>60</v>
      </c>
      <c r="C3117" s="0" t="n">
        <v>2011</v>
      </c>
      <c r="D3117" s="0" t="n">
        <v>10</v>
      </c>
      <c r="E3117" s="38" t="n">
        <v>192603.07</v>
      </c>
    </row>
    <row r="3118" customFormat="false" ht="15" hidden="false" customHeight="false" outlineLevel="0" collapsed="false">
      <c r="A3118" s="0" t="n">
        <v>36</v>
      </c>
      <c r="B3118" s="0" t="s">
        <v>60</v>
      </c>
      <c r="C3118" s="0" t="n">
        <v>2011</v>
      </c>
      <c r="D3118" s="0" t="n">
        <v>11</v>
      </c>
      <c r="E3118" s="38" t="n">
        <v>236516.64</v>
      </c>
    </row>
    <row r="3119" customFormat="false" ht="15" hidden="false" customHeight="false" outlineLevel="0" collapsed="false">
      <c r="A3119" s="0" t="n">
        <v>36</v>
      </c>
      <c r="B3119" s="0" t="s">
        <v>60</v>
      </c>
      <c r="C3119" s="0" t="n">
        <v>2011</v>
      </c>
      <c r="D3119" s="0" t="n">
        <v>12</v>
      </c>
      <c r="E3119" s="38" t="n">
        <v>95319.18</v>
      </c>
    </row>
    <row r="3120" customFormat="false" ht="15" hidden="false" customHeight="false" outlineLevel="0" collapsed="false">
      <c r="A3120" s="0" t="n">
        <v>36</v>
      </c>
      <c r="B3120" s="0" t="s">
        <v>60</v>
      </c>
      <c r="C3120" s="0" t="n">
        <v>2012</v>
      </c>
      <c r="D3120" s="0" t="n">
        <v>1</v>
      </c>
      <c r="E3120" s="38" t="n">
        <v>93535.66</v>
      </c>
    </row>
    <row r="3121" customFormat="false" ht="15" hidden="false" customHeight="false" outlineLevel="0" collapsed="false">
      <c r="A3121" s="0" t="n">
        <v>36</v>
      </c>
      <c r="B3121" s="0" t="s">
        <v>60</v>
      </c>
      <c r="C3121" s="0" t="n">
        <v>2012</v>
      </c>
      <c r="D3121" s="0" t="n">
        <v>2</v>
      </c>
      <c r="E3121" s="38" t="n">
        <v>171433.33</v>
      </c>
    </row>
    <row r="3122" customFormat="false" ht="15" hidden="false" customHeight="false" outlineLevel="0" collapsed="false">
      <c r="A3122" s="0" t="n">
        <v>36</v>
      </c>
      <c r="B3122" s="0" t="s">
        <v>60</v>
      </c>
      <c r="C3122" s="0" t="n">
        <v>2012</v>
      </c>
      <c r="D3122" s="0" t="n">
        <v>3</v>
      </c>
      <c r="E3122" s="38" t="n">
        <v>166315.69</v>
      </c>
    </row>
    <row r="3123" customFormat="false" ht="15" hidden="false" customHeight="false" outlineLevel="0" collapsed="false">
      <c r="A3123" s="0" t="n">
        <v>36</v>
      </c>
      <c r="B3123" s="0" t="s">
        <v>60</v>
      </c>
      <c r="C3123" s="0" t="n">
        <v>2012</v>
      </c>
      <c r="D3123" s="0" t="n">
        <v>4</v>
      </c>
      <c r="E3123" s="38" t="n">
        <v>290070.18</v>
      </c>
    </row>
    <row r="3124" customFormat="false" ht="15" hidden="false" customHeight="false" outlineLevel="0" collapsed="false">
      <c r="A3124" s="0" t="n">
        <v>36</v>
      </c>
      <c r="B3124" s="0" t="s">
        <v>60</v>
      </c>
      <c r="C3124" s="0" t="n">
        <v>2012</v>
      </c>
      <c r="D3124" s="0" t="n">
        <v>5</v>
      </c>
      <c r="E3124" s="38" t="n">
        <v>447992.59</v>
      </c>
    </row>
    <row r="3125" customFormat="false" ht="15" hidden="false" customHeight="false" outlineLevel="0" collapsed="false">
      <c r="A3125" s="0" t="n">
        <v>36</v>
      </c>
      <c r="B3125" s="0" t="s">
        <v>60</v>
      </c>
      <c r="C3125" s="0" t="n">
        <v>2012</v>
      </c>
      <c r="D3125" s="0" t="n">
        <v>6</v>
      </c>
      <c r="E3125" s="38" t="n">
        <v>264524.07</v>
      </c>
    </row>
    <row r="3126" customFormat="false" ht="15" hidden="false" customHeight="false" outlineLevel="0" collapsed="false">
      <c r="A3126" s="0" t="n">
        <v>36</v>
      </c>
      <c r="B3126" s="0" t="s">
        <v>60</v>
      </c>
      <c r="C3126" s="0" t="n">
        <v>2012</v>
      </c>
      <c r="D3126" s="0" t="n">
        <v>7</v>
      </c>
      <c r="E3126" s="38" t="n">
        <v>87760.37</v>
      </c>
    </row>
    <row r="3127" customFormat="false" ht="15" hidden="false" customHeight="false" outlineLevel="0" collapsed="false">
      <c r="A3127" s="0" t="n">
        <v>36</v>
      </c>
      <c r="B3127" s="0" t="s">
        <v>60</v>
      </c>
      <c r="C3127" s="0" t="n">
        <v>2012</v>
      </c>
      <c r="D3127" s="0" t="n">
        <v>8</v>
      </c>
      <c r="E3127" s="38" t="n">
        <v>80116.85</v>
      </c>
    </row>
    <row r="3128" customFormat="false" ht="15" hidden="false" customHeight="false" outlineLevel="0" collapsed="false">
      <c r="A3128" s="0" t="n">
        <v>36</v>
      </c>
      <c r="B3128" s="0" t="s">
        <v>60</v>
      </c>
      <c r="C3128" s="0" t="n">
        <v>2012</v>
      </c>
      <c r="D3128" s="0" t="n">
        <v>9</v>
      </c>
      <c r="E3128" s="38" t="n">
        <v>135211.92</v>
      </c>
    </row>
    <row r="3129" customFormat="false" ht="15" hidden="false" customHeight="false" outlineLevel="0" collapsed="false">
      <c r="A3129" s="0" t="n">
        <v>36</v>
      </c>
      <c r="B3129" s="0" t="s">
        <v>60</v>
      </c>
      <c r="C3129" s="0" t="n">
        <v>2012</v>
      </c>
      <c r="D3129" s="0" t="n">
        <v>10</v>
      </c>
      <c r="E3129" s="38" t="n">
        <v>154276.28</v>
      </c>
    </row>
    <row r="3130" customFormat="false" ht="15" hidden="false" customHeight="false" outlineLevel="0" collapsed="false">
      <c r="A3130" s="0" t="n">
        <v>36</v>
      </c>
      <c r="B3130" s="0" t="s">
        <v>60</v>
      </c>
      <c r="C3130" s="0" t="n">
        <v>2012</v>
      </c>
      <c r="D3130" s="0" t="n">
        <v>11</v>
      </c>
      <c r="E3130" s="38" t="n">
        <v>234152.06</v>
      </c>
    </row>
    <row r="3131" customFormat="false" ht="15" hidden="false" customHeight="false" outlineLevel="0" collapsed="false">
      <c r="A3131" s="0" t="n">
        <v>36</v>
      </c>
      <c r="B3131" s="0" t="s">
        <v>60</v>
      </c>
      <c r="C3131" s="0" t="n">
        <v>2012</v>
      </c>
      <c r="D3131" s="0" t="n">
        <v>12</v>
      </c>
      <c r="E3131" s="38" t="n">
        <v>86548.09</v>
      </c>
    </row>
    <row r="3132" customFormat="false" ht="15" hidden="false" customHeight="false" outlineLevel="0" collapsed="false">
      <c r="A3132" s="0" t="n">
        <v>36</v>
      </c>
      <c r="B3132" s="0" t="s">
        <v>60</v>
      </c>
      <c r="C3132" s="0" t="n">
        <v>2013</v>
      </c>
      <c r="D3132" s="0" t="n">
        <v>1</v>
      </c>
      <c r="E3132" s="38" t="n">
        <v>145863.86</v>
      </c>
    </row>
    <row r="3133" customFormat="false" ht="15" hidden="false" customHeight="false" outlineLevel="0" collapsed="false">
      <c r="A3133" s="0" t="n">
        <v>36</v>
      </c>
      <c r="B3133" s="0" t="s">
        <v>60</v>
      </c>
      <c r="C3133" s="0" t="n">
        <v>2013</v>
      </c>
      <c r="D3133" s="0" t="n">
        <v>2</v>
      </c>
      <c r="E3133" s="38" t="n">
        <v>176965.2</v>
      </c>
    </row>
    <row r="3134" customFormat="false" ht="15" hidden="false" customHeight="false" outlineLevel="0" collapsed="false">
      <c r="A3134" s="0" t="n">
        <v>36</v>
      </c>
      <c r="B3134" s="0" t="s">
        <v>60</v>
      </c>
      <c r="C3134" s="0" t="n">
        <v>2013</v>
      </c>
      <c r="D3134" s="0" t="n">
        <v>3</v>
      </c>
      <c r="E3134" s="38" t="n">
        <v>172638.33</v>
      </c>
    </row>
    <row r="3135" customFormat="false" ht="15" hidden="false" customHeight="false" outlineLevel="0" collapsed="false">
      <c r="A3135" s="0" t="n">
        <v>36</v>
      </c>
      <c r="B3135" s="0" t="s">
        <v>60</v>
      </c>
      <c r="C3135" s="0" t="n">
        <v>2013</v>
      </c>
      <c r="D3135" s="0" t="n">
        <v>4</v>
      </c>
      <c r="E3135" s="38" t="n">
        <v>322034.81</v>
      </c>
    </row>
    <row r="3136" customFormat="false" ht="15" hidden="false" customHeight="false" outlineLevel="0" collapsed="false">
      <c r="A3136" s="0" t="n">
        <v>36</v>
      </c>
      <c r="B3136" s="0" t="s">
        <v>60</v>
      </c>
      <c r="C3136" s="0" t="n">
        <v>2013</v>
      </c>
      <c r="D3136" s="0" t="n">
        <v>5</v>
      </c>
      <c r="E3136" s="38" t="n">
        <v>387167.47</v>
      </c>
    </row>
    <row r="3137" customFormat="false" ht="15" hidden="false" customHeight="false" outlineLevel="0" collapsed="false">
      <c r="A3137" s="0" t="n">
        <v>36</v>
      </c>
      <c r="B3137" s="0" t="s">
        <v>60</v>
      </c>
      <c r="C3137" s="0" t="n">
        <v>2013</v>
      </c>
      <c r="D3137" s="0" t="n">
        <v>6</v>
      </c>
      <c r="E3137" s="38" t="n">
        <v>213872.17</v>
      </c>
    </row>
    <row r="3138" customFormat="false" ht="15" hidden="false" customHeight="false" outlineLevel="0" collapsed="false">
      <c r="A3138" s="0" t="n">
        <v>36</v>
      </c>
      <c r="B3138" s="0" t="s">
        <v>60</v>
      </c>
      <c r="C3138" s="0" t="n">
        <v>2013</v>
      </c>
      <c r="D3138" s="0" t="n">
        <v>7</v>
      </c>
      <c r="E3138" s="38" t="n">
        <v>57933.94</v>
      </c>
    </row>
    <row r="3139" customFormat="false" ht="15" hidden="false" customHeight="false" outlineLevel="0" collapsed="false">
      <c r="A3139" s="0" t="n">
        <v>36</v>
      </c>
      <c r="B3139" s="0" t="s">
        <v>60</v>
      </c>
      <c r="C3139" s="0" t="n">
        <v>2013</v>
      </c>
      <c r="D3139" s="0" t="n">
        <v>8</v>
      </c>
      <c r="E3139" s="38" t="n">
        <v>66991.5</v>
      </c>
    </row>
    <row r="3140" customFormat="false" ht="15" hidden="false" customHeight="false" outlineLevel="0" collapsed="false">
      <c r="A3140" s="0" t="n">
        <v>36</v>
      </c>
      <c r="B3140" s="0" t="s">
        <v>62</v>
      </c>
      <c r="C3140" s="0" t="n">
        <v>2011</v>
      </c>
      <c r="D3140" s="0" t="n">
        <v>1</v>
      </c>
      <c r="E3140" s="38" t="n">
        <v>75554.14</v>
      </c>
    </row>
    <row r="3141" customFormat="false" ht="15" hidden="false" customHeight="false" outlineLevel="0" collapsed="false">
      <c r="A3141" s="0" t="n">
        <v>36</v>
      </c>
      <c r="B3141" s="0" t="s">
        <v>62</v>
      </c>
      <c r="C3141" s="0" t="n">
        <v>2011</v>
      </c>
      <c r="D3141" s="0" t="n">
        <v>2</v>
      </c>
      <c r="E3141" s="38" t="n">
        <v>135710.88</v>
      </c>
    </row>
    <row r="3142" customFormat="false" ht="15" hidden="false" customHeight="false" outlineLevel="0" collapsed="false">
      <c r="A3142" s="0" t="n">
        <v>36</v>
      </c>
      <c r="B3142" s="0" t="s">
        <v>62</v>
      </c>
      <c r="C3142" s="0" t="n">
        <v>2011</v>
      </c>
      <c r="D3142" s="0" t="n">
        <v>3</v>
      </c>
      <c r="E3142" s="38" t="n">
        <v>128496.64</v>
      </c>
    </row>
    <row r="3143" customFormat="false" ht="15" hidden="false" customHeight="false" outlineLevel="0" collapsed="false">
      <c r="A3143" s="0" t="n">
        <v>36</v>
      </c>
      <c r="B3143" s="0" t="s">
        <v>62</v>
      </c>
      <c r="C3143" s="0" t="n">
        <v>2011</v>
      </c>
      <c r="D3143" s="0" t="n">
        <v>4</v>
      </c>
      <c r="E3143" s="38" t="n">
        <v>208164.92</v>
      </c>
    </row>
    <row r="3144" customFormat="false" ht="15" hidden="false" customHeight="false" outlineLevel="0" collapsed="false">
      <c r="A3144" s="0" t="n">
        <v>36</v>
      </c>
      <c r="B3144" s="0" t="s">
        <v>62</v>
      </c>
      <c r="C3144" s="0" t="n">
        <v>2011</v>
      </c>
      <c r="D3144" s="0" t="n">
        <v>5</v>
      </c>
      <c r="E3144" s="38" t="n">
        <v>285493.25</v>
      </c>
    </row>
    <row r="3145" customFormat="false" ht="15" hidden="false" customHeight="false" outlineLevel="0" collapsed="false">
      <c r="A3145" s="0" t="n">
        <v>36</v>
      </c>
      <c r="B3145" s="0" t="s">
        <v>62</v>
      </c>
      <c r="C3145" s="0" t="n">
        <v>2011</v>
      </c>
      <c r="D3145" s="0" t="n">
        <v>6</v>
      </c>
      <c r="E3145" s="38" t="n">
        <v>194838.66</v>
      </c>
    </row>
    <row r="3146" customFormat="false" ht="15" hidden="false" customHeight="false" outlineLevel="0" collapsed="false">
      <c r="A3146" s="0" t="n">
        <v>36</v>
      </c>
      <c r="B3146" s="0" t="s">
        <v>62</v>
      </c>
      <c r="C3146" s="0" t="n">
        <v>2011</v>
      </c>
      <c r="D3146" s="0" t="n">
        <v>7</v>
      </c>
      <c r="E3146" s="38" t="n">
        <v>66629.46</v>
      </c>
    </row>
    <row r="3147" customFormat="false" ht="15" hidden="false" customHeight="false" outlineLevel="0" collapsed="false">
      <c r="A3147" s="0" t="n">
        <v>36</v>
      </c>
      <c r="B3147" s="0" t="s">
        <v>62</v>
      </c>
      <c r="C3147" s="0" t="n">
        <v>2011</v>
      </c>
      <c r="D3147" s="0" t="n">
        <v>8</v>
      </c>
      <c r="E3147" s="38" t="n">
        <v>71977.17</v>
      </c>
    </row>
    <row r="3148" customFormat="false" ht="15" hidden="false" customHeight="false" outlineLevel="0" collapsed="false">
      <c r="A3148" s="0" t="n">
        <v>36</v>
      </c>
      <c r="B3148" s="0" t="s">
        <v>62</v>
      </c>
      <c r="C3148" s="0" t="n">
        <v>2011</v>
      </c>
      <c r="D3148" s="0" t="n">
        <v>9</v>
      </c>
      <c r="E3148" s="38" t="n">
        <v>127549.87</v>
      </c>
    </row>
    <row r="3149" customFormat="false" ht="15" hidden="false" customHeight="false" outlineLevel="0" collapsed="false">
      <c r="A3149" s="0" t="n">
        <v>36</v>
      </c>
      <c r="B3149" s="0" t="s">
        <v>62</v>
      </c>
      <c r="C3149" s="0" t="n">
        <v>2011</v>
      </c>
      <c r="D3149" s="0" t="n">
        <v>10</v>
      </c>
      <c r="E3149" s="38" t="n">
        <v>177930.51</v>
      </c>
    </row>
    <row r="3150" customFormat="false" ht="15" hidden="false" customHeight="false" outlineLevel="0" collapsed="false">
      <c r="A3150" s="0" t="n">
        <v>36</v>
      </c>
      <c r="B3150" s="0" t="s">
        <v>62</v>
      </c>
      <c r="C3150" s="0" t="n">
        <v>2011</v>
      </c>
      <c r="D3150" s="0" t="n">
        <v>11</v>
      </c>
      <c r="E3150" s="38" t="n">
        <v>210965.06</v>
      </c>
    </row>
    <row r="3151" customFormat="false" ht="15" hidden="false" customHeight="false" outlineLevel="0" collapsed="false">
      <c r="A3151" s="0" t="n">
        <v>36</v>
      </c>
      <c r="B3151" s="0" t="s">
        <v>62</v>
      </c>
      <c r="C3151" s="0" t="n">
        <v>2011</v>
      </c>
      <c r="D3151" s="0" t="n">
        <v>12</v>
      </c>
      <c r="E3151" s="38" t="n">
        <v>82075.86</v>
      </c>
    </row>
    <row r="3152" customFormat="false" ht="15" hidden="false" customHeight="false" outlineLevel="0" collapsed="false">
      <c r="A3152" s="0" t="n">
        <v>36</v>
      </c>
      <c r="B3152" s="0" t="s">
        <v>62</v>
      </c>
      <c r="C3152" s="0" t="n">
        <v>2012</v>
      </c>
      <c r="D3152" s="0" t="n">
        <v>1</v>
      </c>
      <c r="E3152" s="38" t="n">
        <v>74203.94</v>
      </c>
    </row>
    <row r="3153" customFormat="false" ht="15" hidden="false" customHeight="false" outlineLevel="0" collapsed="false">
      <c r="A3153" s="0" t="n">
        <v>36</v>
      </c>
      <c r="B3153" s="0" t="s">
        <v>62</v>
      </c>
      <c r="C3153" s="0" t="n">
        <v>2012</v>
      </c>
      <c r="D3153" s="0" t="n">
        <v>2</v>
      </c>
      <c r="E3153" s="38" t="n">
        <v>128731.9</v>
      </c>
    </row>
    <row r="3154" customFormat="false" ht="15" hidden="false" customHeight="false" outlineLevel="0" collapsed="false">
      <c r="A3154" s="0" t="n">
        <v>36</v>
      </c>
      <c r="B3154" s="0" t="s">
        <v>62</v>
      </c>
      <c r="C3154" s="0" t="n">
        <v>2012</v>
      </c>
      <c r="D3154" s="0" t="n">
        <v>3</v>
      </c>
      <c r="E3154" s="38" t="n">
        <v>121371.1</v>
      </c>
    </row>
    <row r="3155" customFormat="false" ht="15" hidden="false" customHeight="false" outlineLevel="0" collapsed="false">
      <c r="A3155" s="0" t="n">
        <v>36</v>
      </c>
      <c r="B3155" s="0" t="s">
        <v>62</v>
      </c>
      <c r="C3155" s="0" t="n">
        <v>2012</v>
      </c>
      <c r="D3155" s="0" t="n">
        <v>4</v>
      </c>
      <c r="E3155" s="38" t="n">
        <v>201719.96</v>
      </c>
    </row>
    <row r="3156" customFormat="false" ht="15" hidden="false" customHeight="false" outlineLevel="0" collapsed="false">
      <c r="A3156" s="0" t="n">
        <v>36</v>
      </c>
      <c r="B3156" s="0" t="s">
        <v>62</v>
      </c>
      <c r="C3156" s="0" t="n">
        <v>2012</v>
      </c>
      <c r="D3156" s="0" t="n">
        <v>5</v>
      </c>
      <c r="E3156" s="38" t="n">
        <v>297975.89</v>
      </c>
    </row>
    <row r="3157" customFormat="false" ht="15" hidden="false" customHeight="false" outlineLevel="0" collapsed="false">
      <c r="A3157" s="0" t="n">
        <v>36</v>
      </c>
      <c r="B3157" s="0" t="s">
        <v>62</v>
      </c>
      <c r="C3157" s="0" t="n">
        <v>2012</v>
      </c>
      <c r="D3157" s="0" t="n">
        <v>6</v>
      </c>
      <c r="E3157" s="38" t="n">
        <v>202076.03</v>
      </c>
    </row>
    <row r="3158" customFormat="false" ht="15" hidden="false" customHeight="false" outlineLevel="0" collapsed="false">
      <c r="A3158" s="0" t="n">
        <v>36</v>
      </c>
      <c r="B3158" s="0" t="s">
        <v>62</v>
      </c>
      <c r="C3158" s="0" t="n">
        <v>2012</v>
      </c>
      <c r="D3158" s="0" t="n">
        <v>7</v>
      </c>
      <c r="E3158" s="38" t="n">
        <v>87745.41</v>
      </c>
    </row>
    <row r="3159" customFormat="false" ht="15" hidden="false" customHeight="false" outlineLevel="0" collapsed="false">
      <c r="A3159" s="0" t="n">
        <v>36</v>
      </c>
      <c r="B3159" s="0" t="s">
        <v>62</v>
      </c>
      <c r="C3159" s="0" t="n">
        <v>2012</v>
      </c>
      <c r="D3159" s="0" t="n">
        <v>8</v>
      </c>
      <c r="E3159" s="38" t="n">
        <v>91569.4</v>
      </c>
    </row>
    <row r="3160" customFormat="false" ht="15" hidden="false" customHeight="false" outlineLevel="0" collapsed="false">
      <c r="A3160" s="0" t="n">
        <v>36</v>
      </c>
      <c r="B3160" s="0" t="s">
        <v>62</v>
      </c>
      <c r="C3160" s="0" t="n">
        <v>2012</v>
      </c>
      <c r="D3160" s="0" t="n">
        <v>9</v>
      </c>
      <c r="E3160" s="38" t="n">
        <v>131682.19</v>
      </c>
    </row>
    <row r="3161" customFormat="false" ht="15" hidden="false" customHeight="false" outlineLevel="0" collapsed="false">
      <c r="A3161" s="0" t="n">
        <v>36</v>
      </c>
      <c r="B3161" s="0" t="s">
        <v>62</v>
      </c>
      <c r="C3161" s="0" t="n">
        <v>2012</v>
      </c>
      <c r="D3161" s="0" t="n">
        <v>10</v>
      </c>
      <c r="E3161" s="38" t="n">
        <v>161492.13</v>
      </c>
    </row>
    <row r="3162" customFormat="false" ht="15" hidden="false" customHeight="false" outlineLevel="0" collapsed="false">
      <c r="A3162" s="0" t="n">
        <v>36</v>
      </c>
      <c r="B3162" s="0" t="s">
        <v>62</v>
      </c>
      <c r="C3162" s="0" t="n">
        <v>2012</v>
      </c>
      <c r="D3162" s="0" t="n">
        <v>11</v>
      </c>
      <c r="E3162" s="38" t="n">
        <v>209377.66</v>
      </c>
    </row>
    <row r="3163" customFormat="false" ht="15" hidden="false" customHeight="false" outlineLevel="0" collapsed="false">
      <c r="A3163" s="0" t="n">
        <v>36</v>
      </c>
      <c r="B3163" s="0" t="s">
        <v>62</v>
      </c>
      <c r="C3163" s="0" t="n">
        <v>2012</v>
      </c>
      <c r="D3163" s="0" t="n">
        <v>12</v>
      </c>
      <c r="E3163" s="38" t="n">
        <v>95447.01</v>
      </c>
    </row>
    <row r="3164" customFormat="false" ht="15" hidden="false" customHeight="false" outlineLevel="0" collapsed="false">
      <c r="A3164" s="0" t="n">
        <v>36</v>
      </c>
      <c r="B3164" s="0" t="s">
        <v>62</v>
      </c>
      <c r="C3164" s="0" t="n">
        <v>2013</v>
      </c>
      <c r="D3164" s="0" t="n">
        <v>1</v>
      </c>
      <c r="E3164" s="38" t="n">
        <v>127784.95</v>
      </c>
    </row>
    <row r="3165" customFormat="false" ht="15" hidden="false" customHeight="false" outlineLevel="0" collapsed="false">
      <c r="A3165" s="0" t="n">
        <v>36</v>
      </c>
      <c r="B3165" s="0" t="s">
        <v>62</v>
      </c>
      <c r="C3165" s="0" t="n">
        <v>2013</v>
      </c>
      <c r="D3165" s="0" t="n">
        <v>2</v>
      </c>
      <c r="E3165" s="38" t="n">
        <v>148068.8</v>
      </c>
    </row>
    <row r="3166" customFormat="false" ht="15" hidden="false" customHeight="false" outlineLevel="0" collapsed="false">
      <c r="A3166" s="0" t="n">
        <v>36</v>
      </c>
      <c r="B3166" s="0" t="s">
        <v>62</v>
      </c>
      <c r="C3166" s="0" t="n">
        <v>2013</v>
      </c>
      <c r="D3166" s="0" t="n">
        <v>3</v>
      </c>
      <c r="E3166" s="38" t="n">
        <v>131227.5</v>
      </c>
    </row>
    <row r="3167" customFormat="false" ht="15" hidden="false" customHeight="false" outlineLevel="0" collapsed="false">
      <c r="A3167" s="0" t="n">
        <v>36</v>
      </c>
      <c r="B3167" s="0" t="s">
        <v>62</v>
      </c>
      <c r="C3167" s="0" t="n">
        <v>2013</v>
      </c>
      <c r="D3167" s="0" t="n">
        <v>4</v>
      </c>
      <c r="E3167" s="38" t="n">
        <v>212523.71</v>
      </c>
    </row>
    <row r="3168" customFormat="false" ht="15" hidden="false" customHeight="false" outlineLevel="0" collapsed="false">
      <c r="A3168" s="0" t="n">
        <v>36</v>
      </c>
      <c r="B3168" s="0" t="s">
        <v>62</v>
      </c>
      <c r="C3168" s="0" t="n">
        <v>2013</v>
      </c>
      <c r="D3168" s="0" t="n">
        <v>5</v>
      </c>
      <c r="E3168" s="38" t="n">
        <v>265071.37</v>
      </c>
    </row>
    <row r="3169" customFormat="false" ht="15" hidden="false" customHeight="false" outlineLevel="0" collapsed="false">
      <c r="A3169" s="0" t="n">
        <v>36</v>
      </c>
      <c r="B3169" s="0" t="s">
        <v>62</v>
      </c>
      <c r="C3169" s="0" t="n">
        <v>2013</v>
      </c>
      <c r="D3169" s="0" t="n">
        <v>6</v>
      </c>
      <c r="E3169" s="38" t="n">
        <v>128572.78</v>
      </c>
    </row>
    <row r="3170" customFormat="false" ht="15" hidden="false" customHeight="false" outlineLevel="0" collapsed="false">
      <c r="A3170" s="0" t="n">
        <v>36</v>
      </c>
      <c r="B3170" s="0" t="s">
        <v>62</v>
      </c>
      <c r="C3170" s="0" t="n">
        <v>2013</v>
      </c>
      <c r="D3170" s="0" t="n">
        <v>7</v>
      </c>
      <c r="E3170" s="38" t="n">
        <v>45379.96</v>
      </c>
    </row>
    <row r="3171" customFormat="false" ht="15" hidden="false" customHeight="false" outlineLevel="0" collapsed="false">
      <c r="A3171" s="0" t="n">
        <v>36</v>
      </c>
      <c r="B3171" s="0" t="s">
        <v>62</v>
      </c>
      <c r="C3171" s="0" t="n">
        <v>2013</v>
      </c>
      <c r="D3171" s="0" t="n">
        <v>8</v>
      </c>
      <c r="E3171" s="38" t="n">
        <v>65438.62</v>
      </c>
    </row>
    <row r="3172" customFormat="false" ht="15" hidden="false" customHeight="false" outlineLevel="0" collapsed="false">
      <c r="A3172" s="0" t="n">
        <v>37</v>
      </c>
      <c r="B3172" s="0" t="s">
        <v>60</v>
      </c>
      <c r="C3172" s="0" t="n">
        <v>2011</v>
      </c>
      <c r="D3172" s="0" t="n">
        <v>1</v>
      </c>
      <c r="E3172" s="38" t="n">
        <v>226016.95</v>
      </c>
    </row>
    <row r="3173" customFormat="false" ht="15" hidden="false" customHeight="false" outlineLevel="0" collapsed="false">
      <c r="A3173" s="0" t="n">
        <v>37</v>
      </c>
      <c r="B3173" s="0" t="s">
        <v>60</v>
      </c>
      <c r="C3173" s="0" t="n">
        <v>2011</v>
      </c>
      <c r="D3173" s="0" t="n">
        <v>2</v>
      </c>
      <c r="E3173" s="38" t="n">
        <v>230384.04</v>
      </c>
    </row>
    <row r="3174" customFormat="false" ht="15" hidden="false" customHeight="false" outlineLevel="0" collapsed="false">
      <c r="A3174" s="0" t="n">
        <v>37</v>
      </c>
      <c r="B3174" s="0" t="s">
        <v>60</v>
      </c>
      <c r="C3174" s="0" t="n">
        <v>2011</v>
      </c>
      <c r="D3174" s="0" t="n">
        <v>3</v>
      </c>
      <c r="E3174" s="38" t="n">
        <v>209977.39</v>
      </c>
    </row>
    <row r="3175" customFormat="false" ht="15" hidden="false" customHeight="false" outlineLevel="0" collapsed="false">
      <c r="A3175" s="0" t="n">
        <v>37</v>
      </c>
      <c r="B3175" s="0" t="s">
        <v>60</v>
      </c>
      <c r="C3175" s="0" t="n">
        <v>2011</v>
      </c>
      <c r="D3175" s="0" t="n">
        <v>4</v>
      </c>
      <c r="E3175" s="38" t="n">
        <v>221121.92</v>
      </c>
    </row>
    <row r="3176" customFormat="false" ht="15" hidden="false" customHeight="false" outlineLevel="0" collapsed="false">
      <c r="A3176" s="0" t="n">
        <v>37</v>
      </c>
      <c r="B3176" s="0" t="s">
        <v>60</v>
      </c>
      <c r="C3176" s="0" t="n">
        <v>2011</v>
      </c>
      <c r="D3176" s="0" t="n">
        <v>5</v>
      </c>
      <c r="E3176" s="38" t="n">
        <v>224548.08</v>
      </c>
    </row>
    <row r="3177" customFormat="false" ht="15" hidden="false" customHeight="false" outlineLevel="0" collapsed="false">
      <c r="A3177" s="0" t="n">
        <v>37</v>
      </c>
      <c r="B3177" s="0" t="s">
        <v>60</v>
      </c>
      <c r="C3177" s="0" t="n">
        <v>2011</v>
      </c>
      <c r="D3177" s="0" t="n">
        <v>6</v>
      </c>
      <c r="E3177" s="38" t="n">
        <v>229253.49</v>
      </c>
    </row>
    <row r="3178" customFormat="false" ht="15" hidden="false" customHeight="false" outlineLevel="0" collapsed="false">
      <c r="A3178" s="0" t="n">
        <v>37</v>
      </c>
      <c r="B3178" s="0" t="s">
        <v>60</v>
      </c>
      <c r="C3178" s="0" t="n">
        <v>2011</v>
      </c>
      <c r="D3178" s="0" t="n">
        <v>7</v>
      </c>
      <c r="E3178" s="38" t="n">
        <v>218439.81</v>
      </c>
    </row>
    <row r="3179" customFormat="false" ht="15" hidden="false" customHeight="false" outlineLevel="0" collapsed="false">
      <c r="A3179" s="0" t="n">
        <v>37</v>
      </c>
      <c r="B3179" s="0" t="s">
        <v>60</v>
      </c>
      <c r="C3179" s="0" t="n">
        <v>2011</v>
      </c>
      <c r="D3179" s="0" t="n">
        <v>8</v>
      </c>
      <c r="E3179" s="38" t="n">
        <v>202608.49</v>
      </c>
    </row>
    <row r="3180" customFormat="false" ht="15" hidden="false" customHeight="false" outlineLevel="0" collapsed="false">
      <c r="A3180" s="0" t="n">
        <v>37</v>
      </c>
      <c r="B3180" s="0" t="s">
        <v>60</v>
      </c>
      <c r="C3180" s="0" t="n">
        <v>2011</v>
      </c>
      <c r="D3180" s="0" t="n">
        <v>9</v>
      </c>
      <c r="E3180" s="38" t="n">
        <v>217974.84</v>
      </c>
    </row>
    <row r="3181" customFormat="false" ht="15" hidden="false" customHeight="false" outlineLevel="0" collapsed="false">
      <c r="A3181" s="0" t="n">
        <v>37</v>
      </c>
      <c r="B3181" s="0" t="s">
        <v>60</v>
      </c>
      <c r="C3181" s="0" t="n">
        <v>2011</v>
      </c>
      <c r="D3181" s="0" t="n">
        <v>10</v>
      </c>
      <c r="E3181" s="38" t="n">
        <v>221317.71</v>
      </c>
    </row>
    <row r="3182" customFormat="false" ht="15" hidden="false" customHeight="false" outlineLevel="0" collapsed="false">
      <c r="A3182" s="0" t="n">
        <v>37</v>
      </c>
      <c r="B3182" s="0" t="s">
        <v>60</v>
      </c>
      <c r="C3182" s="0" t="n">
        <v>2011</v>
      </c>
      <c r="D3182" s="0" t="n">
        <v>11</v>
      </c>
      <c r="E3182" s="38" t="n">
        <v>220936.3</v>
      </c>
    </row>
    <row r="3183" customFormat="false" ht="15" hidden="false" customHeight="false" outlineLevel="0" collapsed="false">
      <c r="A3183" s="0" t="n">
        <v>37</v>
      </c>
      <c r="B3183" s="0" t="s">
        <v>60</v>
      </c>
      <c r="C3183" s="0" t="n">
        <v>2011</v>
      </c>
      <c r="D3183" s="0" t="n">
        <v>12</v>
      </c>
      <c r="E3183" s="38" t="n">
        <v>202551.6</v>
      </c>
    </row>
    <row r="3184" customFormat="false" ht="15" hidden="false" customHeight="false" outlineLevel="0" collapsed="false">
      <c r="A3184" s="0" t="n">
        <v>37</v>
      </c>
      <c r="B3184" s="0" t="s">
        <v>60</v>
      </c>
      <c r="C3184" s="0" t="n">
        <v>2012</v>
      </c>
      <c r="D3184" s="0" t="n">
        <v>1</v>
      </c>
      <c r="E3184" s="38" t="n">
        <v>207747.13</v>
      </c>
    </row>
    <row r="3185" customFormat="false" ht="15" hidden="false" customHeight="false" outlineLevel="0" collapsed="false">
      <c r="A3185" s="0" t="n">
        <v>37</v>
      </c>
      <c r="B3185" s="0" t="s">
        <v>60</v>
      </c>
      <c r="C3185" s="0" t="n">
        <v>2012</v>
      </c>
      <c r="D3185" s="0" t="n">
        <v>2</v>
      </c>
      <c r="E3185" s="38" t="n">
        <v>221349.94</v>
      </c>
    </row>
    <row r="3186" customFormat="false" ht="15" hidden="false" customHeight="false" outlineLevel="0" collapsed="false">
      <c r="A3186" s="0" t="n">
        <v>37</v>
      </c>
      <c r="B3186" s="0" t="s">
        <v>60</v>
      </c>
      <c r="C3186" s="0" t="n">
        <v>2012</v>
      </c>
      <c r="D3186" s="0" t="n">
        <v>3</v>
      </c>
      <c r="E3186" s="38" t="n">
        <v>201744.98</v>
      </c>
    </row>
    <row r="3187" customFormat="false" ht="15" hidden="false" customHeight="false" outlineLevel="0" collapsed="false">
      <c r="A3187" s="0" t="n">
        <v>37</v>
      </c>
      <c r="B3187" s="0" t="s">
        <v>60</v>
      </c>
      <c r="C3187" s="0" t="n">
        <v>2012</v>
      </c>
      <c r="D3187" s="0" t="n">
        <v>4</v>
      </c>
      <c r="E3187" s="38" t="n">
        <v>198259.75</v>
      </c>
    </row>
    <row r="3188" customFormat="false" ht="15" hidden="false" customHeight="false" outlineLevel="0" collapsed="false">
      <c r="A3188" s="0" t="n">
        <v>37</v>
      </c>
      <c r="B3188" s="0" t="s">
        <v>60</v>
      </c>
      <c r="C3188" s="0" t="n">
        <v>2012</v>
      </c>
      <c r="D3188" s="0" t="n">
        <v>5</v>
      </c>
      <c r="E3188" s="38" t="n">
        <v>201867.79</v>
      </c>
    </row>
    <row r="3189" customFormat="false" ht="15" hidden="false" customHeight="false" outlineLevel="0" collapsed="false">
      <c r="A3189" s="0" t="n">
        <v>37</v>
      </c>
      <c r="B3189" s="0" t="s">
        <v>60</v>
      </c>
      <c r="C3189" s="0" t="n">
        <v>2012</v>
      </c>
      <c r="D3189" s="0" t="n">
        <v>6</v>
      </c>
      <c r="E3189" s="38" t="n">
        <v>201803.46</v>
      </c>
    </row>
    <row r="3190" customFormat="false" ht="15" hidden="false" customHeight="false" outlineLevel="0" collapsed="false">
      <c r="A3190" s="0" t="n">
        <v>37</v>
      </c>
      <c r="B3190" s="0" t="s">
        <v>60</v>
      </c>
      <c r="C3190" s="0" t="n">
        <v>2012</v>
      </c>
      <c r="D3190" s="0" t="n">
        <v>7</v>
      </c>
      <c r="E3190" s="38" t="n">
        <v>211545.2</v>
      </c>
    </row>
    <row r="3191" customFormat="false" ht="15" hidden="false" customHeight="false" outlineLevel="0" collapsed="false">
      <c r="A3191" s="0" t="n">
        <v>37</v>
      </c>
      <c r="B3191" s="0" t="s">
        <v>60</v>
      </c>
      <c r="C3191" s="0" t="n">
        <v>2012</v>
      </c>
      <c r="D3191" s="0" t="n">
        <v>8</v>
      </c>
      <c r="E3191" s="38" t="n">
        <v>203112.79</v>
      </c>
    </row>
    <row r="3192" customFormat="false" ht="15" hidden="false" customHeight="false" outlineLevel="0" collapsed="false">
      <c r="A3192" s="0" t="n">
        <v>37</v>
      </c>
      <c r="B3192" s="0" t="s">
        <v>60</v>
      </c>
      <c r="C3192" s="0" t="n">
        <v>2012</v>
      </c>
      <c r="D3192" s="0" t="n">
        <v>9</v>
      </c>
      <c r="E3192" s="38" t="n">
        <v>227223.01</v>
      </c>
    </row>
    <row r="3193" customFormat="false" ht="15" hidden="false" customHeight="false" outlineLevel="0" collapsed="false">
      <c r="A3193" s="0" t="n">
        <v>37</v>
      </c>
      <c r="B3193" s="0" t="s">
        <v>60</v>
      </c>
      <c r="C3193" s="0" t="n">
        <v>2012</v>
      </c>
      <c r="D3193" s="0" t="n">
        <v>10</v>
      </c>
      <c r="E3193" s="38" t="n">
        <v>227085.49</v>
      </c>
    </row>
    <row r="3194" customFormat="false" ht="15" hidden="false" customHeight="false" outlineLevel="0" collapsed="false">
      <c r="A3194" s="0" t="n">
        <v>37</v>
      </c>
      <c r="B3194" s="0" t="s">
        <v>60</v>
      </c>
      <c r="C3194" s="0" t="n">
        <v>2012</v>
      </c>
      <c r="D3194" s="0" t="n">
        <v>11</v>
      </c>
      <c r="E3194" s="38" t="n">
        <v>215813.67</v>
      </c>
    </row>
    <row r="3195" customFormat="false" ht="15" hidden="false" customHeight="false" outlineLevel="0" collapsed="false">
      <c r="A3195" s="0" t="n">
        <v>37</v>
      </c>
      <c r="B3195" s="0" t="s">
        <v>60</v>
      </c>
      <c r="C3195" s="0" t="n">
        <v>2012</v>
      </c>
      <c r="D3195" s="0" t="n">
        <v>12</v>
      </c>
      <c r="E3195" s="38" t="n">
        <v>198629.01</v>
      </c>
    </row>
    <row r="3196" customFormat="false" ht="15" hidden="false" customHeight="false" outlineLevel="0" collapsed="false">
      <c r="A3196" s="0" t="n">
        <v>37</v>
      </c>
      <c r="B3196" s="0" t="s">
        <v>60</v>
      </c>
      <c r="C3196" s="0" t="n">
        <v>2013</v>
      </c>
      <c r="D3196" s="0" t="n">
        <v>1</v>
      </c>
      <c r="E3196" s="38" t="n">
        <v>214134.13</v>
      </c>
    </row>
    <row r="3197" customFormat="false" ht="15" hidden="false" customHeight="false" outlineLevel="0" collapsed="false">
      <c r="A3197" s="0" t="n">
        <v>37</v>
      </c>
      <c r="B3197" s="0" t="s">
        <v>60</v>
      </c>
      <c r="C3197" s="0" t="n">
        <v>2013</v>
      </c>
      <c r="D3197" s="0" t="n">
        <v>2</v>
      </c>
      <c r="E3197" s="38" t="n">
        <v>217018.69</v>
      </c>
    </row>
    <row r="3198" customFormat="false" ht="15" hidden="false" customHeight="false" outlineLevel="0" collapsed="false">
      <c r="A3198" s="0" t="n">
        <v>37</v>
      </c>
      <c r="B3198" s="0" t="s">
        <v>60</v>
      </c>
      <c r="C3198" s="0" t="n">
        <v>2013</v>
      </c>
      <c r="D3198" s="0" t="n">
        <v>3</v>
      </c>
      <c r="E3198" s="38" t="n">
        <v>199795.44</v>
      </c>
    </row>
    <row r="3199" customFormat="false" ht="15" hidden="false" customHeight="false" outlineLevel="0" collapsed="false">
      <c r="A3199" s="0" t="n">
        <v>37</v>
      </c>
      <c r="B3199" s="0" t="s">
        <v>60</v>
      </c>
      <c r="C3199" s="0" t="n">
        <v>2013</v>
      </c>
      <c r="D3199" s="0" t="n">
        <v>4</v>
      </c>
      <c r="E3199" s="38" t="n">
        <v>212865.77</v>
      </c>
    </row>
    <row r="3200" customFormat="false" ht="15" hidden="false" customHeight="false" outlineLevel="0" collapsed="false">
      <c r="A3200" s="0" t="n">
        <v>37</v>
      </c>
      <c r="B3200" s="0" t="s">
        <v>60</v>
      </c>
      <c r="C3200" s="0" t="n">
        <v>2013</v>
      </c>
      <c r="D3200" s="0" t="n">
        <v>5</v>
      </c>
      <c r="E3200" s="38" t="n">
        <v>209167.49</v>
      </c>
    </row>
    <row r="3201" customFormat="false" ht="15" hidden="false" customHeight="false" outlineLevel="0" collapsed="false">
      <c r="A3201" s="0" t="n">
        <v>37</v>
      </c>
      <c r="B3201" s="0" t="s">
        <v>60</v>
      </c>
      <c r="C3201" s="0" t="n">
        <v>2013</v>
      </c>
      <c r="D3201" s="0" t="n">
        <v>6</v>
      </c>
      <c r="E3201" s="38" t="n">
        <v>214840.08</v>
      </c>
    </row>
    <row r="3202" customFormat="false" ht="15" hidden="false" customHeight="false" outlineLevel="0" collapsed="false">
      <c r="A3202" s="0" t="n">
        <v>37</v>
      </c>
      <c r="B3202" s="0" t="s">
        <v>60</v>
      </c>
      <c r="C3202" s="0" t="n">
        <v>2013</v>
      </c>
      <c r="D3202" s="0" t="n">
        <v>7</v>
      </c>
      <c r="E3202" s="38" t="n">
        <v>203106.71</v>
      </c>
    </row>
    <row r="3203" customFormat="false" ht="15" hidden="false" customHeight="false" outlineLevel="0" collapsed="false">
      <c r="A3203" s="0" t="n">
        <v>37</v>
      </c>
      <c r="B3203" s="0" t="s">
        <v>60</v>
      </c>
      <c r="C3203" s="0" t="n">
        <v>2013</v>
      </c>
      <c r="D3203" s="0" t="n">
        <v>8</v>
      </c>
      <c r="E3203" s="38" t="n">
        <v>197577.32</v>
      </c>
    </row>
    <row r="3204" customFormat="false" ht="15" hidden="false" customHeight="false" outlineLevel="0" collapsed="false">
      <c r="A3204" s="0" t="n">
        <v>37</v>
      </c>
      <c r="B3204" s="0" t="s">
        <v>62</v>
      </c>
      <c r="C3204" s="0" t="n">
        <v>2011</v>
      </c>
      <c r="D3204" s="0" t="n">
        <v>1</v>
      </c>
      <c r="E3204" s="38" t="n">
        <v>30170.39</v>
      </c>
    </row>
    <row r="3205" customFormat="false" ht="15" hidden="false" customHeight="false" outlineLevel="0" collapsed="false">
      <c r="A3205" s="0" t="n">
        <v>37</v>
      </c>
      <c r="B3205" s="0" t="s">
        <v>62</v>
      </c>
      <c r="C3205" s="0" t="n">
        <v>2011</v>
      </c>
      <c r="D3205" s="0" t="n">
        <v>2</v>
      </c>
      <c r="E3205" s="38" t="n">
        <v>32097.13</v>
      </c>
    </row>
    <row r="3206" customFormat="false" ht="15" hidden="false" customHeight="false" outlineLevel="0" collapsed="false">
      <c r="A3206" s="0" t="n">
        <v>37</v>
      </c>
      <c r="B3206" s="0" t="s">
        <v>62</v>
      </c>
      <c r="C3206" s="0" t="n">
        <v>2011</v>
      </c>
      <c r="D3206" s="0" t="n">
        <v>3</v>
      </c>
      <c r="E3206" s="38" t="n">
        <v>30281.07</v>
      </c>
    </row>
    <row r="3207" customFormat="false" ht="15" hidden="false" customHeight="false" outlineLevel="0" collapsed="false">
      <c r="A3207" s="0" t="n">
        <v>37</v>
      </c>
      <c r="B3207" s="0" t="s">
        <v>62</v>
      </c>
      <c r="C3207" s="0" t="n">
        <v>2011</v>
      </c>
      <c r="D3207" s="0" t="n">
        <v>4</v>
      </c>
      <c r="E3207" s="38" t="n">
        <v>30157.29</v>
      </c>
    </row>
    <row r="3208" customFormat="false" ht="15" hidden="false" customHeight="false" outlineLevel="0" collapsed="false">
      <c r="A3208" s="0" t="n">
        <v>37</v>
      </c>
      <c r="B3208" s="0" t="s">
        <v>62</v>
      </c>
      <c r="C3208" s="0" t="n">
        <v>2011</v>
      </c>
      <c r="D3208" s="0" t="n">
        <v>5</v>
      </c>
      <c r="E3208" s="38" t="n">
        <v>30603.89</v>
      </c>
    </row>
    <row r="3209" customFormat="false" ht="15" hidden="false" customHeight="false" outlineLevel="0" collapsed="false">
      <c r="A3209" s="0" t="n">
        <v>37</v>
      </c>
      <c r="B3209" s="0" t="s">
        <v>62</v>
      </c>
      <c r="C3209" s="0" t="n">
        <v>2011</v>
      </c>
      <c r="D3209" s="0" t="n">
        <v>6</v>
      </c>
      <c r="E3209" s="38" t="n">
        <v>30885.17</v>
      </c>
    </row>
    <row r="3210" customFormat="false" ht="15" hidden="false" customHeight="false" outlineLevel="0" collapsed="false">
      <c r="A3210" s="0" t="n">
        <v>37</v>
      </c>
      <c r="B3210" s="0" t="s">
        <v>62</v>
      </c>
      <c r="C3210" s="0" t="n">
        <v>2011</v>
      </c>
      <c r="D3210" s="0" t="n">
        <v>7</v>
      </c>
      <c r="E3210" s="38" t="n">
        <v>29489.18</v>
      </c>
    </row>
    <row r="3211" customFormat="false" ht="15" hidden="false" customHeight="false" outlineLevel="0" collapsed="false">
      <c r="A3211" s="0" t="n">
        <v>37</v>
      </c>
      <c r="B3211" s="0" t="s">
        <v>62</v>
      </c>
      <c r="C3211" s="0" t="n">
        <v>2011</v>
      </c>
      <c r="D3211" s="0" t="n">
        <v>8</v>
      </c>
      <c r="E3211" s="38" t="n">
        <v>27858.32</v>
      </c>
    </row>
    <row r="3212" customFormat="false" ht="15" hidden="false" customHeight="false" outlineLevel="0" collapsed="false">
      <c r="A3212" s="0" t="n">
        <v>37</v>
      </c>
      <c r="B3212" s="0" t="s">
        <v>62</v>
      </c>
      <c r="C3212" s="0" t="n">
        <v>2011</v>
      </c>
      <c r="D3212" s="0" t="n">
        <v>9</v>
      </c>
      <c r="E3212" s="38" t="n">
        <v>30139.36</v>
      </c>
    </row>
    <row r="3213" customFormat="false" ht="15" hidden="false" customHeight="false" outlineLevel="0" collapsed="false">
      <c r="A3213" s="0" t="n">
        <v>37</v>
      </c>
      <c r="B3213" s="0" t="s">
        <v>62</v>
      </c>
      <c r="C3213" s="0" t="n">
        <v>2011</v>
      </c>
      <c r="D3213" s="0" t="n">
        <v>10</v>
      </c>
      <c r="E3213" s="38" t="n">
        <v>33517.19</v>
      </c>
    </row>
    <row r="3214" customFormat="false" ht="15" hidden="false" customHeight="false" outlineLevel="0" collapsed="false">
      <c r="A3214" s="0" t="n">
        <v>37</v>
      </c>
      <c r="B3214" s="0" t="s">
        <v>62</v>
      </c>
      <c r="C3214" s="0" t="n">
        <v>2011</v>
      </c>
      <c r="D3214" s="0" t="n">
        <v>11</v>
      </c>
      <c r="E3214" s="38" t="n">
        <v>34165.31</v>
      </c>
    </row>
    <row r="3215" customFormat="false" ht="15" hidden="false" customHeight="false" outlineLevel="0" collapsed="false">
      <c r="A3215" s="0" t="n">
        <v>37</v>
      </c>
      <c r="B3215" s="0" t="s">
        <v>62</v>
      </c>
      <c r="C3215" s="0" t="n">
        <v>2011</v>
      </c>
      <c r="D3215" s="0" t="n">
        <v>12</v>
      </c>
      <c r="E3215" s="38" t="n">
        <v>30545.58</v>
      </c>
    </row>
    <row r="3216" customFormat="false" ht="15" hidden="false" customHeight="false" outlineLevel="0" collapsed="false">
      <c r="A3216" s="0" t="n">
        <v>37</v>
      </c>
      <c r="B3216" s="0" t="s">
        <v>62</v>
      </c>
      <c r="C3216" s="0" t="n">
        <v>2012</v>
      </c>
      <c r="D3216" s="0" t="n">
        <v>1</v>
      </c>
      <c r="E3216" s="38" t="n">
        <v>27287.38</v>
      </c>
    </row>
    <row r="3217" customFormat="false" ht="15" hidden="false" customHeight="false" outlineLevel="0" collapsed="false">
      <c r="A3217" s="0" t="n">
        <v>37</v>
      </c>
      <c r="B3217" s="0" t="s">
        <v>62</v>
      </c>
      <c r="C3217" s="0" t="n">
        <v>2012</v>
      </c>
      <c r="D3217" s="0" t="n">
        <v>2</v>
      </c>
      <c r="E3217" s="38" t="n">
        <v>31777.4</v>
      </c>
    </row>
    <row r="3218" customFormat="false" ht="15" hidden="false" customHeight="false" outlineLevel="0" collapsed="false">
      <c r="A3218" s="0" t="n">
        <v>37</v>
      </c>
      <c r="B3218" s="0" t="s">
        <v>62</v>
      </c>
      <c r="C3218" s="0" t="n">
        <v>2012</v>
      </c>
      <c r="D3218" s="0" t="n">
        <v>3</v>
      </c>
      <c r="E3218" s="38" t="n">
        <v>28954.85</v>
      </c>
    </row>
    <row r="3219" customFormat="false" ht="15" hidden="false" customHeight="false" outlineLevel="0" collapsed="false">
      <c r="A3219" s="0" t="n">
        <v>37</v>
      </c>
      <c r="B3219" s="0" t="s">
        <v>62</v>
      </c>
      <c r="C3219" s="0" t="n">
        <v>2012</v>
      </c>
      <c r="D3219" s="0" t="n">
        <v>4</v>
      </c>
      <c r="E3219" s="38" t="n">
        <v>29720.67</v>
      </c>
    </row>
    <row r="3220" customFormat="false" ht="15" hidden="false" customHeight="false" outlineLevel="0" collapsed="false">
      <c r="A3220" s="0" t="n">
        <v>37</v>
      </c>
      <c r="B3220" s="0" t="s">
        <v>62</v>
      </c>
      <c r="C3220" s="0" t="n">
        <v>2012</v>
      </c>
      <c r="D3220" s="0" t="n">
        <v>5</v>
      </c>
      <c r="E3220" s="38" t="n">
        <v>30371.5</v>
      </c>
    </row>
    <row r="3221" customFormat="false" ht="15" hidden="false" customHeight="false" outlineLevel="0" collapsed="false">
      <c r="A3221" s="0" t="n">
        <v>37</v>
      </c>
      <c r="B3221" s="0" t="s">
        <v>62</v>
      </c>
      <c r="C3221" s="0" t="n">
        <v>2012</v>
      </c>
      <c r="D3221" s="0" t="n">
        <v>6</v>
      </c>
      <c r="E3221" s="38" t="n">
        <v>27542.71</v>
      </c>
    </row>
    <row r="3222" customFormat="false" ht="15" hidden="false" customHeight="false" outlineLevel="0" collapsed="false">
      <c r="A3222" s="0" t="n">
        <v>37</v>
      </c>
      <c r="B3222" s="0" t="s">
        <v>62</v>
      </c>
      <c r="C3222" s="0" t="n">
        <v>2012</v>
      </c>
      <c r="D3222" s="0" t="n">
        <v>7</v>
      </c>
      <c r="E3222" s="38" t="n">
        <v>31022.84</v>
      </c>
    </row>
    <row r="3223" customFormat="false" ht="15" hidden="false" customHeight="false" outlineLevel="0" collapsed="false">
      <c r="A3223" s="0" t="n">
        <v>37</v>
      </c>
      <c r="B3223" s="0" t="s">
        <v>62</v>
      </c>
      <c r="C3223" s="0" t="n">
        <v>2012</v>
      </c>
      <c r="D3223" s="0" t="n">
        <v>8</v>
      </c>
      <c r="E3223" s="38" t="n">
        <v>29081.88</v>
      </c>
    </row>
    <row r="3224" customFormat="false" ht="15" hidden="false" customHeight="false" outlineLevel="0" collapsed="false">
      <c r="A3224" s="0" t="n">
        <v>37</v>
      </c>
      <c r="B3224" s="0" t="s">
        <v>62</v>
      </c>
      <c r="C3224" s="0" t="n">
        <v>2012</v>
      </c>
      <c r="D3224" s="0" t="n">
        <v>9</v>
      </c>
      <c r="E3224" s="38" t="n">
        <v>33506.73</v>
      </c>
    </row>
    <row r="3225" customFormat="false" ht="15" hidden="false" customHeight="false" outlineLevel="0" collapsed="false">
      <c r="A3225" s="0" t="n">
        <v>37</v>
      </c>
      <c r="B3225" s="0" t="s">
        <v>62</v>
      </c>
      <c r="C3225" s="0" t="n">
        <v>2012</v>
      </c>
      <c r="D3225" s="0" t="n">
        <v>10</v>
      </c>
      <c r="E3225" s="38" t="n">
        <v>33552.37</v>
      </c>
    </row>
    <row r="3226" customFormat="false" ht="15" hidden="false" customHeight="false" outlineLevel="0" collapsed="false">
      <c r="A3226" s="0" t="n">
        <v>37</v>
      </c>
      <c r="B3226" s="0" t="s">
        <v>62</v>
      </c>
      <c r="C3226" s="0" t="n">
        <v>2012</v>
      </c>
      <c r="D3226" s="0" t="n">
        <v>11</v>
      </c>
      <c r="E3226" s="38" t="n">
        <v>34246.09</v>
      </c>
    </row>
    <row r="3227" customFormat="false" ht="15" hidden="false" customHeight="false" outlineLevel="0" collapsed="false">
      <c r="A3227" s="0" t="n">
        <v>37</v>
      </c>
      <c r="B3227" s="0" t="s">
        <v>62</v>
      </c>
      <c r="C3227" s="0" t="n">
        <v>2012</v>
      </c>
      <c r="D3227" s="0" t="n">
        <v>12</v>
      </c>
      <c r="E3227" s="38" t="n">
        <v>30236.24</v>
      </c>
    </row>
    <row r="3228" customFormat="false" ht="15" hidden="false" customHeight="false" outlineLevel="0" collapsed="false">
      <c r="A3228" s="0" t="n">
        <v>37</v>
      </c>
      <c r="B3228" s="0" t="s">
        <v>62</v>
      </c>
      <c r="C3228" s="0" t="n">
        <v>2013</v>
      </c>
      <c r="D3228" s="0" t="n">
        <v>1</v>
      </c>
      <c r="E3228" s="38" t="n">
        <v>31599.67</v>
      </c>
    </row>
    <row r="3229" customFormat="false" ht="15" hidden="false" customHeight="false" outlineLevel="0" collapsed="false">
      <c r="A3229" s="0" t="n">
        <v>37</v>
      </c>
      <c r="B3229" s="0" t="s">
        <v>62</v>
      </c>
      <c r="C3229" s="0" t="n">
        <v>2013</v>
      </c>
      <c r="D3229" s="0" t="n">
        <v>2</v>
      </c>
      <c r="E3229" s="38" t="n">
        <v>33906.02</v>
      </c>
    </row>
    <row r="3230" customFormat="false" ht="15" hidden="false" customHeight="false" outlineLevel="0" collapsed="false">
      <c r="A3230" s="0" t="n">
        <v>37</v>
      </c>
      <c r="B3230" s="0" t="s">
        <v>62</v>
      </c>
      <c r="C3230" s="0" t="n">
        <v>2013</v>
      </c>
      <c r="D3230" s="0" t="n">
        <v>3</v>
      </c>
      <c r="E3230" s="38" t="n">
        <v>28808.45</v>
      </c>
    </row>
    <row r="3231" customFormat="false" ht="15" hidden="false" customHeight="false" outlineLevel="0" collapsed="false">
      <c r="A3231" s="0" t="n">
        <v>37</v>
      </c>
      <c r="B3231" s="0" t="s">
        <v>62</v>
      </c>
      <c r="C3231" s="0" t="n">
        <v>2013</v>
      </c>
      <c r="D3231" s="0" t="n">
        <v>4</v>
      </c>
      <c r="E3231" s="38" t="n">
        <v>29861.32</v>
      </c>
    </row>
    <row r="3232" customFormat="false" ht="15" hidden="false" customHeight="false" outlineLevel="0" collapsed="false">
      <c r="A3232" s="0" t="n">
        <v>37</v>
      </c>
      <c r="B3232" s="0" t="s">
        <v>62</v>
      </c>
      <c r="C3232" s="0" t="n">
        <v>2013</v>
      </c>
      <c r="D3232" s="0" t="n">
        <v>5</v>
      </c>
      <c r="E3232" s="38" t="n">
        <v>29044.57</v>
      </c>
    </row>
    <row r="3233" customFormat="false" ht="15" hidden="false" customHeight="false" outlineLevel="0" collapsed="false">
      <c r="A3233" s="0" t="n">
        <v>37</v>
      </c>
      <c r="B3233" s="0" t="s">
        <v>62</v>
      </c>
      <c r="C3233" s="0" t="n">
        <v>2013</v>
      </c>
      <c r="D3233" s="0" t="n">
        <v>6</v>
      </c>
      <c r="E3233" s="38" t="n">
        <v>27666.61</v>
      </c>
    </row>
    <row r="3234" customFormat="false" ht="15" hidden="false" customHeight="false" outlineLevel="0" collapsed="false">
      <c r="A3234" s="0" t="n">
        <v>37</v>
      </c>
      <c r="B3234" s="0" t="s">
        <v>62</v>
      </c>
      <c r="C3234" s="0" t="n">
        <v>2013</v>
      </c>
      <c r="D3234" s="0" t="n">
        <v>7</v>
      </c>
      <c r="E3234" s="38" t="n">
        <v>28341.88</v>
      </c>
    </row>
    <row r="3235" customFormat="false" ht="15" hidden="false" customHeight="false" outlineLevel="0" collapsed="false">
      <c r="A3235" s="0" t="n">
        <v>37</v>
      </c>
      <c r="B3235" s="0" t="s">
        <v>62</v>
      </c>
      <c r="C3235" s="0" t="n">
        <v>2013</v>
      </c>
      <c r="D3235" s="0" t="n">
        <v>8</v>
      </c>
      <c r="E3235" s="38" t="n">
        <v>28955.18</v>
      </c>
    </row>
    <row r="3236" customFormat="false" ht="15" hidden="false" customHeight="false" outlineLevel="0" collapsed="false">
      <c r="A3236" s="0" t="n">
        <v>38</v>
      </c>
      <c r="B3236" s="0" t="s">
        <v>60</v>
      </c>
      <c r="C3236" s="0" t="n">
        <v>2011</v>
      </c>
      <c r="D3236" s="0" t="n">
        <v>1</v>
      </c>
      <c r="E3236" s="38" t="n">
        <v>5880173.52</v>
      </c>
    </row>
    <row r="3237" customFormat="false" ht="15" hidden="false" customHeight="false" outlineLevel="0" collapsed="false">
      <c r="A3237" s="0" t="n">
        <v>38</v>
      </c>
      <c r="B3237" s="0" t="s">
        <v>60</v>
      </c>
      <c r="C3237" s="0" t="n">
        <v>2011</v>
      </c>
      <c r="D3237" s="0" t="n">
        <v>2</v>
      </c>
      <c r="E3237" s="38" t="n">
        <v>6576226.79</v>
      </c>
    </row>
    <row r="3238" customFormat="false" ht="15" hidden="false" customHeight="false" outlineLevel="0" collapsed="false">
      <c r="A3238" s="0" t="n">
        <v>38</v>
      </c>
      <c r="B3238" s="0" t="s">
        <v>60</v>
      </c>
      <c r="C3238" s="0" t="n">
        <v>2011</v>
      </c>
      <c r="D3238" s="0" t="n">
        <v>3</v>
      </c>
      <c r="E3238" s="38" t="n">
        <v>6184453.61</v>
      </c>
    </row>
    <row r="3239" customFormat="false" ht="15" hidden="false" customHeight="false" outlineLevel="0" collapsed="false">
      <c r="A3239" s="0" t="n">
        <v>38</v>
      </c>
      <c r="B3239" s="0" t="s">
        <v>60</v>
      </c>
      <c r="C3239" s="0" t="n">
        <v>2011</v>
      </c>
      <c r="D3239" s="0" t="n">
        <v>4</v>
      </c>
      <c r="E3239" s="38" t="n">
        <v>6355094.4</v>
      </c>
    </row>
    <row r="3240" customFormat="false" ht="15" hidden="false" customHeight="false" outlineLevel="0" collapsed="false">
      <c r="A3240" s="0" t="n">
        <v>38</v>
      </c>
      <c r="B3240" s="0" t="s">
        <v>60</v>
      </c>
      <c r="C3240" s="0" t="n">
        <v>2011</v>
      </c>
      <c r="D3240" s="0" t="n">
        <v>5</v>
      </c>
      <c r="E3240" s="38" t="n">
        <v>5959220.55</v>
      </c>
    </row>
    <row r="3241" customFormat="false" ht="15" hidden="false" customHeight="false" outlineLevel="0" collapsed="false">
      <c r="A3241" s="0" t="n">
        <v>38</v>
      </c>
      <c r="B3241" s="0" t="s">
        <v>60</v>
      </c>
      <c r="C3241" s="0" t="n">
        <v>2011</v>
      </c>
      <c r="D3241" s="0" t="n">
        <v>6</v>
      </c>
      <c r="E3241" s="38" t="n">
        <v>5978632.58</v>
      </c>
    </row>
    <row r="3242" customFormat="false" ht="15" hidden="false" customHeight="false" outlineLevel="0" collapsed="false">
      <c r="A3242" s="0" t="n">
        <v>38</v>
      </c>
      <c r="B3242" s="0" t="s">
        <v>60</v>
      </c>
      <c r="C3242" s="0" t="n">
        <v>2011</v>
      </c>
      <c r="D3242" s="0" t="n">
        <v>7</v>
      </c>
      <c r="E3242" s="38" t="n">
        <v>6075906.26</v>
      </c>
    </row>
    <row r="3243" customFormat="false" ht="15" hidden="false" customHeight="false" outlineLevel="0" collapsed="false">
      <c r="A3243" s="0" t="n">
        <v>38</v>
      </c>
      <c r="B3243" s="0" t="s">
        <v>60</v>
      </c>
      <c r="C3243" s="0" t="n">
        <v>2011</v>
      </c>
      <c r="D3243" s="0" t="n">
        <v>8</v>
      </c>
      <c r="E3243" s="38" t="n">
        <v>5934521.7</v>
      </c>
    </row>
    <row r="3244" customFormat="false" ht="15" hidden="false" customHeight="false" outlineLevel="0" collapsed="false">
      <c r="A3244" s="0" t="n">
        <v>38</v>
      </c>
      <c r="B3244" s="0" t="s">
        <v>60</v>
      </c>
      <c r="C3244" s="0" t="n">
        <v>2011</v>
      </c>
      <c r="D3244" s="0" t="n">
        <v>9</v>
      </c>
      <c r="E3244" s="38" t="n">
        <v>6195236.05</v>
      </c>
    </row>
    <row r="3245" customFormat="false" ht="15" hidden="false" customHeight="false" outlineLevel="0" collapsed="false">
      <c r="A3245" s="0" t="n">
        <v>38</v>
      </c>
      <c r="B3245" s="0" t="s">
        <v>60</v>
      </c>
      <c r="C3245" s="0" t="n">
        <v>2011</v>
      </c>
      <c r="D3245" s="0" t="n">
        <v>10</v>
      </c>
      <c r="E3245" s="38" t="n">
        <v>5812833.19</v>
      </c>
    </row>
    <row r="3246" customFormat="false" ht="15" hidden="false" customHeight="false" outlineLevel="0" collapsed="false">
      <c r="A3246" s="0" t="n">
        <v>38</v>
      </c>
      <c r="B3246" s="0" t="s">
        <v>60</v>
      </c>
      <c r="C3246" s="0" t="n">
        <v>2011</v>
      </c>
      <c r="D3246" s="0" t="n">
        <v>11</v>
      </c>
      <c r="E3246" s="38" t="n">
        <v>6069243.91</v>
      </c>
    </row>
    <row r="3247" customFormat="false" ht="15" hidden="false" customHeight="false" outlineLevel="0" collapsed="false">
      <c r="A3247" s="0" t="n">
        <v>38</v>
      </c>
      <c r="B3247" s="0" t="s">
        <v>60</v>
      </c>
      <c r="C3247" s="0" t="n">
        <v>2011</v>
      </c>
      <c r="D3247" s="0" t="n">
        <v>12</v>
      </c>
      <c r="E3247" s="38" t="n">
        <v>6648988.35</v>
      </c>
    </row>
    <row r="3248" customFormat="false" ht="15" hidden="false" customHeight="false" outlineLevel="0" collapsed="false">
      <c r="A3248" s="0" t="n">
        <v>38</v>
      </c>
      <c r="B3248" s="0" t="s">
        <v>60</v>
      </c>
      <c r="C3248" s="0" t="n">
        <v>2012</v>
      </c>
      <c r="D3248" s="0" t="n">
        <v>1</v>
      </c>
      <c r="E3248" s="38" t="n">
        <v>5869658.98</v>
      </c>
    </row>
    <row r="3249" customFormat="false" ht="15" hidden="false" customHeight="false" outlineLevel="0" collapsed="false">
      <c r="A3249" s="0" t="n">
        <v>38</v>
      </c>
      <c r="B3249" s="0" t="s">
        <v>60</v>
      </c>
      <c r="C3249" s="0" t="n">
        <v>2012</v>
      </c>
      <c r="D3249" s="0" t="n">
        <v>2</v>
      </c>
      <c r="E3249" s="38" t="n">
        <v>6400761.12</v>
      </c>
    </row>
    <row r="3250" customFormat="false" ht="15" hidden="false" customHeight="false" outlineLevel="0" collapsed="false">
      <c r="A3250" s="0" t="n">
        <v>38</v>
      </c>
      <c r="B3250" s="0" t="s">
        <v>60</v>
      </c>
      <c r="C3250" s="0" t="n">
        <v>2012</v>
      </c>
      <c r="D3250" s="0" t="n">
        <v>3</v>
      </c>
      <c r="E3250" s="38" t="n">
        <v>6195448.62</v>
      </c>
    </row>
    <row r="3251" customFormat="false" ht="15" hidden="false" customHeight="false" outlineLevel="0" collapsed="false">
      <c r="A3251" s="0" t="n">
        <v>38</v>
      </c>
      <c r="B3251" s="0" t="s">
        <v>60</v>
      </c>
      <c r="C3251" s="0" t="n">
        <v>2012</v>
      </c>
      <c r="D3251" s="0" t="n">
        <v>4</v>
      </c>
      <c r="E3251" s="38" t="n">
        <v>6353567.7</v>
      </c>
    </row>
    <row r="3252" customFormat="false" ht="15" hidden="false" customHeight="false" outlineLevel="0" collapsed="false">
      <c r="A3252" s="0" t="n">
        <v>38</v>
      </c>
      <c r="B3252" s="0" t="s">
        <v>60</v>
      </c>
      <c r="C3252" s="0" t="n">
        <v>2012</v>
      </c>
      <c r="D3252" s="0" t="n">
        <v>5</v>
      </c>
      <c r="E3252" s="38" t="n">
        <v>6049028.49</v>
      </c>
    </row>
    <row r="3253" customFormat="false" ht="15" hidden="false" customHeight="false" outlineLevel="0" collapsed="false">
      <c r="A3253" s="0" t="n">
        <v>38</v>
      </c>
      <c r="B3253" s="0" t="s">
        <v>60</v>
      </c>
      <c r="C3253" s="0" t="n">
        <v>2012</v>
      </c>
      <c r="D3253" s="0" t="n">
        <v>6</v>
      </c>
      <c r="E3253" s="38" t="n">
        <v>6093445.77</v>
      </c>
    </row>
    <row r="3254" customFormat="false" ht="15" hidden="false" customHeight="false" outlineLevel="0" collapsed="false">
      <c r="A3254" s="0" t="n">
        <v>38</v>
      </c>
      <c r="B3254" s="0" t="s">
        <v>60</v>
      </c>
      <c r="C3254" s="0" t="n">
        <v>2012</v>
      </c>
      <c r="D3254" s="0" t="n">
        <v>7</v>
      </c>
      <c r="E3254" s="38" t="n">
        <v>6273717.56</v>
      </c>
    </row>
    <row r="3255" customFormat="false" ht="15" hidden="false" customHeight="false" outlineLevel="0" collapsed="false">
      <c r="A3255" s="0" t="n">
        <v>38</v>
      </c>
      <c r="B3255" s="0" t="s">
        <v>60</v>
      </c>
      <c r="C3255" s="0" t="n">
        <v>2012</v>
      </c>
      <c r="D3255" s="0" t="n">
        <v>8</v>
      </c>
      <c r="E3255" s="38" t="n">
        <v>6079553.26</v>
      </c>
    </row>
    <row r="3256" customFormat="false" ht="15" hidden="false" customHeight="false" outlineLevel="0" collapsed="false">
      <c r="A3256" s="0" t="n">
        <v>38</v>
      </c>
      <c r="B3256" s="0" t="s">
        <v>60</v>
      </c>
      <c r="C3256" s="0" t="n">
        <v>2012</v>
      </c>
      <c r="D3256" s="0" t="n">
        <v>9</v>
      </c>
      <c r="E3256" s="38" t="n">
        <v>6407519.81</v>
      </c>
    </row>
    <row r="3257" customFormat="false" ht="15" hidden="false" customHeight="false" outlineLevel="0" collapsed="false">
      <c r="A3257" s="0" t="n">
        <v>38</v>
      </c>
      <c r="B3257" s="0" t="s">
        <v>60</v>
      </c>
      <c r="C3257" s="0" t="n">
        <v>2012</v>
      </c>
      <c r="D3257" s="0" t="n">
        <v>10</v>
      </c>
      <c r="E3257" s="38" t="n">
        <v>6108746.78</v>
      </c>
    </row>
    <row r="3258" customFormat="false" ht="15" hidden="false" customHeight="false" outlineLevel="0" collapsed="false">
      <c r="A3258" s="0" t="n">
        <v>38</v>
      </c>
      <c r="B3258" s="0" t="s">
        <v>60</v>
      </c>
      <c r="C3258" s="0" t="n">
        <v>2012</v>
      </c>
      <c r="D3258" s="0" t="n">
        <v>11</v>
      </c>
      <c r="E3258" s="38" t="n">
        <v>6378907.19</v>
      </c>
    </row>
    <row r="3259" customFormat="false" ht="15" hidden="false" customHeight="false" outlineLevel="0" collapsed="false">
      <c r="A3259" s="0" t="n">
        <v>38</v>
      </c>
      <c r="B3259" s="0" t="s">
        <v>60</v>
      </c>
      <c r="C3259" s="0" t="n">
        <v>2012</v>
      </c>
      <c r="D3259" s="0" t="n">
        <v>12</v>
      </c>
      <c r="E3259" s="38" t="n">
        <v>6821821.48</v>
      </c>
    </row>
    <row r="3260" customFormat="false" ht="15" hidden="false" customHeight="false" outlineLevel="0" collapsed="false">
      <c r="A3260" s="0" t="n">
        <v>38</v>
      </c>
      <c r="B3260" s="0" t="s">
        <v>60</v>
      </c>
      <c r="C3260" s="0" t="n">
        <v>2013</v>
      </c>
      <c r="D3260" s="0" t="n">
        <v>1</v>
      </c>
      <c r="E3260" s="38" t="n">
        <v>6349332.39</v>
      </c>
    </row>
    <row r="3261" customFormat="false" ht="15" hidden="false" customHeight="false" outlineLevel="0" collapsed="false">
      <c r="A3261" s="0" t="n">
        <v>38</v>
      </c>
      <c r="B3261" s="0" t="s">
        <v>60</v>
      </c>
      <c r="C3261" s="0" t="n">
        <v>2013</v>
      </c>
      <c r="D3261" s="0" t="n">
        <v>2</v>
      </c>
      <c r="E3261" s="38" t="n">
        <v>6730089.13</v>
      </c>
    </row>
    <row r="3262" customFormat="false" ht="15" hidden="false" customHeight="false" outlineLevel="0" collapsed="false">
      <c r="A3262" s="0" t="n">
        <v>38</v>
      </c>
      <c r="B3262" s="0" t="s">
        <v>60</v>
      </c>
      <c r="C3262" s="0" t="n">
        <v>2013</v>
      </c>
      <c r="D3262" s="0" t="n">
        <v>3</v>
      </c>
      <c r="E3262" s="38" t="n">
        <v>6465680.92</v>
      </c>
    </row>
    <row r="3263" customFormat="false" ht="15" hidden="false" customHeight="false" outlineLevel="0" collapsed="false">
      <c r="A3263" s="0" t="n">
        <v>38</v>
      </c>
      <c r="B3263" s="0" t="s">
        <v>60</v>
      </c>
      <c r="C3263" s="0" t="n">
        <v>2013</v>
      </c>
      <c r="D3263" s="0" t="n">
        <v>4</v>
      </c>
      <c r="E3263" s="38" t="n">
        <v>6395851.07</v>
      </c>
    </row>
    <row r="3264" customFormat="false" ht="15" hidden="false" customHeight="false" outlineLevel="0" collapsed="false">
      <c r="A3264" s="0" t="n">
        <v>38</v>
      </c>
      <c r="B3264" s="0" t="s">
        <v>60</v>
      </c>
      <c r="C3264" s="0" t="n">
        <v>2013</v>
      </c>
      <c r="D3264" s="0" t="n">
        <v>5</v>
      </c>
      <c r="E3264" s="38" t="n">
        <v>5939943.8</v>
      </c>
    </row>
    <row r="3265" customFormat="false" ht="15" hidden="false" customHeight="false" outlineLevel="0" collapsed="false">
      <c r="A3265" s="0" t="n">
        <v>38</v>
      </c>
      <c r="B3265" s="0" t="s">
        <v>60</v>
      </c>
      <c r="C3265" s="0" t="n">
        <v>2013</v>
      </c>
      <c r="D3265" s="0" t="n">
        <v>6</v>
      </c>
      <c r="E3265" s="38" t="n">
        <v>6260721.42</v>
      </c>
    </row>
    <row r="3266" customFormat="false" ht="15" hidden="false" customHeight="false" outlineLevel="0" collapsed="false">
      <c r="A3266" s="0" t="n">
        <v>38</v>
      </c>
      <c r="B3266" s="0" t="s">
        <v>60</v>
      </c>
      <c r="C3266" s="0" t="n">
        <v>2013</v>
      </c>
      <c r="D3266" s="0" t="n">
        <v>7</v>
      </c>
      <c r="E3266" s="38" t="n">
        <v>6129943.12</v>
      </c>
    </row>
    <row r="3267" customFormat="false" ht="15" hidden="false" customHeight="false" outlineLevel="0" collapsed="false">
      <c r="A3267" s="0" t="n">
        <v>38</v>
      </c>
      <c r="B3267" s="0" t="s">
        <v>60</v>
      </c>
      <c r="C3267" s="0" t="n">
        <v>2013</v>
      </c>
      <c r="D3267" s="0" t="n">
        <v>8</v>
      </c>
      <c r="E3267" s="38" t="n">
        <v>5926093.4</v>
      </c>
    </row>
    <row r="3268" customFormat="false" ht="15" hidden="false" customHeight="false" outlineLevel="0" collapsed="false">
      <c r="A3268" s="0" t="n">
        <v>38</v>
      </c>
      <c r="B3268" s="0" t="s">
        <v>62</v>
      </c>
      <c r="C3268" s="0" t="n">
        <v>2011</v>
      </c>
      <c r="D3268" s="0" t="n">
        <v>1</v>
      </c>
      <c r="E3268" s="38" t="n">
        <v>4000670.81</v>
      </c>
    </row>
    <row r="3269" customFormat="false" ht="15" hidden="false" customHeight="false" outlineLevel="0" collapsed="false">
      <c r="A3269" s="0" t="n">
        <v>38</v>
      </c>
      <c r="B3269" s="0" t="s">
        <v>62</v>
      </c>
      <c r="C3269" s="0" t="n">
        <v>2011</v>
      </c>
      <c r="D3269" s="0" t="n">
        <v>2</v>
      </c>
      <c r="E3269" s="38" t="n">
        <v>4415265.57</v>
      </c>
    </row>
    <row r="3270" customFormat="false" ht="15" hidden="false" customHeight="false" outlineLevel="0" collapsed="false">
      <c r="A3270" s="0" t="n">
        <v>38</v>
      </c>
      <c r="B3270" s="0" t="s">
        <v>62</v>
      </c>
      <c r="C3270" s="0" t="n">
        <v>2011</v>
      </c>
      <c r="D3270" s="0" t="n">
        <v>3</v>
      </c>
      <c r="E3270" s="38" t="n">
        <v>4225449.76</v>
      </c>
    </row>
    <row r="3271" customFormat="false" ht="15" hidden="false" customHeight="false" outlineLevel="0" collapsed="false">
      <c r="A3271" s="0" t="n">
        <v>38</v>
      </c>
      <c r="B3271" s="0" t="s">
        <v>62</v>
      </c>
      <c r="C3271" s="0" t="n">
        <v>2011</v>
      </c>
      <c r="D3271" s="0" t="n">
        <v>4</v>
      </c>
      <c r="E3271" s="38" t="n">
        <v>4301992.84</v>
      </c>
    </row>
    <row r="3272" customFormat="false" ht="15" hidden="false" customHeight="false" outlineLevel="0" collapsed="false">
      <c r="A3272" s="0" t="n">
        <v>38</v>
      </c>
      <c r="B3272" s="0" t="s">
        <v>62</v>
      </c>
      <c r="C3272" s="0" t="n">
        <v>2011</v>
      </c>
      <c r="D3272" s="0" t="n">
        <v>5</v>
      </c>
      <c r="E3272" s="38" t="n">
        <v>4112408.2</v>
      </c>
    </row>
    <row r="3273" customFormat="false" ht="15" hidden="false" customHeight="false" outlineLevel="0" collapsed="false">
      <c r="A3273" s="0" t="n">
        <v>38</v>
      </c>
      <c r="B3273" s="0" t="s">
        <v>62</v>
      </c>
      <c r="C3273" s="0" t="n">
        <v>2011</v>
      </c>
      <c r="D3273" s="0" t="n">
        <v>6</v>
      </c>
      <c r="E3273" s="38" t="n">
        <v>4257648.56</v>
      </c>
    </row>
    <row r="3274" customFormat="false" ht="15" hidden="false" customHeight="false" outlineLevel="0" collapsed="false">
      <c r="A3274" s="0" t="n">
        <v>38</v>
      </c>
      <c r="B3274" s="0" t="s">
        <v>62</v>
      </c>
      <c r="C3274" s="0" t="n">
        <v>2011</v>
      </c>
      <c r="D3274" s="0" t="n">
        <v>7</v>
      </c>
      <c r="E3274" s="38" t="n">
        <v>4267823.46</v>
      </c>
    </row>
    <row r="3275" customFormat="false" ht="15" hidden="false" customHeight="false" outlineLevel="0" collapsed="false">
      <c r="A3275" s="0" t="n">
        <v>38</v>
      </c>
      <c r="B3275" s="0" t="s">
        <v>62</v>
      </c>
      <c r="C3275" s="0" t="n">
        <v>2011</v>
      </c>
      <c r="D3275" s="0" t="n">
        <v>8</v>
      </c>
      <c r="E3275" s="38" t="n">
        <v>4180726.2</v>
      </c>
    </row>
    <row r="3276" customFormat="false" ht="15" hidden="false" customHeight="false" outlineLevel="0" collapsed="false">
      <c r="A3276" s="0" t="n">
        <v>38</v>
      </c>
      <c r="B3276" s="0" t="s">
        <v>62</v>
      </c>
      <c r="C3276" s="0" t="n">
        <v>2011</v>
      </c>
      <c r="D3276" s="0" t="n">
        <v>9</v>
      </c>
      <c r="E3276" s="38" t="n">
        <v>4262946.4</v>
      </c>
    </row>
    <row r="3277" customFormat="false" ht="15" hidden="false" customHeight="false" outlineLevel="0" collapsed="false">
      <c r="A3277" s="0" t="n">
        <v>38</v>
      </c>
      <c r="B3277" s="0" t="s">
        <v>62</v>
      </c>
      <c r="C3277" s="0" t="n">
        <v>2011</v>
      </c>
      <c r="D3277" s="0" t="n">
        <v>10</v>
      </c>
      <c r="E3277" s="38" t="n">
        <v>4067562.17</v>
      </c>
    </row>
    <row r="3278" customFormat="false" ht="15" hidden="false" customHeight="false" outlineLevel="0" collapsed="false">
      <c r="A3278" s="0" t="n">
        <v>38</v>
      </c>
      <c r="B3278" s="0" t="s">
        <v>62</v>
      </c>
      <c r="C3278" s="0" t="n">
        <v>2011</v>
      </c>
      <c r="D3278" s="0" t="n">
        <v>11</v>
      </c>
      <c r="E3278" s="38" t="n">
        <v>4273744.1</v>
      </c>
    </row>
    <row r="3279" customFormat="false" ht="15" hidden="false" customHeight="false" outlineLevel="0" collapsed="false">
      <c r="A3279" s="0" t="n">
        <v>38</v>
      </c>
      <c r="B3279" s="0" t="s">
        <v>62</v>
      </c>
      <c r="C3279" s="0" t="n">
        <v>2011</v>
      </c>
      <c r="D3279" s="0" t="n">
        <v>12</v>
      </c>
      <c r="E3279" s="38" t="n">
        <v>4613895.05</v>
      </c>
    </row>
    <row r="3280" customFormat="false" ht="15" hidden="false" customHeight="false" outlineLevel="0" collapsed="false">
      <c r="A3280" s="0" t="n">
        <v>38</v>
      </c>
      <c r="B3280" s="0" t="s">
        <v>62</v>
      </c>
      <c r="C3280" s="0" t="n">
        <v>2012</v>
      </c>
      <c r="D3280" s="0" t="n">
        <v>1</v>
      </c>
      <c r="E3280" s="38" t="n">
        <v>4124422.84</v>
      </c>
    </row>
    <row r="3281" customFormat="false" ht="15" hidden="false" customHeight="false" outlineLevel="0" collapsed="false">
      <c r="A3281" s="0" t="n">
        <v>38</v>
      </c>
      <c r="B3281" s="0" t="s">
        <v>62</v>
      </c>
      <c r="C3281" s="0" t="n">
        <v>2012</v>
      </c>
      <c r="D3281" s="0" t="n">
        <v>2</v>
      </c>
      <c r="E3281" s="38" t="n">
        <v>4561248.34</v>
      </c>
    </row>
    <row r="3282" customFormat="false" ht="15" hidden="false" customHeight="false" outlineLevel="0" collapsed="false">
      <c r="A3282" s="0" t="n">
        <v>38</v>
      </c>
      <c r="B3282" s="0" t="s">
        <v>62</v>
      </c>
      <c r="C3282" s="0" t="n">
        <v>2012</v>
      </c>
      <c r="D3282" s="0" t="n">
        <v>3</v>
      </c>
      <c r="E3282" s="38" t="n">
        <v>4178007.38</v>
      </c>
    </row>
    <row r="3283" customFormat="false" ht="15" hidden="false" customHeight="false" outlineLevel="0" collapsed="false">
      <c r="A3283" s="0" t="n">
        <v>38</v>
      </c>
      <c r="B3283" s="0" t="s">
        <v>62</v>
      </c>
      <c r="C3283" s="0" t="n">
        <v>2012</v>
      </c>
      <c r="D3283" s="0" t="n">
        <v>4</v>
      </c>
      <c r="E3283" s="38" t="n">
        <v>4405630.47</v>
      </c>
    </row>
    <row r="3284" customFormat="false" ht="15" hidden="false" customHeight="false" outlineLevel="0" collapsed="false">
      <c r="A3284" s="0" t="n">
        <v>38</v>
      </c>
      <c r="B3284" s="0" t="s">
        <v>62</v>
      </c>
      <c r="C3284" s="0" t="n">
        <v>2012</v>
      </c>
      <c r="D3284" s="0" t="n">
        <v>5</v>
      </c>
      <c r="E3284" s="38" t="n">
        <v>4244419.94</v>
      </c>
    </row>
    <row r="3285" customFormat="false" ht="15" hidden="false" customHeight="false" outlineLevel="0" collapsed="false">
      <c r="A3285" s="0" t="n">
        <v>38</v>
      </c>
      <c r="B3285" s="0" t="s">
        <v>62</v>
      </c>
      <c r="C3285" s="0" t="n">
        <v>2012</v>
      </c>
      <c r="D3285" s="0" t="n">
        <v>6</v>
      </c>
      <c r="E3285" s="38" t="n">
        <v>4285743.21</v>
      </c>
    </row>
    <row r="3286" customFormat="false" ht="15" hidden="false" customHeight="false" outlineLevel="0" collapsed="false">
      <c r="A3286" s="0" t="n">
        <v>38</v>
      </c>
      <c r="B3286" s="0" t="s">
        <v>62</v>
      </c>
      <c r="C3286" s="0" t="n">
        <v>2012</v>
      </c>
      <c r="D3286" s="0" t="n">
        <v>7</v>
      </c>
      <c r="E3286" s="38" t="n">
        <v>4398413.86</v>
      </c>
    </row>
    <row r="3287" customFormat="false" ht="15" hidden="false" customHeight="false" outlineLevel="0" collapsed="false">
      <c r="A3287" s="0" t="n">
        <v>38</v>
      </c>
      <c r="B3287" s="0" t="s">
        <v>62</v>
      </c>
      <c r="C3287" s="0" t="n">
        <v>2012</v>
      </c>
      <c r="D3287" s="0" t="n">
        <v>8</v>
      </c>
      <c r="E3287" s="38" t="n">
        <v>4242465.08</v>
      </c>
    </row>
    <row r="3288" customFormat="false" ht="15" hidden="false" customHeight="false" outlineLevel="0" collapsed="false">
      <c r="A3288" s="0" t="n">
        <v>38</v>
      </c>
      <c r="B3288" s="0" t="s">
        <v>62</v>
      </c>
      <c r="C3288" s="0" t="n">
        <v>2012</v>
      </c>
      <c r="D3288" s="0" t="n">
        <v>9</v>
      </c>
      <c r="E3288" s="38" t="n">
        <v>4388828.77</v>
      </c>
    </row>
    <row r="3289" customFormat="false" ht="15" hidden="false" customHeight="false" outlineLevel="0" collapsed="false">
      <c r="A3289" s="0" t="n">
        <v>38</v>
      </c>
      <c r="B3289" s="0" t="s">
        <v>62</v>
      </c>
      <c r="C3289" s="0" t="n">
        <v>2012</v>
      </c>
      <c r="D3289" s="0" t="n">
        <v>10</v>
      </c>
      <c r="E3289" s="38" t="n">
        <v>4243567.8</v>
      </c>
    </row>
    <row r="3290" customFormat="false" ht="15" hidden="false" customHeight="false" outlineLevel="0" collapsed="false">
      <c r="A3290" s="0" t="n">
        <v>38</v>
      </c>
      <c r="B3290" s="0" t="s">
        <v>62</v>
      </c>
      <c r="C3290" s="0" t="n">
        <v>2012</v>
      </c>
      <c r="D3290" s="0" t="n">
        <v>11</v>
      </c>
      <c r="E3290" s="38" t="n">
        <v>4404055.52</v>
      </c>
    </row>
    <row r="3291" customFormat="false" ht="15" hidden="false" customHeight="false" outlineLevel="0" collapsed="false">
      <c r="A3291" s="0" t="n">
        <v>38</v>
      </c>
      <c r="B3291" s="0" t="s">
        <v>62</v>
      </c>
      <c r="C3291" s="0" t="n">
        <v>2012</v>
      </c>
      <c r="D3291" s="0" t="n">
        <v>12</v>
      </c>
      <c r="E3291" s="38" t="n">
        <v>4710650.37</v>
      </c>
    </row>
    <row r="3292" customFormat="false" ht="15" hidden="false" customHeight="false" outlineLevel="0" collapsed="false">
      <c r="A3292" s="0" t="n">
        <v>38</v>
      </c>
      <c r="B3292" s="0" t="s">
        <v>62</v>
      </c>
      <c r="C3292" s="0" t="n">
        <v>2013</v>
      </c>
      <c r="D3292" s="0" t="n">
        <v>1</v>
      </c>
      <c r="E3292" s="38" t="n">
        <v>4394012.62</v>
      </c>
    </row>
    <row r="3293" customFormat="false" ht="15" hidden="false" customHeight="false" outlineLevel="0" collapsed="false">
      <c r="A3293" s="0" t="n">
        <v>38</v>
      </c>
      <c r="B3293" s="0" t="s">
        <v>62</v>
      </c>
      <c r="C3293" s="0" t="n">
        <v>2013</v>
      </c>
      <c r="D3293" s="0" t="n">
        <v>2</v>
      </c>
      <c r="E3293" s="38" t="n">
        <v>4643829.93</v>
      </c>
    </row>
    <row r="3294" customFormat="false" ht="15" hidden="false" customHeight="false" outlineLevel="0" collapsed="false">
      <c r="A3294" s="0" t="n">
        <v>38</v>
      </c>
      <c r="B3294" s="0" t="s">
        <v>62</v>
      </c>
      <c r="C3294" s="0" t="n">
        <v>2013</v>
      </c>
      <c r="D3294" s="0" t="n">
        <v>3</v>
      </c>
      <c r="E3294" s="38" t="n">
        <v>4521528.55</v>
      </c>
    </row>
    <row r="3295" customFormat="false" ht="15" hidden="false" customHeight="false" outlineLevel="0" collapsed="false">
      <c r="A3295" s="0" t="n">
        <v>38</v>
      </c>
      <c r="B3295" s="0" t="s">
        <v>62</v>
      </c>
      <c r="C3295" s="0" t="n">
        <v>2013</v>
      </c>
      <c r="D3295" s="0" t="n">
        <v>4</v>
      </c>
      <c r="E3295" s="38" t="n">
        <v>4487848.68</v>
      </c>
    </row>
    <row r="3296" customFormat="false" ht="15" hidden="false" customHeight="false" outlineLevel="0" collapsed="false">
      <c r="A3296" s="0" t="n">
        <v>38</v>
      </c>
      <c r="B3296" s="0" t="s">
        <v>62</v>
      </c>
      <c r="C3296" s="0" t="n">
        <v>2013</v>
      </c>
      <c r="D3296" s="0" t="n">
        <v>5</v>
      </c>
      <c r="E3296" s="38" t="n">
        <v>4147416.58</v>
      </c>
    </row>
    <row r="3297" customFormat="false" ht="15" hidden="false" customHeight="false" outlineLevel="0" collapsed="false">
      <c r="A3297" s="0" t="n">
        <v>38</v>
      </c>
      <c r="B3297" s="0" t="s">
        <v>62</v>
      </c>
      <c r="C3297" s="0" t="n">
        <v>2013</v>
      </c>
      <c r="D3297" s="0" t="n">
        <v>6</v>
      </c>
      <c r="E3297" s="38" t="n">
        <v>4305469.03</v>
      </c>
    </row>
    <row r="3298" customFormat="false" ht="15" hidden="false" customHeight="false" outlineLevel="0" collapsed="false">
      <c r="A3298" s="0" t="n">
        <v>38</v>
      </c>
      <c r="B3298" s="0" t="s">
        <v>62</v>
      </c>
      <c r="C3298" s="0" t="n">
        <v>2013</v>
      </c>
      <c r="D3298" s="0" t="n">
        <v>7</v>
      </c>
      <c r="E3298" s="38" t="n">
        <v>4137828.94</v>
      </c>
    </row>
    <row r="3299" customFormat="false" ht="15" hidden="false" customHeight="false" outlineLevel="0" collapsed="false">
      <c r="A3299" s="0" t="n">
        <v>38</v>
      </c>
      <c r="B3299" s="0" t="s">
        <v>62</v>
      </c>
      <c r="C3299" s="0" t="n">
        <v>2013</v>
      </c>
      <c r="D3299" s="0" t="n">
        <v>8</v>
      </c>
      <c r="E3299" s="38" t="n">
        <v>4134078.05</v>
      </c>
    </row>
    <row r="3300" customFormat="false" ht="15" hidden="false" customHeight="false" outlineLevel="0" collapsed="false">
      <c r="A3300" s="0" t="n">
        <v>38</v>
      </c>
      <c r="B3300" s="0" t="s">
        <v>64</v>
      </c>
      <c r="C3300" s="0" t="n">
        <v>2011</v>
      </c>
      <c r="D3300" s="0" t="n">
        <v>1</v>
      </c>
      <c r="E3300" s="38" t="n">
        <v>1283213.62</v>
      </c>
    </row>
    <row r="3301" customFormat="false" ht="15" hidden="false" customHeight="false" outlineLevel="0" collapsed="false">
      <c r="A3301" s="0" t="n">
        <v>38</v>
      </c>
      <c r="B3301" s="0" t="s">
        <v>64</v>
      </c>
      <c r="C3301" s="0" t="n">
        <v>2011</v>
      </c>
      <c r="D3301" s="0" t="n">
        <v>2</v>
      </c>
      <c r="E3301" s="38" t="n">
        <v>1407313.85</v>
      </c>
    </row>
    <row r="3302" customFormat="false" ht="15" hidden="false" customHeight="false" outlineLevel="0" collapsed="false">
      <c r="A3302" s="0" t="n">
        <v>38</v>
      </c>
      <c r="B3302" s="0" t="s">
        <v>64</v>
      </c>
      <c r="C3302" s="0" t="n">
        <v>2011</v>
      </c>
      <c r="D3302" s="0" t="n">
        <v>3</v>
      </c>
      <c r="E3302" s="38" t="n">
        <v>1369911.95</v>
      </c>
    </row>
    <row r="3303" customFormat="false" ht="15" hidden="false" customHeight="false" outlineLevel="0" collapsed="false">
      <c r="A3303" s="0" t="n">
        <v>38</v>
      </c>
      <c r="B3303" s="0" t="s">
        <v>64</v>
      </c>
      <c r="C3303" s="0" t="n">
        <v>2011</v>
      </c>
      <c r="D3303" s="0" t="n">
        <v>4</v>
      </c>
      <c r="E3303" s="38" t="n">
        <v>1362622.26</v>
      </c>
    </row>
    <row r="3304" customFormat="false" ht="15" hidden="false" customHeight="false" outlineLevel="0" collapsed="false">
      <c r="A3304" s="0" t="n">
        <v>38</v>
      </c>
      <c r="B3304" s="0" t="s">
        <v>64</v>
      </c>
      <c r="C3304" s="0" t="n">
        <v>2011</v>
      </c>
      <c r="D3304" s="0" t="n">
        <v>5</v>
      </c>
      <c r="E3304" s="38" t="n">
        <v>1230783.91</v>
      </c>
    </row>
    <row r="3305" customFormat="false" ht="15" hidden="false" customHeight="false" outlineLevel="0" collapsed="false">
      <c r="A3305" s="0" t="n">
        <v>38</v>
      </c>
      <c r="B3305" s="0" t="s">
        <v>64</v>
      </c>
      <c r="C3305" s="0" t="n">
        <v>2011</v>
      </c>
      <c r="D3305" s="0" t="n">
        <v>6</v>
      </c>
      <c r="E3305" s="38" t="n">
        <v>1276993.22</v>
      </c>
    </row>
    <row r="3306" customFormat="false" ht="15" hidden="false" customHeight="false" outlineLevel="0" collapsed="false">
      <c r="A3306" s="0" t="n">
        <v>38</v>
      </c>
      <c r="B3306" s="0" t="s">
        <v>64</v>
      </c>
      <c r="C3306" s="0" t="n">
        <v>2011</v>
      </c>
      <c r="D3306" s="0" t="n">
        <v>7</v>
      </c>
      <c r="E3306" s="38" t="n">
        <v>1331045.05</v>
      </c>
    </row>
    <row r="3307" customFormat="false" ht="15" hidden="false" customHeight="false" outlineLevel="0" collapsed="false">
      <c r="A3307" s="0" t="n">
        <v>38</v>
      </c>
      <c r="B3307" s="0" t="s">
        <v>64</v>
      </c>
      <c r="C3307" s="0" t="n">
        <v>2011</v>
      </c>
      <c r="D3307" s="0" t="n">
        <v>8</v>
      </c>
      <c r="E3307" s="38" t="n">
        <v>1293193.76</v>
      </c>
    </row>
    <row r="3308" customFormat="false" ht="15" hidden="false" customHeight="false" outlineLevel="0" collapsed="false">
      <c r="A3308" s="0" t="n">
        <v>38</v>
      </c>
      <c r="B3308" s="0" t="s">
        <v>64</v>
      </c>
      <c r="C3308" s="0" t="n">
        <v>2011</v>
      </c>
      <c r="D3308" s="0" t="n">
        <v>9</v>
      </c>
      <c r="E3308" s="38" t="n">
        <v>1354831.96</v>
      </c>
    </row>
    <row r="3309" customFormat="false" ht="15" hidden="false" customHeight="false" outlineLevel="0" collapsed="false">
      <c r="A3309" s="0" t="n">
        <v>38</v>
      </c>
      <c r="B3309" s="0" t="s">
        <v>64</v>
      </c>
      <c r="C3309" s="0" t="n">
        <v>2011</v>
      </c>
      <c r="D3309" s="0" t="n">
        <v>10</v>
      </c>
      <c r="E3309" s="38" t="n">
        <v>1315236.66</v>
      </c>
    </row>
    <row r="3310" customFormat="false" ht="15" hidden="false" customHeight="false" outlineLevel="0" collapsed="false">
      <c r="A3310" s="0" t="n">
        <v>38</v>
      </c>
      <c r="B3310" s="0" t="s">
        <v>64</v>
      </c>
      <c r="C3310" s="0" t="n">
        <v>2011</v>
      </c>
      <c r="D3310" s="0" t="n">
        <v>11</v>
      </c>
      <c r="E3310" s="38" t="n">
        <v>1378681.81</v>
      </c>
    </row>
    <row r="3311" customFormat="false" ht="15" hidden="false" customHeight="false" outlineLevel="0" collapsed="false">
      <c r="A3311" s="0" t="n">
        <v>38</v>
      </c>
      <c r="B3311" s="0" t="s">
        <v>64</v>
      </c>
      <c r="C3311" s="0" t="n">
        <v>2011</v>
      </c>
      <c r="D3311" s="0" t="n">
        <v>12</v>
      </c>
      <c r="E3311" s="38" t="n">
        <v>1516514.83</v>
      </c>
    </row>
    <row r="3312" customFormat="false" ht="15" hidden="false" customHeight="false" outlineLevel="0" collapsed="false">
      <c r="A3312" s="0" t="n">
        <v>38</v>
      </c>
      <c r="B3312" s="0" t="s">
        <v>64</v>
      </c>
      <c r="C3312" s="0" t="n">
        <v>2012</v>
      </c>
      <c r="D3312" s="0" t="n">
        <v>1</v>
      </c>
      <c r="E3312" s="38" t="n">
        <v>1357879.18</v>
      </c>
    </row>
    <row r="3313" customFormat="false" ht="15" hidden="false" customHeight="false" outlineLevel="0" collapsed="false">
      <c r="A3313" s="0" t="n">
        <v>38</v>
      </c>
      <c r="B3313" s="0" t="s">
        <v>64</v>
      </c>
      <c r="C3313" s="0" t="n">
        <v>2012</v>
      </c>
      <c r="D3313" s="0" t="n">
        <v>2</v>
      </c>
      <c r="E3313" s="38" t="n">
        <v>1429857.95</v>
      </c>
    </row>
    <row r="3314" customFormat="false" ht="15" hidden="false" customHeight="false" outlineLevel="0" collapsed="false">
      <c r="A3314" s="0" t="n">
        <v>38</v>
      </c>
      <c r="B3314" s="0" t="s">
        <v>64</v>
      </c>
      <c r="C3314" s="0" t="n">
        <v>2012</v>
      </c>
      <c r="D3314" s="0" t="n">
        <v>3</v>
      </c>
      <c r="E3314" s="38" t="n">
        <v>1382230.91</v>
      </c>
    </row>
    <row r="3315" customFormat="false" ht="15" hidden="false" customHeight="false" outlineLevel="0" collapsed="false">
      <c r="A3315" s="0" t="n">
        <v>38</v>
      </c>
      <c r="B3315" s="0" t="s">
        <v>64</v>
      </c>
      <c r="C3315" s="0" t="n">
        <v>2012</v>
      </c>
      <c r="D3315" s="0" t="n">
        <v>4</v>
      </c>
      <c r="E3315" s="38" t="n">
        <v>1398142.64</v>
      </c>
    </row>
    <row r="3316" customFormat="false" ht="15" hidden="false" customHeight="false" outlineLevel="0" collapsed="false">
      <c r="A3316" s="0" t="n">
        <v>38</v>
      </c>
      <c r="B3316" s="0" t="s">
        <v>64</v>
      </c>
      <c r="C3316" s="0" t="n">
        <v>2012</v>
      </c>
      <c r="D3316" s="0" t="n">
        <v>5</v>
      </c>
      <c r="E3316" s="38" t="n">
        <v>1324289.38</v>
      </c>
    </row>
    <row r="3317" customFormat="false" ht="15" hidden="false" customHeight="false" outlineLevel="0" collapsed="false">
      <c r="A3317" s="0" t="n">
        <v>38</v>
      </c>
      <c r="B3317" s="0" t="s">
        <v>64</v>
      </c>
      <c r="C3317" s="0" t="n">
        <v>2012</v>
      </c>
      <c r="D3317" s="0" t="n">
        <v>6</v>
      </c>
      <c r="E3317" s="38" t="n">
        <v>1335059.85</v>
      </c>
    </row>
    <row r="3318" customFormat="false" ht="15" hidden="false" customHeight="false" outlineLevel="0" collapsed="false">
      <c r="A3318" s="0" t="n">
        <v>38</v>
      </c>
      <c r="B3318" s="0" t="s">
        <v>64</v>
      </c>
      <c r="C3318" s="0" t="n">
        <v>2012</v>
      </c>
      <c r="D3318" s="0" t="n">
        <v>7</v>
      </c>
      <c r="E3318" s="38" t="n">
        <v>1343060.35</v>
      </c>
    </row>
    <row r="3319" customFormat="false" ht="15" hidden="false" customHeight="false" outlineLevel="0" collapsed="false">
      <c r="A3319" s="0" t="n">
        <v>38</v>
      </c>
      <c r="B3319" s="0" t="s">
        <v>64</v>
      </c>
      <c r="C3319" s="0" t="n">
        <v>2012</v>
      </c>
      <c r="D3319" s="0" t="n">
        <v>8</v>
      </c>
      <c r="E3319" s="38" t="n">
        <v>1360680.81</v>
      </c>
    </row>
    <row r="3320" customFormat="false" ht="15" hidden="false" customHeight="false" outlineLevel="0" collapsed="false">
      <c r="A3320" s="0" t="n">
        <v>38</v>
      </c>
      <c r="B3320" s="0" t="s">
        <v>64</v>
      </c>
      <c r="C3320" s="0" t="n">
        <v>2012</v>
      </c>
      <c r="D3320" s="0" t="n">
        <v>9</v>
      </c>
      <c r="E3320" s="38" t="n">
        <v>1417163.07</v>
      </c>
    </row>
    <row r="3321" customFormat="false" ht="15" hidden="false" customHeight="false" outlineLevel="0" collapsed="false">
      <c r="A3321" s="0" t="n">
        <v>38</v>
      </c>
      <c r="B3321" s="0" t="s">
        <v>64</v>
      </c>
      <c r="C3321" s="0" t="n">
        <v>2012</v>
      </c>
      <c r="D3321" s="0" t="n">
        <v>10</v>
      </c>
      <c r="E3321" s="38" t="n">
        <v>1383745.28</v>
      </c>
    </row>
    <row r="3322" customFormat="false" ht="15" hidden="false" customHeight="false" outlineLevel="0" collapsed="false">
      <c r="A3322" s="0" t="n">
        <v>38</v>
      </c>
      <c r="B3322" s="0" t="s">
        <v>64</v>
      </c>
      <c r="C3322" s="0" t="n">
        <v>2012</v>
      </c>
      <c r="D3322" s="0" t="n">
        <v>11</v>
      </c>
      <c r="E3322" s="38" t="n">
        <v>1506969.34</v>
      </c>
    </row>
    <row r="3323" customFormat="false" ht="15" hidden="false" customHeight="false" outlineLevel="0" collapsed="false">
      <c r="A3323" s="0" t="n">
        <v>38</v>
      </c>
      <c r="B3323" s="0" t="s">
        <v>64</v>
      </c>
      <c r="C3323" s="0" t="n">
        <v>2012</v>
      </c>
      <c r="D3323" s="0" t="n">
        <v>12</v>
      </c>
      <c r="E3323" s="38" t="n">
        <v>1689060</v>
      </c>
    </row>
    <row r="3324" customFormat="false" ht="15" hidden="false" customHeight="false" outlineLevel="0" collapsed="false">
      <c r="A3324" s="0" t="n">
        <v>38</v>
      </c>
      <c r="B3324" s="0" t="s">
        <v>64</v>
      </c>
      <c r="C3324" s="0" t="n">
        <v>2013</v>
      </c>
      <c r="D3324" s="0" t="n">
        <v>1</v>
      </c>
      <c r="E3324" s="38" t="n">
        <v>1563684.47</v>
      </c>
    </row>
    <row r="3325" customFormat="false" ht="15" hidden="false" customHeight="false" outlineLevel="0" collapsed="false">
      <c r="A3325" s="0" t="n">
        <v>38</v>
      </c>
      <c r="B3325" s="0" t="s">
        <v>64</v>
      </c>
      <c r="C3325" s="0" t="n">
        <v>2013</v>
      </c>
      <c r="D3325" s="0" t="n">
        <v>2</v>
      </c>
      <c r="E3325" s="38" t="n">
        <v>1668283.42</v>
      </c>
    </row>
    <row r="3326" customFormat="false" ht="15" hidden="false" customHeight="false" outlineLevel="0" collapsed="false">
      <c r="A3326" s="0" t="n">
        <v>38</v>
      </c>
      <c r="B3326" s="0" t="s">
        <v>64</v>
      </c>
      <c r="C3326" s="0" t="n">
        <v>2013</v>
      </c>
      <c r="D3326" s="0" t="n">
        <v>3</v>
      </c>
      <c r="E3326" s="38" t="n">
        <v>1617185.81</v>
      </c>
    </row>
    <row r="3327" customFormat="false" ht="15" hidden="false" customHeight="false" outlineLevel="0" collapsed="false">
      <c r="A3327" s="0" t="n">
        <v>38</v>
      </c>
      <c r="B3327" s="0" t="s">
        <v>64</v>
      </c>
      <c r="C3327" s="0" t="n">
        <v>2013</v>
      </c>
      <c r="D3327" s="0" t="n">
        <v>4</v>
      </c>
      <c r="E3327" s="38" t="n">
        <v>1594508.21</v>
      </c>
    </row>
    <row r="3328" customFormat="false" ht="15" hidden="false" customHeight="false" outlineLevel="0" collapsed="false">
      <c r="A3328" s="0" t="n">
        <v>38</v>
      </c>
      <c r="B3328" s="0" t="s">
        <v>64</v>
      </c>
      <c r="C3328" s="0" t="n">
        <v>2013</v>
      </c>
      <c r="D3328" s="0" t="n">
        <v>5</v>
      </c>
      <c r="E3328" s="38" t="n">
        <v>1472970.11</v>
      </c>
    </row>
    <row r="3329" customFormat="false" ht="15" hidden="false" customHeight="false" outlineLevel="0" collapsed="false">
      <c r="A3329" s="0" t="n">
        <v>38</v>
      </c>
      <c r="B3329" s="0" t="s">
        <v>64</v>
      </c>
      <c r="C3329" s="0" t="n">
        <v>2013</v>
      </c>
      <c r="D3329" s="0" t="n">
        <v>6</v>
      </c>
      <c r="E3329" s="38" t="n">
        <v>1553480.72</v>
      </c>
    </row>
    <row r="3330" customFormat="false" ht="15" hidden="false" customHeight="false" outlineLevel="0" collapsed="false">
      <c r="A3330" s="0" t="n">
        <v>38</v>
      </c>
      <c r="B3330" s="0" t="s">
        <v>64</v>
      </c>
      <c r="C3330" s="0" t="n">
        <v>2013</v>
      </c>
      <c r="D3330" s="0" t="n">
        <v>7</v>
      </c>
      <c r="E3330" s="38" t="n">
        <v>1523227.55</v>
      </c>
    </row>
    <row r="3331" customFormat="false" ht="15" hidden="false" customHeight="false" outlineLevel="0" collapsed="false">
      <c r="A3331" s="0" t="n">
        <v>38</v>
      </c>
      <c r="B3331" s="0" t="s">
        <v>64</v>
      </c>
      <c r="C3331" s="0" t="n">
        <v>2013</v>
      </c>
      <c r="D3331" s="0" t="n">
        <v>8</v>
      </c>
      <c r="E3331" s="38" t="n">
        <v>1464832.17</v>
      </c>
    </row>
    <row r="3332" customFormat="false" ht="15" hidden="false" customHeight="false" outlineLevel="0" collapsed="false">
      <c r="A3332" s="0" t="n">
        <v>39</v>
      </c>
      <c r="B3332" s="0" t="s">
        <v>60</v>
      </c>
      <c r="C3332" s="0" t="n">
        <v>2011</v>
      </c>
      <c r="D3332" s="0" t="n">
        <v>1</v>
      </c>
      <c r="E3332" s="38" t="n">
        <v>8.02</v>
      </c>
    </row>
    <row r="3333" customFormat="false" ht="15" hidden="false" customHeight="false" outlineLevel="0" collapsed="false">
      <c r="A3333" s="0" t="n">
        <v>39</v>
      </c>
      <c r="B3333" s="0" t="s">
        <v>60</v>
      </c>
      <c r="C3333" s="0" t="n">
        <v>2011</v>
      </c>
      <c r="D3333" s="0" t="n">
        <v>2</v>
      </c>
      <c r="E3333" s="38" t="n">
        <v>1.34</v>
      </c>
    </row>
    <row r="3334" customFormat="false" ht="15" hidden="false" customHeight="false" outlineLevel="0" collapsed="false">
      <c r="A3334" s="0" t="n">
        <v>39</v>
      </c>
      <c r="B3334" s="0" t="s">
        <v>60</v>
      </c>
      <c r="C3334" s="0" t="n">
        <v>2011</v>
      </c>
      <c r="D3334" s="0" t="n">
        <v>11</v>
      </c>
      <c r="E3334" s="38" t="n">
        <v>1.56</v>
      </c>
    </row>
    <row r="3335" customFormat="false" ht="15" hidden="false" customHeight="false" outlineLevel="0" collapsed="false">
      <c r="A3335" s="0" t="n">
        <v>39</v>
      </c>
      <c r="B3335" s="0" t="s">
        <v>60</v>
      </c>
      <c r="C3335" s="0" t="n">
        <v>2012</v>
      </c>
      <c r="D3335" s="0" t="n">
        <v>11</v>
      </c>
      <c r="E3335" s="38" t="n">
        <v>1.98</v>
      </c>
    </row>
    <row r="3336" customFormat="false" ht="15" hidden="false" customHeight="false" outlineLevel="0" collapsed="false">
      <c r="A3336" s="0" t="n">
        <v>39</v>
      </c>
      <c r="B3336" s="0" t="s">
        <v>60</v>
      </c>
      <c r="C3336" s="0" t="n">
        <v>2013</v>
      </c>
      <c r="D3336" s="0" t="n">
        <v>7</v>
      </c>
      <c r="E3336" s="38" t="n">
        <v>4.47</v>
      </c>
    </row>
    <row r="3337" customFormat="false" ht="15" hidden="false" customHeight="false" outlineLevel="0" collapsed="false">
      <c r="A3337" s="0" t="n">
        <v>39</v>
      </c>
      <c r="B3337" s="0" t="s">
        <v>60</v>
      </c>
      <c r="C3337" s="0" t="n">
        <v>2013</v>
      </c>
      <c r="D3337" s="0" t="n">
        <v>8</v>
      </c>
      <c r="E3337" s="38" t="n">
        <v>70.88</v>
      </c>
    </row>
    <row r="3338" customFormat="false" ht="15" hidden="false" customHeight="false" outlineLevel="0" collapsed="false">
      <c r="A3338" s="0" t="n">
        <v>39</v>
      </c>
      <c r="B3338" s="0" t="s">
        <v>62</v>
      </c>
      <c r="C3338" s="0" t="n">
        <v>2011</v>
      </c>
      <c r="D3338" s="0" t="n">
        <v>4</v>
      </c>
      <c r="E3338" s="38" t="n">
        <v>28</v>
      </c>
    </row>
    <row r="3339" customFormat="false" ht="15" hidden="false" customHeight="false" outlineLevel="0" collapsed="false">
      <c r="A3339" s="0" t="n">
        <v>40</v>
      </c>
      <c r="B3339" s="0" t="s">
        <v>60</v>
      </c>
      <c r="C3339" s="0" t="n">
        <v>2011</v>
      </c>
      <c r="D3339" s="0" t="n">
        <v>1</v>
      </c>
      <c r="E3339" s="38" t="n">
        <v>4906730.17</v>
      </c>
    </row>
    <row r="3340" customFormat="false" ht="15" hidden="false" customHeight="false" outlineLevel="0" collapsed="false">
      <c r="A3340" s="0" t="n">
        <v>40</v>
      </c>
      <c r="B3340" s="0" t="s">
        <v>60</v>
      </c>
      <c r="C3340" s="0" t="n">
        <v>2011</v>
      </c>
      <c r="D3340" s="0" t="n">
        <v>2</v>
      </c>
      <c r="E3340" s="38" t="n">
        <v>5277552.55</v>
      </c>
    </row>
    <row r="3341" customFormat="false" ht="15" hidden="false" customHeight="false" outlineLevel="0" collapsed="false">
      <c r="A3341" s="0" t="n">
        <v>40</v>
      </c>
      <c r="B3341" s="0" t="s">
        <v>60</v>
      </c>
      <c r="C3341" s="0" t="n">
        <v>2011</v>
      </c>
      <c r="D3341" s="0" t="n">
        <v>3</v>
      </c>
      <c r="E3341" s="38" t="n">
        <v>4991475.11</v>
      </c>
    </row>
    <row r="3342" customFormat="false" ht="15" hidden="false" customHeight="false" outlineLevel="0" collapsed="false">
      <c r="A3342" s="0" t="n">
        <v>40</v>
      </c>
      <c r="B3342" s="0" t="s">
        <v>60</v>
      </c>
      <c r="C3342" s="0" t="n">
        <v>2011</v>
      </c>
      <c r="D3342" s="0" t="n">
        <v>4</v>
      </c>
      <c r="E3342" s="38" t="n">
        <v>5107827.61</v>
      </c>
    </row>
    <row r="3343" customFormat="false" ht="15" hidden="false" customHeight="false" outlineLevel="0" collapsed="false">
      <c r="A3343" s="0" t="n">
        <v>40</v>
      </c>
      <c r="B3343" s="0" t="s">
        <v>60</v>
      </c>
      <c r="C3343" s="0" t="n">
        <v>2011</v>
      </c>
      <c r="D3343" s="0" t="n">
        <v>5</v>
      </c>
      <c r="E3343" s="38" t="n">
        <v>4876604.34</v>
      </c>
    </row>
    <row r="3344" customFormat="false" ht="15" hidden="false" customHeight="false" outlineLevel="0" collapsed="false">
      <c r="A3344" s="0" t="n">
        <v>40</v>
      </c>
      <c r="B3344" s="0" t="s">
        <v>60</v>
      </c>
      <c r="C3344" s="0" t="n">
        <v>2011</v>
      </c>
      <c r="D3344" s="0" t="n">
        <v>6</v>
      </c>
      <c r="E3344" s="38" t="n">
        <v>4946777.62</v>
      </c>
    </row>
    <row r="3345" customFormat="false" ht="15" hidden="false" customHeight="false" outlineLevel="0" collapsed="false">
      <c r="A3345" s="0" t="n">
        <v>40</v>
      </c>
      <c r="B3345" s="0" t="s">
        <v>60</v>
      </c>
      <c r="C3345" s="0" t="n">
        <v>2011</v>
      </c>
      <c r="D3345" s="0" t="n">
        <v>7</v>
      </c>
      <c r="E3345" s="38" t="n">
        <v>5023674.27</v>
      </c>
    </row>
    <row r="3346" customFormat="false" ht="15" hidden="false" customHeight="false" outlineLevel="0" collapsed="false">
      <c r="A3346" s="0" t="n">
        <v>40</v>
      </c>
      <c r="B3346" s="0" t="s">
        <v>60</v>
      </c>
      <c r="C3346" s="0" t="n">
        <v>2011</v>
      </c>
      <c r="D3346" s="0" t="n">
        <v>8</v>
      </c>
      <c r="E3346" s="38" t="n">
        <v>4927945.86</v>
      </c>
    </row>
    <row r="3347" customFormat="false" ht="15" hidden="false" customHeight="false" outlineLevel="0" collapsed="false">
      <c r="A3347" s="0" t="n">
        <v>40</v>
      </c>
      <c r="B3347" s="0" t="s">
        <v>60</v>
      </c>
      <c r="C3347" s="0" t="n">
        <v>2011</v>
      </c>
      <c r="D3347" s="0" t="n">
        <v>9</v>
      </c>
      <c r="E3347" s="38" t="n">
        <v>5117173.06</v>
      </c>
    </row>
    <row r="3348" customFormat="false" ht="15" hidden="false" customHeight="false" outlineLevel="0" collapsed="false">
      <c r="A3348" s="0" t="n">
        <v>40</v>
      </c>
      <c r="B3348" s="0" t="s">
        <v>60</v>
      </c>
      <c r="C3348" s="0" t="n">
        <v>2011</v>
      </c>
      <c r="D3348" s="0" t="n">
        <v>10</v>
      </c>
      <c r="E3348" s="38" t="n">
        <v>4945027.59</v>
      </c>
    </row>
    <row r="3349" customFormat="false" ht="15" hidden="false" customHeight="false" outlineLevel="0" collapsed="false">
      <c r="A3349" s="0" t="n">
        <v>40</v>
      </c>
      <c r="B3349" s="0" t="s">
        <v>60</v>
      </c>
      <c r="C3349" s="0" t="n">
        <v>2011</v>
      </c>
      <c r="D3349" s="0" t="n">
        <v>11</v>
      </c>
      <c r="E3349" s="38" t="n">
        <v>5342738.94</v>
      </c>
    </row>
    <row r="3350" customFormat="false" ht="15" hidden="false" customHeight="false" outlineLevel="0" collapsed="false">
      <c r="A3350" s="0" t="n">
        <v>40</v>
      </c>
      <c r="B3350" s="0" t="s">
        <v>60</v>
      </c>
      <c r="C3350" s="0" t="n">
        <v>2011</v>
      </c>
      <c r="D3350" s="0" t="n">
        <v>12</v>
      </c>
      <c r="E3350" s="38" t="n">
        <v>5278924.07</v>
      </c>
    </row>
    <row r="3351" customFormat="false" ht="15" hidden="false" customHeight="false" outlineLevel="0" collapsed="false">
      <c r="A3351" s="0" t="n">
        <v>40</v>
      </c>
      <c r="B3351" s="0" t="s">
        <v>60</v>
      </c>
      <c r="C3351" s="0" t="n">
        <v>2012</v>
      </c>
      <c r="D3351" s="0" t="n">
        <v>1</v>
      </c>
      <c r="E3351" s="38" t="n">
        <v>4974484.8</v>
      </c>
    </row>
    <row r="3352" customFormat="false" ht="15" hidden="false" customHeight="false" outlineLevel="0" collapsed="false">
      <c r="A3352" s="0" t="n">
        <v>40</v>
      </c>
      <c r="B3352" s="0" t="s">
        <v>60</v>
      </c>
      <c r="C3352" s="0" t="n">
        <v>2012</v>
      </c>
      <c r="D3352" s="0" t="n">
        <v>2</v>
      </c>
      <c r="E3352" s="38" t="n">
        <v>5322382.3</v>
      </c>
    </row>
    <row r="3353" customFormat="false" ht="15" hidden="false" customHeight="false" outlineLevel="0" collapsed="false">
      <c r="A3353" s="0" t="n">
        <v>40</v>
      </c>
      <c r="B3353" s="0" t="s">
        <v>60</v>
      </c>
      <c r="C3353" s="0" t="n">
        <v>2012</v>
      </c>
      <c r="D3353" s="0" t="n">
        <v>3</v>
      </c>
      <c r="E3353" s="38" t="n">
        <v>4932047.63</v>
      </c>
    </row>
    <row r="3354" customFormat="false" ht="15" hidden="false" customHeight="false" outlineLevel="0" collapsed="false">
      <c r="A3354" s="0" t="n">
        <v>40</v>
      </c>
      <c r="B3354" s="0" t="s">
        <v>60</v>
      </c>
      <c r="C3354" s="0" t="n">
        <v>2012</v>
      </c>
      <c r="D3354" s="0" t="n">
        <v>4</v>
      </c>
      <c r="E3354" s="38" t="n">
        <v>5072634.29</v>
      </c>
    </row>
    <row r="3355" customFormat="false" ht="15" hidden="false" customHeight="false" outlineLevel="0" collapsed="false">
      <c r="A3355" s="0" t="n">
        <v>40</v>
      </c>
      <c r="B3355" s="0" t="s">
        <v>60</v>
      </c>
      <c r="C3355" s="0" t="n">
        <v>2012</v>
      </c>
      <c r="D3355" s="0" t="n">
        <v>5</v>
      </c>
      <c r="E3355" s="38" t="n">
        <v>4858352.08</v>
      </c>
    </row>
    <row r="3356" customFormat="false" ht="15" hidden="false" customHeight="false" outlineLevel="0" collapsed="false">
      <c r="A3356" s="0" t="n">
        <v>40</v>
      </c>
      <c r="B3356" s="0" t="s">
        <v>60</v>
      </c>
      <c r="C3356" s="0" t="n">
        <v>2012</v>
      </c>
      <c r="D3356" s="0" t="n">
        <v>6</v>
      </c>
      <c r="E3356" s="38" t="n">
        <v>4876510.15</v>
      </c>
    </row>
    <row r="3357" customFormat="false" ht="15" hidden="false" customHeight="false" outlineLevel="0" collapsed="false">
      <c r="A3357" s="0" t="n">
        <v>40</v>
      </c>
      <c r="B3357" s="0" t="s">
        <v>60</v>
      </c>
      <c r="C3357" s="0" t="n">
        <v>2012</v>
      </c>
      <c r="D3357" s="0" t="n">
        <v>7</v>
      </c>
      <c r="E3357" s="38" t="n">
        <v>5031202.04</v>
      </c>
    </row>
    <row r="3358" customFormat="false" ht="15" hidden="false" customHeight="false" outlineLevel="0" collapsed="false">
      <c r="A3358" s="0" t="n">
        <v>40</v>
      </c>
      <c r="B3358" s="0" t="s">
        <v>60</v>
      </c>
      <c r="C3358" s="0" t="n">
        <v>2012</v>
      </c>
      <c r="D3358" s="0" t="n">
        <v>8</v>
      </c>
      <c r="E3358" s="38" t="n">
        <v>4934512.72</v>
      </c>
    </row>
    <row r="3359" customFormat="false" ht="15" hidden="false" customHeight="false" outlineLevel="0" collapsed="false">
      <c r="A3359" s="0" t="n">
        <v>40</v>
      </c>
      <c r="B3359" s="0" t="s">
        <v>60</v>
      </c>
      <c r="C3359" s="0" t="n">
        <v>2012</v>
      </c>
      <c r="D3359" s="0" t="n">
        <v>9</v>
      </c>
      <c r="E3359" s="38" t="n">
        <v>5158819.01</v>
      </c>
    </row>
    <row r="3360" customFormat="false" ht="15" hidden="false" customHeight="false" outlineLevel="0" collapsed="false">
      <c r="A3360" s="0" t="n">
        <v>40</v>
      </c>
      <c r="B3360" s="0" t="s">
        <v>60</v>
      </c>
      <c r="C3360" s="0" t="n">
        <v>2012</v>
      </c>
      <c r="D3360" s="0" t="n">
        <v>10</v>
      </c>
      <c r="E3360" s="38" t="n">
        <v>4979808.43</v>
      </c>
    </row>
    <row r="3361" customFormat="false" ht="15" hidden="false" customHeight="false" outlineLevel="0" collapsed="false">
      <c r="A3361" s="0" t="n">
        <v>40</v>
      </c>
      <c r="B3361" s="0" t="s">
        <v>60</v>
      </c>
      <c r="C3361" s="0" t="n">
        <v>2012</v>
      </c>
      <c r="D3361" s="0" t="n">
        <v>11</v>
      </c>
      <c r="E3361" s="38" t="n">
        <v>5337522.31</v>
      </c>
    </row>
    <row r="3362" customFormat="false" ht="15" hidden="false" customHeight="false" outlineLevel="0" collapsed="false">
      <c r="A3362" s="0" t="n">
        <v>40</v>
      </c>
      <c r="B3362" s="0" t="s">
        <v>60</v>
      </c>
      <c r="C3362" s="0" t="n">
        <v>2012</v>
      </c>
      <c r="D3362" s="0" t="n">
        <v>12</v>
      </c>
      <c r="E3362" s="38" t="n">
        <v>5511734.12</v>
      </c>
    </row>
    <row r="3363" customFormat="false" ht="15" hidden="false" customHeight="false" outlineLevel="0" collapsed="false">
      <c r="A3363" s="0" t="n">
        <v>40</v>
      </c>
      <c r="B3363" s="0" t="s">
        <v>60</v>
      </c>
      <c r="C3363" s="0" t="n">
        <v>2013</v>
      </c>
      <c r="D3363" s="0" t="n">
        <v>1</v>
      </c>
      <c r="E3363" s="38" t="n">
        <v>5309855.86</v>
      </c>
    </row>
    <row r="3364" customFormat="false" ht="15" hidden="false" customHeight="false" outlineLevel="0" collapsed="false">
      <c r="A3364" s="0" t="n">
        <v>40</v>
      </c>
      <c r="B3364" s="0" t="s">
        <v>60</v>
      </c>
      <c r="C3364" s="0" t="n">
        <v>2013</v>
      </c>
      <c r="D3364" s="0" t="n">
        <v>2</v>
      </c>
      <c r="E3364" s="38" t="n">
        <v>5542830.07</v>
      </c>
    </row>
    <row r="3365" customFormat="false" ht="15" hidden="false" customHeight="false" outlineLevel="0" collapsed="false">
      <c r="A3365" s="0" t="n">
        <v>40</v>
      </c>
      <c r="B3365" s="0" t="s">
        <v>60</v>
      </c>
      <c r="C3365" s="0" t="n">
        <v>2013</v>
      </c>
      <c r="D3365" s="0" t="n">
        <v>3</v>
      </c>
      <c r="E3365" s="38" t="n">
        <v>5230199.34</v>
      </c>
    </row>
    <row r="3366" customFormat="false" ht="15" hidden="false" customHeight="false" outlineLevel="0" collapsed="false">
      <c r="A3366" s="0" t="n">
        <v>40</v>
      </c>
      <c r="B3366" s="0" t="s">
        <v>60</v>
      </c>
      <c r="C3366" s="0" t="n">
        <v>2013</v>
      </c>
      <c r="D3366" s="0" t="n">
        <v>4</v>
      </c>
      <c r="E3366" s="38" t="n">
        <v>5269155.41</v>
      </c>
    </row>
    <row r="3367" customFormat="false" ht="15" hidden="false" customHeight="false" outlineLevel="0" collapsed="false">
      <c r="A3367" s="0" t="n">
        <v>40</v>
      </c>
      <c r="B3367" s="0" t="s">
        <v>60</v>
      </c>
      <c r="C3367" s="0" t="n">
        <v>2013</v>
      </c>
      <c r="D3367" s="0" t="n">
        <v>5</v>
      </c>
      <c r="E3367" s="38" t="n">
        <v>5087444.79</v>
      </c>
    </row>
    <row r="3368" customFormat="false" ht="15" hidden="false" customHeight="false" outlineLevel="0" collapsed="false">
      <c r="A3368" s="0" t="n">
        <v>40</v>
      </c>
      <c r="B3368" s="0" t="s">
        <v>60</v>
      </c>
      <c r="C3368" s="0" t="n">
        <v>2013</v>
      </c>
      <c r="D3368" s="0" t="n">
        <v>6</v>
      </c>
      <c r="E3368" s="38" t="n">
        <v>5182051.73</v>
      </c>
    </row>
    <row r="3369" customFormat="false" ht="15" hidden="false" customHeight="false" outlineLevel="0" collapsed="false">
      <c r="A3369" s="0" t="n">
        <v>40</v>
      </c>
      <c r="B3369" s="0" t="s">
        <v>60</v>
      </c>
      <c r="C3369" s="0" t="n">
        <v>2013</v>
      </c>
      <c r="D3369" s="0" t="n">
        <v>7</v>
      </c>
      <c r="E3369" s="38" t="n">
        <v>5352554.47</v>
      </c>
    </row>
    <row r="3370" customFormat="false" ht="15" hidden="false" customHeight="false" outlineLevel="0" collapsed="false">
      <c r="A3370" s="0" t="n">
        <v>40</v>
      </c>
      <c r="B3370" s="0" t="s">
        <v>60</v>
      </c>
      <c r="C3370" s="0" t="n">
        <v>2013</v>
      </c>
      <c r="D3370" s="0" t="n">
        <v>8</v>
      </c>
      <c r="E3370" s="38" t="n">
        <v>5248787.67</v>
      </c>
    </row>
    <row r="3371" customFormat="false" ht="15" hidden="false" customHeight="false" outlineLevel="0" collapsed="false">
      <c r="A3371" s="0" t="n">
        <v>40</v>
      </c>
      <c r="B3371" s="0" t="s">
        <v>62</v>
      </c>
      <c r="C3371" s="0" t="n">
        <v>2011</v>
      </c>
      <c r="D3371" s="0" t="n">
        <v>1</v>
      </c>
      <c r="E3371" s="38" t="n">
        <v>3105847.29</v>
      </c>
    </row>
    <row r="3372" customFormat="false" ht="15" hidden="false" customHeight="false" outlineLevel="0" collapsed="false">
      <c r="A3372" s="0" t="n">
        <v>40</v>
      </c>
      <c r="B3372" s="0" t="s">
        <v>62</v>
      </c>
      <c r="C3372" s="0" t="n">
        <v>2011</v>
      </c>
      <c r="D3372" s="0" t="n">
        <v>2</v>
      </c>
      <c r="E3372" s="38" t="n">
        <v>3390591.07</v>
      </c>
    </row>
    <row r="3373" customFormat="false" ht="15" hidden="false" customHeight="false" outlineLevel="0" collapsed="false">
      <c r="A3373" s="0" t="n">
        <v>40</v>
      </c>
      <c r="B3373" s="0" t="s">
        <v>62</v>
      </c>
      <c r="C3373" s="0" t="n">
        <v>2011</v>
      </c>
      <c r="D3373" s="0" t="n">
        <v>3</v>
      </c>
      <c r="E3373" s="38" t="n">
        <v>3204438.75</v>
      </c>
    </row>
    <row r="3374" customFormat="false" ht="15" hidden="false" customHeight="false" outlineLevel="0" collapsed="false">
      <c r="A3374" s="0" t="n">
        <v>40</v>
      </c>
      <c r="B3374" s="0" t="s">
        <v>62</v>
      </c>
      <c r="C3374" s="0" t="n">
        <v>2011</v>
      </c>
      <c r="D3374" s="0" t="n">
        <v>4</v>
      </c>
      <c r="E3374" s="38" t="n">
        <v>3198817.04</v>
      </c>
    </row>
    <row r="3375" customFormat="false" ht="15" hidden="false" customHeight="false" outlineLevel="0" collapsed="false">
      <c r="A3375" s="0" t="n">
        <v>40</v>
      </c>
      <c r="B3375" s="0" t="s">
        <v>62</v>
      </c>
      <c r="C3375" s="0" t="n">
        <v>2011</v>
      </c>
      <c r="D3375" s="0" t="n">
        <v>5</v>
      </c>
      <c r="E3375" s="38" t="n">
        <v>3109856.98</v>
      </c>
    </row>
    <row r="3376" customFormat="false" ht="15" hidden="false" customHeight="false" outlineLevel="0" collapsed="false">
      <c r="A3376" s="0" t="n">
        <v>40</v>
      </c>
      <c r="B3376" s="0" t="s">
        <v>62</v>
      </c>
      <c r="C3376" s="0" t="n">
        <v>2011</v>
      </c>
      <c r="D3376" s="0" t="n">
        <v>6</v>
      </c>
      <c r="E3376" s="38" t="n">
        <v>3195784.08</v>
      </c>
    </row>
    <row r="3377" customFormat="false" ht="15" hidden="false" customHeight="false" outlineLevel="0" collapsed="false">
      <c r="A3377" s="0" t="n">
        <v>40</v>
      </c>
      <c r="B3377" s="0" t="s">
        <v>62</v>
      </c>
      <c r="C3377" s="0" t="n">
        <v>2011</v>
      </c>
      <c r="D3377" s="0" t="n">
        <v>7</v>
      </c>
      <c r="E3377" s="38" t="n">
        <v>3147111.18</v>
      </c>
    </row>
    <row r="3378" customFormat="false" ht="15" hidden="false" customHeight="false" outlineLevel="0" collapsed="false">
      <c r="A3378" s="0" t="n">
        <v>40</v>
      </c>
      <c r="B3378" s="0" t="s">
        <v>62</v>
      </c>
      <c r="C3378" s="0" t="n">
        <v>2011</v>
      </c>
      <c r="D3378" s="0" t="n">
        <v>8</v>
      </c>
      <c r="E3378" s="38" t="n">
        <v>3034929.17</v>
      </c>
    </row>
    <row r="3379" customFormat="false" ht="15" hidden="false" customHeight="false" outlineLevel="0" collapsed="false">
      <c r="A3379" s="0" t="n">
        <v>40</v>
      </c>
      <c r="B3379" s="0" t="s">
        <v>62</v>
      </c>
      <c r="C3379" s="0" t="n">
        <v>2011</v>
      </c>
      <c r="D3379" s="0" t="n">
        <v>9</v>
      </c>
      <c r="E3379" s="38" t="n">
        <v>3081188.49</v>
      </c>
    </row>
    <row r="3380" customFormat="false" ht="15" hidden="false" customHeight="false" outlineLevel="0" collapsed="false">
      <c r="A3380" s="0" t="n">
        <v>40</v>
      </c>
      <c r="B3380" s="0" t="s">
        <v>62</v>
      </c>
      <c r="C3380" s="0" t="n">
        <v>2011</v>
      </c>
      <c r="D3380" s="0" t="n">
        <v>10</v>
      </c>
      <c r="E3380" s="38" t="n">
        <v>2954316.83</v>
      </c>
    </row>
    <row r="3381" customFormat="false" ht="15" hidden="false" customHeight="false" outlineLevel="0" collapsed="false">
      <c r="A3381" s="0" t="n">
        <v>40</v>
      </c>
      <c r="B3381" s="0" t="s">
        <v>62</v>
      </c>
      <c r="C3381" s="0" t="n">
        <v>2011</v>
      </c>
      <c r="D3381" s="0" t="n">
        <v>11</v>
      </c>
      <c r="E3381" s="38" t="n">
        <v>3263625.82</v>
      </c>
    </row>
    <row r="3382" customFormat="false" ht="15" hidden="false" customHeight="false" outlineLevel="0" collapsed="false">
      <c r="A3382" s="0" t="n">
        <v>40</v>
      </c>
      <c r="B3382" s="0" t="s">
        <v>62</v>
      </c>
      <c r="C3382" s="0" t="n">
        <v>2011</v>
      </c>
      <c r="D3382" s="0" t="n">
        <v>12</v>
      </c>
      <c r="E3382" s="38" t="n">
        <v>3232146.06</v>
      </c>
    </row>
    <row r="3383" customFormat="false" ht="15" hidden="false" customHeight="false" outlineLevel="0" collapsed="false">
      <c r="A3383" s="0" t="n">
        <v>40</v>
      </c>
      <c r="B3383" s="0" t="s">
        <v>62</v>
      </c>
      <c r="C3383" s="0" t="n">
        <v>2012</v>
      </c>
      <c r="D3383" s="0" t="n">
        <v>1</v>
      </c>
      <c r="E3383" s="38" t="n">
        <v>3026276.53</v>
      </c>
    </row>
    <row r="3384" customFormat="false" ht="15" hidden="false" customHeight="false" outlineLevel="0" collapsed="false">
      <c r="A3384" s="0" t="n">
        <v>40</v>
      </c>
      <c r="B3384" s="0" t="s">
        <v>62</v>
      </c>
      <c r="C3384" s="0" t="n">
        <v>2012</v>
      </c>
      <c r="D3384" s="0" t="n">
        <v>2</v>
      </c>
      <c r="E3384" s="38" t="n">
        <v>3255515.69</v>
      </c>
    </row>
    <row r="3385" customFormat="false" ht="15" hidden="false" customHeight="false" outlineLevel="0" collapsed="false">
      <c r="A3385" s="0" t="n">
        <v>40</v>
      </c>
      <c r="B3385" s="0" t="s">
        <v>62</v>
      </c>
      <c r="C3385" s="0" t="n">
        <v>2012</v>
      </c>
      <c r="D3385" s="0" t="n">
        <v>3</v>
      </c>
      <c r="E3385" s="38" t="n">
        <v>2963537.05</v>
      </c>
    </row>
    <row r="3386" customFormat="false" ht="15" hidden="false" customHeight="false" outlineLevel="0" collapsed="false">
      <c r="A3386" s="0" t="n">
        <v>40</v>
      </c>
      <c r="B3386" s="0" t="s">
        <v>62</v>
      </c>
      <c r="C3386" s="0" t="n">
        <v>2012</v>
      </c>
      <c r="D3386" s="0" t="n">
        <v>4</v>
      </c>
      <c r="E3386" s="38" t="n">
        <v>3071065.48</v>
      </c>
    </row>
    <row r="3387" customFormat="false" ht="15" hidden="false" customHeight="false" outlineLevel="0" collapsed="false">
      <c r="A3387" s="0" t="n">
        <v>40</v>
      </c>
      <c r="B3387" s="0" t="s">
        <v>62</v>
      </c>
      <c r="C3387" s="0" t="n">
        <v>2012</v>
      </c>
      <c r="D3387" s="0" t="n">
        <v>5</v>
      </c>
      <c r="E3387" s="38" t="n">
        <v>2955159.79</v>
      </c>
    </row>
    <row r="3388" customFormat="false" ht="15" hidden="false" customHeight="false" outlineLevel="0" collapsed="false">
      <c r="A3388" s="0" t="n">
        <v>40</v>
      </c>
      <c r="B3388" s="0" t="s">
        <v>62</v>
      </c>
      <c r="C3388" s="0" t="n">
        <v>2012</v>
      </c>
      <c r="D3388" s="0" t="n">
        <v>6</v>
      </c>
      <c r="E3388" s="38" t="n">
        <v>3007420.73</v>
      </c>
    </row>
    <row r="3389" customFormat="false" ht="15" hidden="false" customHeight="false" outlineLevel="0" collapsed="false">
      <c r="A3389" s="0" t="n">
        <v>40</v>
      </c>
      <c r="B3389" s="0" t="s">
        <v>62</v>
      </c>
      <c r="C3389" s="0" t="n">
        <v>2012</v>
      </c>
      <c r="D3389" s="0" t="n">
        <v>7</v>
      </c>
      <c r="E3389" s="38" t="n">
        <v>3038317.57</v>
      </c>
    </row>
    <row r="3390" customFormat="false" ht="15" hidden="false" customHeight="false" outlineLevel="0" collapsed="false">
      <c r="A3390" s="0" t="n">
        <v>40</v>
      </c>
      <c r="B3390" s="0" t="s">
        <v>62</v>
      </c>
      <c r="C3390" s="0" t="n">
        <v>2012</v>
      </c>
      <c r="D3390" s="0" t="n">
        <v>8</v>
      </c>
      <c r="E3390" s="38" t="n">
        <v>2946528.09</v>
      </c>
    </row>
    <row r="3391" customFormat="false" ht="15" hidden="false" customHeight="false" outlineLevel="0" collapsed="false">
      <c r="A3391" s="0" t="n">
        <v>40</v>
      </c>
      <c r="B3391" s="0" t="s">
        <v>62</v>
      </c>
      <c r="C3391" s="0" t="n">
        <v>2012</v>
      </c>
      <c r="D3391" s="0" t="n">
        <v>9</v>
      </c>
      <c r="E3391" s="38" t="n">
        <v>3052278.61</v>
      </c>
    </row>
    <row r="3392" customFormat="false" ht="15" hidden="false" customHeight="false" outlineLevel="0" collapsed="false">
      <c r="A3392" s="0" t="n">
        <v>40</v>
      </c>
      <c r="B3392" s="0" t="s">
        <v>62</v>
      </c>
      <c r="C3392" s="0" t="n">
        <v>2012</v>
      </c>
      <c r="D3392" s="0" t="n">
        <v>10</v>
      </c>
      <c r="E3392" s="38" t="n">
        <v>2932123.44</v>
      </c>
    </row>
    <row r="3393" customFormat="false" ht="15" hidden="false" customHeight="false" outlineLevel="0" collapsed="false">
      <c r="A3393" s="0" t="n">
        <v>40</v>
      </c>
      <c r="B3393" s="0" t="s">
        <v>62</v>
      </c>
      <c r="C3393" s="0" t="n">
        <v>2012</v>
      </c>
      <c r="D3393" s="0" t="n">
        <v>11</v>
      </c>
      <c r="E3393" s="38" t="n">
        <v>3248533.52</v>
      </c>
    </row>
    <row r="3394" customFormat="false" ht="15" hidden="false" customHeight="false" outlineLevel="0" collapsed="false">
      <c r="A3394" s="0" t="n">
        <v>40</v>
      </c>
      <c r="B3394" s="0" t="s">
        <v>62</v>
      </c>
      <c r="C3394" s="0" t="n">
        <v>2012</v>
      </c>
      <c r="D3394" s="0" t="n">
        <v>12</v>
      </c>
      <c r="E3394" s="38" t="n">
        <v>3319475.54</v>
      </c>
    </row>
    <row r="3395" customFormat="false" ht="15" hidden="false" customHeight="false" outlineLevel="0" collapsed="false">
      <c r="A3395" s="0" t="n">
        <v>40</v>
      </c>
      <c r="B3395" s="0" t="s">
        <v>62</v>
      </c>
      <c r="C3395" s="0" t="n">
        <v>2013</v>
      </c>
      <c r="D3395" s="0" t="n">
        <v>1</v>
      </c>
      <c r="E3395" s="38" t="n">
        <v>3189581.04</v>
      </c>
    </row>
    <row r="3396" customFormat="false" ht="15" hidden="false" customHeight="false" outlineLevel="0" collapsed="false">
      <c r="A3396" s="0" t="n">
        <v>40</v>
      </c>
      <c r="B3396" s="0" t="s">
        <v>62</v>
      </c>
      <c r="C3396" s="0" t="n">
        <v>2013</v>
      </c>
      <c r="D3396" s="0" t="n">
        <v>2</v>
      </c>
      <c r="E3396" s="38" t="n">
        <v>3331012.85</v>
      </c>
    </row>
    <row r="3397" customFormat="false" ht="15" hidden="false" customHeight="false" outlineLevel="0" collapsed="false">
      <c r="A3397" s="0" t="n">
        <v>40</v>
      </c>
      <c r="B3397" s="0" t="s">
        <v>62</v>
      </c>
      <c r="C3397" s="0" t="n">
        <v>2013</v>
      </c>
      <c r="D3397" s="0" t="n">
        <v>3</v>
      </c>
      <c r="E3397" s="38" t="n">
        <v>3132378.24</v>
      </c>
    </row>
    <row r="3398" customFormat="false" ht="15" hidden="false" customHeight="false" outlineLevel="0" collapsed="false">
      <c r="A3398" s="0" t="n">
        <v>40</v>
      </c>
      <c r="B3398" s="0" t="s">
        <v>62</v>
      </c>
      <c r="C3398" s="0" t="n">
        <v>2013</v>
      </c>
      <c r="D3398" s="0" t="n">
        <v>4</v>
      </c>
      <c r="E3398" s="38" t="n">
        <v>3111802.87</v>
      </c>
    </row>
    <row r="3399" customFormat="false" ht="15" hidden="false" customHeight="false" outlineLevel="0" collapsed="false">
      <c r="A3399" s="0" t="n">
        <v>40</v>
      </c>
      <c r="B3399" s="0" t="s">
        <v>62</v>
      </c>
      <c r="C3399" s="0" t="n">
        <v>2013</v>
      </c>
      <c r="D3399" s="0" t="n">
        <v>5</v>
      </c>
      <c r="E3399" s="38" t="n">
        <v>3082235.42</v>
      </c>
    </row>
    <row r="3400" customFormat="false" ht="15" hidden="false" customHeight="false" outlineLevel="0" collapsed="false">
      <c r="A3400" s="0" t="n">
        <v>40</v>
      </c>
      <c r="B3400" s="0" t="s">
        <v>62</v>
      </c>
      <c r="C3400" s="0" t="n">
        <v>2013</v>
      </c>
      <c r="D3400" s="0" t="n">
        <v>6</v>
      </c>
      <c r="E3400" s="38" t="n">
        <v>3161923.4</v>
      </c>
    </row>
    <row r="3401" customFormat="false" ht="15" hidden="false" customHeight="false" outlineLevel="0" collapsed="false">
      <c r="A3401" s="0" t="n">
        <v>40</v>
      </c>
      <c r="B3401" s="0" t="s">
        <v>62</v>
      </c>
      <c r="C3401" s="0" t="n">
        <v>2013</v>
      </c>
      <c r="D3401" s="0" t="n">
        <v>7</v>
      </c>
      <c r="E3401" s="38" t="n">
        <v>3223934.39</v>
      </c>
    </row>
    <row r="3402" customFormat="false" ht="15" hidden="false" customHeight="false" outlineLevel="0" collapsed="false">
      <c r="A3402" s="0" t="n">
        <v>40</v>
      </c>
      <c r="B3402" s="0" t="s">
        <v>62</v>
      </c>
      <c r="C3402" s="0" t="n">
        <v>2013</v>
      </c>
      <c r="D3402" s="0" t="n">
        <v>8</v>
      </c>
      <c r="E3402" s="38" t="n">
        <v>3124502.96</v>
      </c>
    </row>
    <row r="3403" customFormat="false" ht="15" hidden="false" customHeight="false" outlineLevel="0" collapsed="false">
      <c r="A3403" s="0" t="n">
        <v>40</v>
      </c>
      <c r="B3403" s="0" t="s">
        <v>64</v>
      </c>
      <c r="C3403" s="0" t="n">
        <v>2011</v>
      </c>
      <c r="D3403" s="0" t="n">
        <v>1</v>
      </c>
      <c r="E3403" s="38" t="n">
        <v>507979.74</v>
      </c>
    </row>
    <row r="3404" customFormat="false" ht="15" hidden="false" customHeight="false" outlineLevel="0" collapsed="false">
      <c r="A3404" s="0" t="n">
        <v>40</v>
      </c>
      <c r="B3404" s="0" t="s">
        <v>64</v>
      </c>
      <c r="C3404" s="0" t="n">
        <v>2011</v>
      </c>
      <c r="D3404" s="0" t="n">
        <v>2</v>
      </c>
      <c r="E3404" s="38" t="n">
        <v>553184.93</v>
      </c>
    </row>
    <row r="3405" customFormat="false" ht="15" hidden="false" customHeight="false" outlineLevel="0" collapsed="false">
      <c r="A3405" s="0" t="n">
        <v>40</v>
      </c>
      <c r="B3405" s="0" t="s">
        <v>64</v>
      </c>
      <c r="C3405" s="0" t="n">
        <v>2011</v>
      </c>
      <c r="D3405" s="0" t="n">
        <v>3</v>
      </c>
      <c r="E3405" s="38" t="n">
        <v>527662.38</v>
      </c>
    </row>
    <row r="3406" customFormat="false" ht="15" hidden="false" customHeight="false" outlineLevel="0" collapsed="false">
      <c r="A3406" s="0" t="n">
        <v>40</v>
      </c>
      <c r="B3406" s="0" t="s">
        <v>64</v>
      </c>
      <c r="C3406" s="0" t="n">
        <v>2011</v>
      </c>
      <c r="D3406" s="0" t="n">
        <v>4</v>
      </c>
      <c r="E3406" s="38" t="n">
        <v>522946.39</v>
      </c>
    </row>
    <row r="3407" customFormat="false" ht="15" hidden="false" customHeight="false" outlineLevel="0" collapsed="false">
      <c r="A3407" s="0" t="n">
        <v>40</v>
      </c>
      <c r="B3407" s="0" t="s">
        <v>64</v>
      </c>
      <c r="C3407" s="0" t="n">
        <v>2011</v>
      </c>
      <c r="D3407" s="0" t="n">
        <v>5</v>
      </c>
      <c r="E3407" s="38" t="n">
        <v>477431.62</v>
      </c>
    </row>
    <row r="3408" customFormat="false" ht="15" hidden="false" customHeight="false" outlineLevel="0" collapsed="false">
      <c r="A3408" s="0" t="n">
        <v>40</v>
      </c>
      <c r="B3408" s="0" t="s">
        <v>64</v>
      </c>
      <c r="C3408" s="0" t="n">
        <v>2011</v>
      </c>
      <c r="D3408" s="0" t="n">
        <v>6</v>
      </c>
      <c r="E3408" s="38" t="n">
        <v>478464.2</v>
      </c>
    </row>
    <row r="3409" customFormat="false" ht="15" hidden="false" customHeight="false" outlineLevel="0" collapsed="false">
      <c r="A3409" s="0" t="n">
        <v>40</v>
      </c>
      <c r="B3409" s="0" t="s">
        <v>64</v>
      </c>
      <c r="C3409" s="0" t="n">
        <v>2011</v>
      </c>
      <c r="D3409" s="0" t="n">
        <v>7</v>
      </c>
      <c r="E3409" s="38" t="n">
        <v>497697.09</v>
      </c>
    </row>
    <row r="3410" customFormat="false" ht="15" hidden="false" customHeight="false" outlineLevel="0" collapsed="false">
      <c r="A3410" s="0" t="n">
        <v>40</v>
      </c>
      <c r="B3410" s="0" t="s">
        <v>64</v>
      </c>
      <c r="C3410" s="0" t="n">
        <v>2011</v>
      </c>
      <c r="D3410" s="0" t="n">
        <v>8</v>
      </c>
      <c r="E3410" s="38" t="n">
        <v>513473.97</v>
      </c>
    </row>
    <row r="3411" customFormat="false" ht="15" hidden="false" customHeight="false" outlineLevel="0" collapsed="false">
      <c r="A3411" s="0" t="n">
        <v>40</v>
      </c>
      <c r="B3411" s="0" t="s">
        <v>64</v>
      </c>
      <c r="C3411" s="0" t="n">
        <v>2011</v>
      </c>
      <c r="D3411" s="0" t="n">
        <v>9</v>
      </c>
      <c r="E3411" s="38" t="n">
        <v>531549.6</v>
      </c>
    </row>
    <row r="3412" customFormat="false" ht="15" hidden="false" customHeight="false" outlineLevel="0" collapsed="false">
      <c r="A3412" s="0" t="n">
        <v>40</v>
      </c>
      <c r="B3412" s="0" t="s">
        <v>64</v>
      </c>
      <c r="C3412" s="0" t="n">
        <v>2011</v>
      </c>
      <c r="D3412" s="0" t="n">
        <v>10</v>
      </c>
      <c r="E3412" s="38" t="n">
        <v>502975.14</v>
      </c>
    </row>
    <row r="3413" customFormat="false" ht="15" hidden="false" customHeight="false" outlineLevel="0" collapsed="false">
      <c r="A3413" s="0" t="n">
        <v>40</v>
      </c>
      <c r="B3413" s="0" t="s">
        <v>64</v>
      </c>
      <c r="C3413" s="0" t="n">
        <v>2011</v>
      </c>
      <c r="D3413" s="0" t="n">
        <v>11</v>
      </c>
      <c r="E3413" s="38" t="n">
        <v>512148.49</v>
      </c>
    </row>
    <row r="3414" customFormat="false" ht="15" hidden="false" customHeight="false" outlineLevel="0" collapsed="false">
      <c r="A3414" s="0" t="n">
        <v>40</v>
      </c>
      <c r="B3414" s="0" t="s">
        <v>64</v>
      </c>
      <c r="C3414" s="0" t="n">
        <v>2011</v>
      </c>
      <c r="D3414" s="0" t="n">
        <v>12</v>
      </c>
      <c r="E3414" s="38" t="n">
        <v>562316.83</v>
      </c>
    </row>
    <row r="3415" customFormat="false" ht="15" hidden="false" customHeight="false" outlineLevel="0" collapsed="false">
      <c r="A3415" s="0" t="n">
        <v>40</v>
      </c>
      <c r="B3415" s="0" t="s">
        <v>64</v>
      </c>
      <c r="C3415" s="0" t="n">
        <v>2012</v>
      </c>
      <c r="D3415" s="0" t="n">
        <v>1</v>
      </c>
      <c r="E3415" s="38" t="n">
        <v>516498.25</v>
      </c>
    </row>
    <row r="3416" customFormat="false" ht="15" hidden="false" customHeight="false" outlineLevel="0" collapsed="false">
      <c r="A3416" s="0" t="n">
        <v>40</v>
      </c>
      <c r="B3416" s="0" t="s">
        <v>64</v>
      </c>
      <c r="C3416" s="0" t="n">
        <v>2012</v>
      </c>
      <c r="D3416" s="0" t="n">
        <v>2</v>
      </c>
      <c r="E3416" s="38" t="n">
        <v>564159.45</v>
      </c>
    </row>
    <row r="3417" customFormat="false" ht="15" hidden="false" customHeight="false" outlineLevel="0" collapsed="false">
      <c r="A3417" s="0" t="n">
        <v>40</v>
      </c>
      <c r="B3417" s="0" t="s">
        <v>64</v>
      </c>
      <c r="C3417" s="0" t="n">
        <v>2012</v>
      </c>
      <c r="D3417" s="0" t="n">
        <v>3</v>
      </c>
      <c r="E3417" s="38" t="n">
        <v>517165</v>
      </c>
    </row>
    <row r="3418" customFormat="false" ht="15" hidden="false" customHeight="false" outlineLevel="0" collapsed="false">
      <c r="A3418" s="0" t="n">
        <v>40</v>
      </c>
      <c r="B3418" s="0" t="s">
        <v>64</v>
      </c>
      <c r="C3418" s="0" t="n">
        <v>2012</v>
      </c>
      <c r="D3418" s="0" t="n">
        <v>4</v>
      </c>
      <c r="E3418" s="38" t="n">
        <v>520971.08</v>
      </c>
    </row>
    <row r="3419" customFormat="false" ht="15" hidden="false" customHeight="false" outlineLevel="0" collapsed="false">
      <c r="A3419" s="0" t="n">
        <v>40</v>
      </c>
      <c r="B3419" s="0" t="s">
        <v>64</v>
      </c>
      <c r="C3419" s="0" t="n">
        <v>2012</v>
      </c>
      <c r="D3419" s="0" t="n">
        <v>5</v>
      </c>
      <c r="E3419" s="38" t="n">
        <v>477058.55</v>
      </c>
    </row>
    <row r="3420" customFormat="false" ht="15" hidden="false" customHeight="false" outlineLevel="0" collapsed="false">
      <c r="A3420" s="0" t="n">
        <v>40</v>
      </c>
      <c r="B3420" s="0" t="s">
        <v>64</v>
      </c>
      <c r="C3420" s="0" t="n">
        <v>2012</v>
      </c>
      <c r="D3420" s="0" t="n">
        <v>6</v>
      </c>
      <c r="E3420" s="38" t="n">
        <v>471579.41</v>
      </c>
    </row>
    <row r="3421" customFormat="false" ht="15" hidden="false" customHeight="false" outlineLevel="0" collapsed="false">
      <c r="A3421" s="0" t="n">
        <v>40</v>
      </c>
      <c r="B3421" s="0" t="s">
        <v>64</v>
      </c>
      <c r="C3421" s="0" t="n">
        <v>2012</v>
      </c>
      <c r="D3421" s="0" t="n">
        <v>7</v>
      </c>
      <c r="E3421" s="38" t="n">
        <v>488621.76</v>
      </c>
    </row>
    <row r="3422" customFormat="false" ht="15" hidden="false" customHeight="false" outlineLevel="0" collapsed="false">
      <c r="A3422" s="0" t="n">
        <v>40</v>
      </c>
      <c r="B3422" s="0" t="s">
        <v>64</v>
      </c>
      <c r="C3422" s="0" t="n">
        <v>2012</v>
      </c>
      <c r="D3422" s="0" t="n">
        <v>8</v>
      </c>
      <c r="E3422" s="38" t="n">
        <v>488638.44</v>
      </c>
    </row>
    <row r="3423" customFormat="false" ht="15" hidden="false" customHeight="false" outlineLevel="0" collapsed="false">
      <c r="A3423" s="0" t="n">
        <v>40</v>
      </c>
      <c r="B3423" s="0" t="s">
        <v>64</v>
      </c>
      <c r="C3423" s="0" t="n">
        <v>2012</v>
      </c>
      <c r="D3423" s="0" t="n">
        <v>9</v>
      </c>
      <c r="E3423" s="38" t="n">
        <v>528058.09</v>
      </c>
    </row>
    <row r="3424" customFormat="false" ht="15" hidden="false" customHeight="false" outlineLevel="0" collapsed="false">
      <c r="A3424" s="0" t="n">
        <v>40</v>
      </c>
      <c r="B3424" s="0" t="s">
        <v>64</v>
      </c>
      <c r="C3424" s="0" t="n">
        <v>2012</v>
      </c>
      <c r="D3424" s="0" t="n">
        <v>10</v>
      </c>
      <c r="E3424" s="38" t="n">
        <v>505663.77</v>
      </c>
    </row>
    <row r="3425" customFormat="false" ht="15" hidden="false" customHeight="false" outlineLevel="0" collapsed="false">
      <c r="A3425" s="0" t="n">
        <v>40</v>
      </c>
      <c r="B3425" s="0" t="s">
        <v>64</v>
      </c>
      <c r="C3425" s="0" t="n">
        <v>2012</v>
      </c>
      <c r="D3425" s="0" t="n">
        <v>11</v>
      </c>
      <c r="E3425" s="38" t="n">
        <v>514923.14</v>
      </c>
    </row>
    <row r="3426" customFormat="false" ht="15" hidden="false" customHeight="false" outlineLevel="0" collapsed="false">
      <c r="A3426" s="0" t="n">
        <v>40</v>
      </c>
      <c r="B3426" s="0" t="s">
        <v>64</v>
      </c>
      <c r="C3426" s="0" t="n">
        <v>2012</v>
      </c>
      <c r="D3426" s="0" t="n">
        <v>12</v>
      </c>
      <c r="E3426" s="38" t="n">
        <v>585984.11</v>
      </c>
    </row>
    <row r="3427" customFormat="false" ht="15" hidden="false" customHeight="false" outlineLevel="0" collapsed="false">
      <c r="A3427" s="0" t="n">
        <v>40</v>
      </c>
      <c r="B3427" s="0" t="s">
        <v>64</v>
      </c>
      <c r="C3427" s="0" t="n">
        <v>2013</v>
      </c>
      <c r="D3427" s="0" t="n">
        <v>1</v>
      </c>
      <c r="E3427" s="38" t="n">
        <v>550141.26</v>
      </c>
    </row>
    <row r="3428" customFormat="false" ht="15" hidden="false" customHeight="false" outlineLevel="0" collapsed="false">
      <c r="A3428" s="0" t="n">
        <v>40</v>
      </c>
      <c r="B3428" s="0" t="s">
        <v>64</v>
      </c>
      <c r="C3428" s="0" t="n">
        <v>2013</v>
      </c>
      <c r="D3428" s="0" t="n">
        <v>2</v>
      </c>
      <c r="E3428" s="38" t="n">
        <v>584279.82</v>
      </c>
    </row>
    <row r="3429" customFormat="false" ht="15" hidden="false" customHeight="false" outlineLevel="0" collapsed="false">
      <c r="A3429" s="0" t="n">
        <v>40</v>
      </c>
      <c r="B3429" s="0" t="s">
        <v>64</v>
      </c>
      <c r="C3429" s="0" t="n">
        <v>2013</v>
      </c>
      <c r="D3429" s="0" t="n">
        <v>3</v>
      </c>
      <c r="E3429" s="38" t="n">
        <v>543560.41</v>
      </c>
    </row>
    <row r="3430" customFormat="false" ht="15" hidden="false" customHeight="false" outlineLevel="0" collapsed="false">
      <c r="A3430" s="0" t="n">
        <v>40</v>
      </c>
      <c r="B3430" s="0" t="s">
        <v>64</v>
      </c>
      <c r="C3430" s="0" t="n">
        <v>2013</v>
      </c>
      <c r="D3430" s="0" t="n">
        <v>4</v>
      </c>
      <c r="E3430" s="38" t="n">
        <v>545474.21</v>
      </c>
    </row>
    <row r="3431" customFormat="false" ht="15" hidden="false" customHeight="false" outlineLevel="0" collapsed="false">
      <c r="A3431" s="0" t="n">
        <v>40</v>
      </c>
      <c r="B3431" s="0" t="s">
        <v>64</v>
      </c>
      <c r="C3431" s="0" t="n">
        <v>2013</v>
      </c>
      <c r="D3431" s="0" t="n">
        <v>5</v>
      </c>
      <c r="E3431" s="38" t="n">
        <v>499480.46</v>
      </c>
    </row>
    <row r="3432" customFormat="false" ht="15" hidden="false" customHeight="false" outlineLevel="0" collapsed="false">
      <c r="A3432" s="0" t="n">
        <v>40</v>
      </c>
      <c r="B3432" s="0" t="s">
        <v>64</v>
      </c>
      <c r="C3432" s="0" t="n">
        <v>2013</v>
      </c>
      <c r="D3432" s="0" t="n">
        <v>6</v>
      </c>
      <c r="E3432" s="38" t="n">
        <v>508795.85</v>
      </c>
    </row>
    <row r="3433" customFormat="false" ht="15" hidden="false" customHeight="false" outlineLevel="0" collapsed="false">
      <c r="A3433" s="0" t="n">
        <v>40</v>
      </c>
      <c r="B3433" s="0" t="s">
        <v>64</v>
      </c>
      <c r="C3433" s="0" t="n">
        <v>2013</v>
      </c>
      <c r="D3433" s="0" t="n">
        <v>7</v>
      </c>
      <c r="E3433" s="38" t="n">
        <v>528111.43</v>
      </c>
    </row>
    <row r="3434" customFormat="false" ht="15" hidden="false" customHeight="false" outlineLevel="0" collapsed="false">
      <c r="A3434" s="0" t="n">
        <v>40</v>
      </c>
      <c r="B3434" s="0" t="s">
        <v>64</v>
      </c>
      <c r="C3434" s="0" t="n">
        <v>2013</v>
      </c>
      <c r="D3434" s="0" t="n">
        <v>8</v>
      </c>
      <c r="E3434" s="38" t="n">
        <v>546734.89</v>
      </c>
    </row>
    <row r="3435" customFormat="false" ht="15" hidden="false" customHeight="false" outlineLevel="0" collapsed="false">
      <c r="A3435" s="0" t="n">
        <v>41</v>
      </c>
      <c r="B3435" s="0" t="s">
        <v>60</v>
      </c>
      <c r="C3435" s="0" t="n">
        <v>2011</v>
      </c>
      <c r="D3435" s="0" t="n">
        <v>1</v>
      </c>
      <c r="E3435" s="38" t="n">
        <v>74125.69</v>
      </c>
    </row>
    <row r="3436" customFormat="false" ht="15" hidden="false" customHeight="false" outlineLevel="0" collapsed="false">
      <c r="A3436" s="0" t="n">
        <v>41</v>
      </c>
      <c r="B3436" s="0" t="s">
        <v>60</v>
      </c>
      <c r="C3436" s="0" t="n">
        <v>2011</v>
      </c>
      <c r="D3436" s="0" t="n">
        <v>2</v>
      </c>
      <c r="E3436" s="38" t="n">
        <v>86211.08</v>
      </c>
    </row>
    <row r="3437" customFormat="false" ht="15" hidden="false" customHeight="false" outlineLevel="0" collapsed="false">
      <c r="A3437" s="0" t="n">
        <v>41</v>
      </c>
      <c r="B3437" s="0" t="s">
        <v>60</v>
      </c>
      <c r="C3437" s="0" t="n">
        <v>2011</v>
      </c>
      <c r="D3437" s="0" t="n">
        <v>3</v>
      </c>
      <c r="E3437" s="38" t="n">
        <v>108054.39</v>
      </c>
    </row>
    <row r="3438" customFormat="false" ht="15" hidden="false" customHeight="false" outlineLevel="0" collapsed="false">
      <c r="A3438" s="0" t="n">
        <v>41</v>
      </c>
      <c r="B3438" s="0" t="s">
        <v>60</v>
      </c>
      <c r="C3438" s="0" t="n">
        <v>2011</v>
      </c>
      <c r="D3438" s="0" t="n">
        <v>4</v>
      </c>
      <c r="E3438" s="38" t="n">
        <v>94247.32</v>
      </c>
    </row>
    <row r="3439" customFormat="false" ht="15" hidden="false" customHeight="false" outlineLevel="0" collapsed="false">
      <c r="A3439" s="0" t="n">
        <v>41</v>
      </c>
      <c r="B3439" s="0" t="s">
        <v>60</v>
      </c>
      <c r="C3439" s="0" t="n">
        <v>2011</v>
      </c>
      <c r="D3439" s="0" t="n">
        <v>5</v>
      </c>
      <c r="E3439" s="38" t="n">
        <v>121374.74</v>
      </c>
    </row>
    <row r="3440" customFormat="false" ht="15" hidden="false" customHeight="false" outlineLevel="0" collapsed="false">
      <c r="A3440" s="0" t="n">
        <v>41</v>
      </c>
      <c r="B3440" s="0" t="s">
        <v>60</v>
      </c>
      <c r="C3440" s="0" t="n">
        <v>2011</v>
      </c>
      <c r="D3440" s="0" t="n">
        <v>6</v>
      </c>
      <c r="E3440" s="38" t="n">
        <v>100163.68</v>
      </c>
    </row>
    <row r="3441" customFormat="false" ht="15" hidden="false" customHeight="false" outlineLevel="0" collapsed="false">
      <c r="A3441" s="0" t="n">
        <v>41</v>
      </c>
      <c r="B3441" s="0" t="s">
        <v>60</v>
      </c>
      <c r="C3441" s="0" t="n">
        <v>2011</v>
      </c>
      <c r="D3441" s="0" t="n">
        <v>7</v>
      </c>
      <c r="E3441" s="38" t="n">
        <v>205006.61</v>
      </c>
    </row>
    <row r="3442" customFormat="false" ht="15" hidden="false" customHeight="false" outlineLevel="0" collapsed="false">
      <c r="A3442" s="0" t="n">
        <v>41</v>
      </c>
      <c r="B3442" s="0" t="s">
        <v>60</v>
      </c>
      <c r="C3442" s="0" t="n">
        <v>2011</v>
      </c>
      <c r="D3442" s="0" t="n">
        <v>8</v>
      </c>
      <c r="E3442" s="38" t="n">
        <v>305074.71</v>
      </c>
    </row>
    <row r="3443" customFormat="false" ht="15" hidden="false" customHeight="false" outlineLevel="0" collapsed="false">
      <c r="A3443" s="0" t="n">
        <v>41</v>
      </c>
      <c r="B3443" s="0" t="s">
        <v>60</v>
      </c>
      <c r="C3443" s="0" t="n">
        <v>2011</v>
      </c>
      <c r="D3443" s="0" t="n">
        <v>9</v>
      </c>
      <c r="E3443" s="38" t="n">
        <v>285964.49</v>
      </c>
    </row>
    <row r="3444" customFormat="false" ht="15" hidden="false" customHeight="false" outlineLevel="0" collapsed="false">
      <c r="A3444" s="0" t="n">
        <v>41</v>
      </c>
      <c r="B3444" s="0" t="s">
        <v>60</v>
      </c>
      <c r="C3444" s="0" t="n">
        <v>2011</v>
      </c>
      <c r="D3444" s="0" t="n">
        <v>10</v>
      </c>
      <c r="E3444" s="38" t="n">
        <v>222836.31</v>
      </c>
    </row>
    <row r="3445" customFormat="false" ht="15" hidden="false" customHeight="false" outlineLevel="0" collapsed="false">
      <c r="A3445" s="0" t="n">
        <v>41</v>
      </c>
      <c r="B3445" s="0" t="s">
        <v>60</v>
      </c>
      <c r="C3445" s="0" t="n">
        <v>2011</v>
      </c>
      <c r="D3445" s="0" t="n">
        <v>11</v>
      </c>
      <c r="E3445" s="38" t="n">
        <v>377103.63</v>
      </c>
    </row>
    <row r="3446" customFormat="false" ht="15" hidden="false" customHeight="false" outlineLevel="0" collapsed="false">
      <c r="A3446" s="0" t="n">
        <v>41</v>
      </c>
      <c r="B3446" s="0" t="s">
        <v>60</v>
      </c>
      <c r="C3446" s="0" t="n">
        <v>2011</v>
      </c>
      <c r="D3446" s="0" t="n">
        <v>12</v>
      </c>
      <c r="E3446" s="38" t="n">
        <v>124874.94</v>
      </c>
    </row>
    <row r="3447" customFormat="false" ht="15" hidden="false" customHeight="false" outlineLevel="0" collapsed="false">
      <c r="A3447" s="0" t="n">
        <v>41</v>
      </c>
      <c r="B3447" s="0" t="s">
        <v>60</v>
      </c>
      <c r="C3447" s="0" t="n">
        <v>2012</v>
      </c>
      <c r="D3447" s="0" t="n">
        <v>1</v>
      </c>
      <c r="E3447" s="38" t="n">
        <v>144925.31</v>
      </c>
    </row>
    <row r="3448" customFormat="false" ht="15" hidden="false" customHeight="false" outlineLevel="0" collapsed="false">
      <c r="A3448" s="0" t="n">
        <v>41</v>
      </c>
      <c r="B3448" s="0" t="s">
        <v>60</v>
      </c>
      <c r="C3448" s="0" t="n">
        <v>2012</v>
      </c>
      <c r="D3448" s="0" t="n">
        <v>2</v>
      </c>
      <c r="E3448" s="38" t="n">
        <v>113259.77</v>
      </c>
    </row>
    <row r="3449" customFormat="false" ht="15" hidden="false" customHeight="false" outlineLevel="0" collapsed="false">
      <c r="A3449" s="0" t="n">
        <v>41</v>
      </c>
      <c r="B3449" s="0" t="s">
        <v>60</v>
      </c>
      <c r="C3449" s="0" t="n">
        <v>2012</v>
      </c>
      <c r="D3449" s="0" t="n">
        <v>3</v>
      </c>
      <c r="E3449" s="38" t="n">
        <v>136511.77</v>
      </c>
    </row>
    <row r="3450" customFormat="false" ht="15" hidden="false" customHeight="false" outlineLevel="0" collapsed="false">
      <c r="A3450" s="0" t="n">
        <v>41</v>
      </c>
      <c r="B3450" s="0" t="s">
        <v>60</v>
      </c>
      <c r="C3450" s="0" t="n">
        <v>2012</v>
      </c>
      <c r="D3450" s="0" t="n">
        <v>4</v>
      </c>
      <c r="E3450" s="38" t="n">
        <v>120833.95</v>
      </c>
    </row>
    <row r="3451" customFormat="false" ht="15" hidden="false" customHeight="false" outlineLevel="0" collapsed="false">
      <c r="A3451" s="0" t="n">
        <v>41</v>
      </c>
      <c r="B3451" s="0" t="s">
        <v>60</v>
      </c>
      <c r="C3451" s="0" t="n">
        <v>2012</v>
      </c>
      <c r="D3451" s="0" t="n">
        <v>5</v>
      </c>
      <c r="E3451" s="38" t="n">
        <v>153040.72</v>
      </c>
    </row>
    <row r="3452" customFormat="false" ht="15" hidden="false" customHeight="false" outlineLevel="0" collapsed="false">
      <c r="A3452" s="0" t="n">
        <v>41</v>
      </c>
      <c r="B3452" s="0" t="s">
        <v>60</v>
      </c>
      <c r="C3452" s="0" t="n">
        <v>2012</v>
      </c>
      <c r="D3452" s="0" t="n">
        <v>6</v>
      </c>
      <c r="E3452" s="38" t="n">
        <v>118898.7</v>
      </c>
    </row>
    <row r="3453" customFormat="false" ht="15" hidden="false" customHeight="false" outlineLevel="0" collapsed="false">
      <c r="A3453" s="0" t="n">
        <v>41</v>
      </c>
      <c r="B3453" s="0" t="s">
        <v>60</v>
      </c>
      <c r="C3453" s="0" t="n">
        <v>2012</v>
      </c>
      <c r="D3453" s="0" t="n">
        <v>7</v>
      </c>
      <c r="E3453" s="38" t="n">
        <v>186818.95</v>
      </c>
    </row>
    <row r="3454" customFormat="false" ht="15" hidden="false" customHeight="false" outlineLevel="0" collapsed="false">
      <c r="A3454" s="0" t="n">
        <v>41</v>
      </c>
      <c r="B3454" s="0" t="s">
        <v>60</v>
      </c>
      <c r="C3454" s="0" t="n">
        <v>2012</v>
      </c>
      <c r="D3454" s="0" t="n">
        <v>8</v>
      </c>
      <c r="E3454" s="38" t="n">
        <v>271706.93</v>
      </c>
    </row>
    <row r="3455" customFormat="false" ht="15" hidden="false" customHeight="false" outlineLevel="0" collapsed="false">
      <c r="A3455" s="0" t="n">
        <v>41</v>
      </c>
      <c r="B3455" s="0" t="s">
        <v>60</v>
      </c>
      <c r="C3455" s="0" t="n">
        <v>2012</v>
      </c>
      <c r="D3455" s="0" t="n">
        <v>9</v>
      </c>
      <c r="E3455" s="38" t="n">
        <v>274048.15</v>
      </c>
    </row>
    <row r="3456" customFormat="false" ht="15" hidden="false" customHeight="false" outlineLevel="0" collapsed="false">
      <c r="A3456" s="0" t="n">
        <v>41</v>
      </c>
      <c r="B3456" s="0" t="s">
        <v>60</v>
      </c>
      <c r="C3456" s="0" t="n">
        <v>2012</v>
      </c>
      <c r="D3456" s="0" t="n">
        <v>10</v>
      </c>
      <c r="E3456" s="38" t="n">
        <v>213294.47</v>
      </c>
    </row>
    <row r="3457" customFormat="false" ht="15" hidden="false" customHeight="false" outlineLevel="0" collapsed="false">
      <c r="A3457" s="0" t="n">
        <v>41</v>
      </c>
      <c r="B3457" s="0" t="s">
        <v>60</v>
      </c>
      <c r="C3457" s="0" t="n">
        <v>2012</v>
      </c>
      <c r="D3457" s="0" t="n">
        <v>11</v>
      </c>
      <c r="E3457" s="38" t="n">
        <v>370492.76</v>
      </c>
    </row>
    <row r="3458" customFormat="false" ht="15" hidden="false" customHeight="false" outlineLevel="0" collapsed="false">
      <c r="A3458" s="0" t="n">
        <v>41</v>
      </c>
      <c r="B3458" s="0" t="s">
        <v>60</v>
      </c>
      <c r="C3458" s="0" t="n">
        <v>2012</v>
      </c>
      <c r="D3458" s="0" t="n">
        <v>12</v>
      </c>
      <c r="E3458" s="38" t="n">
        <v>92633.04</v>
      </c>
    </row>
    <row r="3459" customFormat="false" ht="15" hidden="false" customHeight="false" outlineLevel="0" collapsed="false">
      <c r="A3459" s="0" t="n">
        <v>41</v>
      </c>
      <c r="B3459" s="0" t="s">
        <v>60</v>
      </c>
      <c r="C3459" s="0" t="n">
        <v>2013</v>
      </c>
      <c r="D3459" s="0" t="n">
        <v>1</v>
      </c>
      <c r="E3459" s="38" t="n">
        <v>113719.52</v>
      </c>
    </row>
    <row r="3460" customFormat="false" ht="15" hidden="false" customHeight="false" outlineLevel="0" collapsed="false">
      <c r="A3460" s="0" t="n">
        <v>41</v>
      </c>
      <c r="B3460" s="0" t="s">
        <v>60</v>
      </c>
      <c r="C3460" s="0" t="n">
        <v>2013</v>
      </c>
      <c r="D3460" s="0" t="n">
        <v>2</v>
      </c>
      <c r="E3460" s="38" t="n">
        <v>135173.02</v>
      </c>
    </row>
    <row r="3461" customFormat="false" ht="15" hidden="false" customHeight="false" outlineLevel="0" collapsed="false">
      <c r="A3461" s="0" t="n">
        <v>41</v>
      </c>
      <c r="B3461" s="0" t="s">
        <v>60</v>
      </c>
      <c r="C3461" s="0" t="n">
        <v>2013</v>
      </c>
      <c r="D3461" s="0" t="n">
        <v>3</v>
      </c>
      <c r="E3461" s="38" t="n">
        <v>134481.64</v>
      </c>
    </row>
    <row r="3462" customFormat="false" ht="15" hidden="false" customHeight="false" outlineLevel="0" collapsed="false">
      <c r="A3462" s="0" t="n">
        <v>41</v>
      </c>
      <c r="B3462" s="0" t="s">
        <v>60</v>
      </c>
      <c r="C3462" s="0" t="n">
        <v>2013</v>
      </c>
      <c r="D3462" s="0" t="n">
        <v>4</v>
      </c>
      <c r="E3462" s="38" t="n">
        <v>120326.34</v>
      </c>
    </row>
    <row r="3463" customFormat="false" ht="15" hidden="false" customHeight="false" outlineLevel="0" collapsed="false">
      <c r="A3463" s="0" t="n">
        <v>41</v>
      </c>
      <c r="B3463" s="0" t="s">
        <v>60</v>
      </c>
      <c r="C3463" s="0" t="n">
        <v>2013</v>
      </c>
      <c r="D3463" s="0" t="n">
        <v>5</v>
      </c>
      <c r="E3463" s="38" t="n">
        <v>119886.02</v>
      </c>
    </row>
    <row r="3464" customFormat="false" ht="15" hidden="false" customHeight="false" outlineLevel="0" collapsed="false">
      <c r="A3464" s="0" t="n">
        <v>41</v>
      </c>
      <c r="B3464" s="0" t="s">
        <v>60</v>
      </c>
      <c r="C3464" s="0" t="n">
        <v>2013</v>
      </c>
      <c r="D3464" s="0" t="n">
        <v>6</v>
      </c>
      <c r="E3464" s="38" t="n">
        <v>125436.81</v>
      </c>
    </row>
    <row r="3465" customFormat="false" ht="15" hidden="false" customHeight="false" outlineLevel="0" collapsed="false">
      <c r="A3465" s="0" t="n">
        <v>41</v>
      </c>
      <c r="B3465" s="0" t="s">
        <v>60</v>
      </c>
      <c r="C3465" s="0" t="n">
        <v>2013</v>
      </c>
      <c r="D3465" s="0" t="n">
        <v>7</v>
      </c>
      <c r="E3465" s="38" t="n">
        <v>231142.48</v>
      </c>
    </row>
    <row r="3466" customFormat="false" ht="15" hidden="false" customHeight="false" outlineLevel="0" collapsed="false">
      <c r="A3466" s="0" t="n">
        <v>41</v>
      </c>
      <c r="B3466" s="0" t="s">
        <v>60</v>
      </c>
      <c r="C3466" s="0" t="n">
        <v>2013</v>
      </c>
      <c r="D3466" s="0" t="n">
        <v>8</v>
      </c>
      <c r="E3466" s="38" t="n">
        <v>288118.5</v>
      </c>
    </row>
    <row r="3467" customFormat="false" ht="15" hidden="false" customHeight="false" outlineLevel="0" collapsed="false">
      <c r="A3467" s="0" t="n">
        <v>41</v>
      </c>
      <c r="B3467" s="0" t="s">
        <v>62</v>
      </c>
      <c r="C3467" s="0" t="n">
        <v>2011</v>
      </c>
      <c r="D3467" s="0" t="n">
        <v>1</v>
      </c>
      <c r="E3467" s="38" t="n">
        <v>67513.91</v>
      </c>
    </row>
    <row r="3468" customFormat="false" ht="15" hidden="false" customHeight="false" outlineLevel="0" collapsed="false">
      <c r="A3468" s="0" t="n">
        <v>41</v>
      </c>
      <c r="B3468" s="0" t="s">
        <v>62</v>
      </c>
      <c r="C3468" s="0" t="n">
        <v>2011</v>
      </c>
      <c r="D3468" s="0" t="n">
        <v>2</v>
      </c>
      <c r="E3468" s="38" t="n">
        <v>87994.8</v>
      </c>
    </row>
    <row r="3469" customFormat="false" ht="15" hidden="false" customHeight="false" outlineLevel="0" collapsed="false">
      <c r="A3469" s="0" t="n">
        <v>41</v>
      </c>
      <c r="B3469" s="0" t="s">
        <v>62</v>
      </c>
      <c r="C3469" s="0" t="n">
        <v>2011</v>
      </c>
      <c r="D3469" s="0" t="n">
        <v>3</v>
      </c>
      <c r="E3469" s="38" t="n">
        <v>96850.3</v>
      </c>
    </row>
    <row r="3470" customFormat="false" ht="15" hidden="false" customHeight="false" outlineLevel="0" collapsed="false">
      <c r="A3470" s="0" t="n">
        <v>41</v>
      </c>
      <c r="B3470" s="0" t="s">
        <v>62</v>
      </c>
      <c r="C3470" s="0" t="n">
        <v>2011</v>
      </c>
      <c r="D3470" s="0" t="n">
        <v>4</v>
      </c>
      <c r="E3470" s="38" t="n">
        <v>83527.7</v>
      </c>
    </row>
    <row r="3471" customFormat="false" ht="15" hidden="false" customHeight="false" outlineLevel="0" collapsed="false">
      <c r="A3471" s="0" t="n">
        <v>41</v>
      </c>
      <c r="B3471" s="0" t="s">
        <v>62</v>
      </c>
      <c r="C3471" s="0" t="n">
        <v>2011</v>
      </c>
      <c r="D3471" s="0" t="n">
        <v>5</v>
      </c>
      <c r="E3471" s="38" t="n">
        <v>102966.71</v>
      </c>
    </row>
    <row r="3472" customFormat="false" ht="15" hidden="false" customHeight="false" outlineLevel="0" collapsed="false">
      <c r="A3472" s="0" t="n">
        <v>41</v>
      </c>
      <c r="B3472" s="0" t="s">
        <v>62</v>
      </c>
      <c r="C3472" s="0" t="n">
        <v>2011</v>
      </c>
      <c r="D3472" s="0" t="n">
        <v>6</v>
      </c>
      <c r="E3472" s="38" t="n">
        <v>95980.96</v>
      </c>
    </row>
    <row r="3473" customFormat="false" ht="15" hidden="false" customHeight="false" outlineLevel="0" collapsed="false">
      <c r="A3473" s="0" t="n">
        <v>41</v>
      </c>
      <c r="B3473" s="0" t="s">
        <v>62</v>
      </c>
      <c r="C3473" s="0" t="n">
        <v>2011</v>
      </c>
      <c r="D3473" s="0" t="n">
        <v>7</v>
      </c>
      <c r="E3473" s="38" t="n">
        <v>150237</v>
      </c>
    </row>
    <row r="3474" customFormat="false" ht="15" hidden="false" customHeight="false" outlineLevel="0" collapsed="false">
      <c r="A3474" s="0" t="n">
        <v>41</v>
      </c>
      <c r="B3474" s="0" t="s">
        <v>62</v>
      </c>
      <c r="C3474" s="0" t="n">
        <v>2011</v>
      </c>
      <c r="D3474" s="0" t="n">
        <v>8</v>
      </c>
      <c r="E3474" s="38" t="n">
        <v>220248.22</v>
      </c>
    </row>
    <row r="3475" customFormat="false" ht="15" hidden="false" customHeight="false" outlineLevel="0" collapsed="false">
      <c r="A3475" s="0" t="n">
        <v>41</v>
      </c>
      <c r="B3475" s="0" t="s">
        <v>62</v>
      </c>
      <c r="C3475" s="0" t="n">
        <v>2011</v>
      </c>
      <c r="D3475" s="0" t="n">
        <v>9</v>
      </c>
      <c r="E3475" s="38" t="n">
        <v>209516.07</v>
      </c>
    </row>
    <row r="3476" customFormat="false" ht="15" hidden="false" customHeight="false" outlineLevel="0" collapsed="false">
      <c r="A3476" s="0" t="n">
        <v>41</v>
      </c>
      <c r="B3476" s="0" t="s">
        <v>62</v>
      </c>
      <c r="C3476" s="0" t="n">
        <v>2011</v>
      </c>
      <c r="D3476" s="0" t="n">
        <v>10</v>
      </c>
      <c r="E3476" s="38" t="n">
        <v>170938.85</v>
      </c>
    </row>
    <row r="3477" customFormat="false" ht="15" hidden="false" customHeight="false" outlineLevel="0" collapsed="false">
      <c r="A3477" s="0" t="n">
        <v>41</v>
      </c>
      <c r="B3477" s="0" t="s">
        <v>62</v>
      </c>
      <c r="C3477" s="0" t="n">
        <v>2011</v>
      </c>
      <c r="D3477" s="0" t="n">
        <v>11</v>
      </c>
      <c r="E3477" s="38" t="n">
        <v>290614.21</v>
      </c>
    </row>
    <row r="3478" customFormat="false" ht="15" hidden="false" customHeight="false" outlineLevel="0" collapsed="false">
      <c r="A3478" s="0" t="n">
        <v>41</v>
      </c>
      <c r="B3478" s="0" t="s">
        <v>62</v>
      </c>
      <c r="C3478" s="0" t="n">
        <v>2011</v>
      </c>
      <c r="D3478" s="0" t="n">
        <v>12</v>
      </c>
      <c r="E3478" s="38" t="n">
        <v>106576.74</v>
      </c>
    </row>
    <row r="3479" customFormat="false" ht="15" hidden="false" customHeight="false" outlineLevel="0" collapsed="false">
      <c r="A3479" s="0" t="n">
        <v>41</v>
      </c>
      <c r="B3479" s="0" t="s">
        <v>62</v>
      </c>
      <c r="C3479" s="0" t="n">
        <v>2012</v>
      </c>
      <c r="D3479" s="0" t="n">
        <v>1</v>
      </c>
      <c r="E3479" s="38" t="n">
        <v>134676.21</v>
      </c>
    </row>
    <row r="3480" customFormat="false" ht="15" hidden="false" customHeight="false" outlineLevel="0" collapsed="false">
      <c r="A3480" s="0" t="n">
        <v>41</v>
      </c>
      <c r="B3480" s="0" t="s">
        <v>62</v>
      </c>
      <c r="C3480" s="0" t="n">
        <v>2012</v>
      </c>
      <c r="D3480" s="0" t="n">
        <v>2</v>
      </c>
      <c r="E3480" s="38" t="n">
        <v>138782.76</v>
      </c>
    </row>
    <row r="3481" customFormat="false" ht="15" hidden="false" customHeight="false" outlineLevel="0" collapsed="false">
      <c r="A3481" s="0" t="n">
        <v>41</v>
      </c>
      <c r="B3481" s="0" t="s">
        <v>62</v>
      </c>
      <c r="C3481" s="0" t="n">
        <v>2012</v>
      </c>
      <c r="D3481" s="0" t="n">
        <v>3</v>
      </c>
      <c r="E3481" s="38" t="n">
        <v>120714.63</v>
      </c>
    </row>
    <row r="3482" customFormat="false" ht="15" hidden="false" customHeight="false" outlineLevel="0" collapsed="false">
      <c r="A3482" s="0" t="n">
        <v>41</v>
      </c>
      <c r="B3482" s="0" t="s">
        <v>62</v>
      </c>
      <c r="C3482" s="0" t="n">
        <v>2012</v>
      </c>
      <c r="D3482" s="0" t="n">
        <v>4</v>
      </c>
      <c r="E3482" s="38" t="n">
        <v>99390.88</v>
      </c>
    </row>
    <row r="3483" customFormat="false" ht="15" hidden="false" customHeight="false" outlineLevel="0" collapsed="false">
      <c r="A3483" s="0" t="n">
        <v>41</v>
      </c>
      <c r="B3483" s="0" t="s">
        <v>62</v>
      </c>
      <c r="C3483" s="0" t="n">
        <v>2012</v>
      </c>
      <c r="D3483" s="0" t="n">
        <v>5</v>
      </c>
      <c r="E3483" s="38" t="n">
        <v>133186.07</v>
      </c>
    </row>
    <row r="3484" customFormat="false" ht="15" hidden="false" customHeight="false" outlineLevel="0" collapsed="false">
      <c r="A3484" s="0" t="n">
        <v>41</v>
      </c>
      <c r="B3484" s="0" t="s">
        <v>62</v>
      </c>
      <c r="C3484" s="0" t="n">
        <v>2012</v>
      </c>
      <c r="D3484" s="0" t="n">
        <v>6</v>
      </c>
      <c r="E3484" s="38" t="n">
        <v>122339.48</v>
      </c>
    </row>
    <row r="3485" customFormat="false" ht="15" hidden="false" customHeight="false" outlineLevel="0" collapsed="false">
      <c r="A3485" s="0" t="n">
        <v>41</v>
      </c>
      <c r="B3485" s="0" t="s">
        <v>62</v>
      </c>
      <c r="C3485" s="0" t="n">
        <v>2012</v>
      </c>
      <c r="D3485" s="0" t="n">
        <v>7</v>
      </c>
      <c r="E3485" s="38" t="n">
        <v>168811.67</v>
      </c>
    </row>
    <row r="3486" customFormat="false" ht="15" hidden="false" customHeight="false" outlineLevel="0" collapsed="false">
      <c r="A3486" s="0" t="n">
        <v>41</v>
      </c>
      <c r="B3486" s="0" t="s">
        <v>62</v>
      </c>
      <c r="C3486" s="0" t="n">
        <v>2012</v>
      </c>
      <c r="D3486" s="0" t="n">
        <v>8</v>
      </c>
      <c r="E3486" s="38" t="n">
        <v>224498.94</v>
      </c>
    </row>
    <row r="3487" customFormat="false" ht="15" hidden="false" customHeight="false" outlineLevel="0" collapsed="false">
      <c r="A3487" s="0" t="n">
        <v>41</v>
      </c>
      <c r="B3487" s="0" t="s">
        <v>62</v>
      </c>
      <c r="C3487" s="0" t="n">
        <v>2012</v>
      </c>
      <c r="D3487" s="0" t="n">
        <v>9</v>
      </c>
      <c r="E3487" s="38" t="n">
        <v>212357.88</v>
      </c>
    </row>
    <row r="3488" customFormat="false" ht="15" hidden="false" customHeight="false" outlineLevel="0" collapsed="false">
      <c r="A3488" s="0" t="n">
        <v>41</v>
      </c>
      <c r="B3488" s="0" t="s">
        <v>62</v>
      </c>
      <c r="C3488" s="0" t="n">
        <v>2012</v>
      </c>
      <c r="D3488" s="0" t="n">
        <v>10</v>
      </c>
      <c r="E3488" s="38" t="n">
        <v>193242.47</v>
      </c>
    </row>
    <row r="3489" customFormat="false" ht="15" hidden="false" customHeight="false" outlineLevel="0" collapsed="false">
      <c r="A3489" s="0" t="n">
        <v>41</v>
      </c>
      <c r="B3489" s="0" t="s">
        <v>62</v>
      </c>
      <c r="C3489" s="0" t="n">
        <v>2012</v>
      </c>
      <c r="D3489" s="0" t="n">
        <v>11</v>
      </c>
      <c r="E3489" s="38" t="n">
        <v>298665.32</v>
      </c>
    </row>
    <row r="3490" customFormat="false" ht="15" hidden="false" customHeight="false" outlineLevel="0" collapsed="false">
      <c r="A3490" s="0" t="n">
        <v>41</v>
      </c>
      <c r="B3490" s="0" t="s">
        <v>62</v>
      </c>
      <c r="C3490" s="0" t="n">
        <v>2012</v>
      </c>
      <c r="D3490" s="0" t="n">
        <v>12</v>
      </c>
      <c r="E3490" s="38" t="n">
        <v>88381.51</v>
      </c>
    </row>
    <row r="3491" customFormat="false" ht="15" hidden="false" customHeight="false" outlineLevel="0" collapsed="false">
      <c r="A3491" s="0" t="n">
        <v>41</v>
      </c>
      <c r="B3491" s="0" t="s">
        <v>62</v>
      </c>
      <c r="C3491" s="0" t="n">
        <v>2013</v>
      </c>
      <c r="D3491" s="0" t="n">
        <v>1</v>
      </c>
      <c r="E3491" s="38" t="n">
        <v>117524.32</v>
      </c>
    </row>
    <row r="3492" customFormat="false" ht="15" hidden="false" customHeight="false" outlineLevel="0" collapsed="false">
      <c r="A3492" s="0" t="n">
        <v>41</v>
      </c>
      <c r="B3492" s="0" t="s">
        <v>62</v>
      </c>
      <c r="C3492" s="0" t="n">
        <v>2013</v>
      </c>
      <c r="D3492" s="0" t="n">
        <v>2</v>
      </c>
      <c r="E3492" s="38" t="n">
        <v>132504.19</v>
      </c>
    </row>
    <row r="3493" customFormat="false" ht="15" hidden="false" customHeight="false" outlineLevel="0" collapsed="false">
      <c r="A3493" s="0" t="n">
        <v>41</v>
      </c>
      <c r="B3493" s="0" t="s">
        <v>62</v>
      </c>
      <c r="C3493" s="0" t="n">
        <v>2013</v>
      </c>
      <c r="D3493" s="0" t="n">
        <v>3</v>
      </c>
      <c r="E3493" s="38" t="n">
        <v>113222.92</v>
      </c>
    </row>
    <row r="3494" customFormat="false" ht="15" hidden="false" customHeight="false" outlineLevel="0" collapsed="false">
      <c r="A3494" s="0" t="n">
        <v>41</v>
      </c>
      <c r="B3494" s="0" t="s">
        <v>62</v>
      </c>
      <c r="C3494" s="0" t="n">
        <v>2013</v>
      </c>
      <c r="D3494" s="0" t="n">
        <v>4</v>
      </c>
      <c r="E3494" s="38" t="n">
        <v>96958.13</v>
      </c>
    </row>
    <row r="3495" customFormat="false" ht="15" hidden="false" customHeight="false" outlineLevel="0" collapsed="false">
      <c r="A3495" s="0" t="n">
        <v>41</v>
      </c>
      <c r="B3495" s="0" t="s">
        <v>62</v>
      </c>
      <c r="C3495" s="0" t="n">
        <v>2013</v>
      </c>
      <c r="D3495" s="0" t="n">
        <v>5</v>
      </c>
      <c r="E3495" s="38" t="n">
        <v>106826.13</v>
      </c>
    </row>
    <row r="3496" customFormat="false" ht="15" hidden="false" customHeight="false" outlineLevel="0" collapsed="false">
      <c r="A3496" s="0" t="n">
        <v>41</v>
      </c>
      <c r="B3496" s="0" t="s">
        <v>62</v>
      </c>
      <c r="C3496" s="0" t="n">
        <v>2013</v>
      </c>
      <c r="D3496" s="0" t="n">
        <v>6</v>
      </c>
      <c r="E3496" s="38" t="n">
        <v>113693.28</v>
      </c>
    </row>
    <row r="3497" customFormat="false" ht="15" hidden="false" customHeight="false" outlineLevel="0" collapsed="false">
      <c r="A3497" s="0" t="n">
        <v>41</v>
      </c>
      <c r="B3497" s="0" t="s">
        <v>62</v>
      </c>
      <c r="C3497" s="0" t="n">
        <v>2013</v>
      </c>
      <c r="D3497" s="0" t="n">
        <v>7</v>
      </c>
      <c r="E3497" s="38" t="n">
        <v>159401.64</v>
      </c>
    </row>
    <row r="3498" customFormat="false" ht="15" hidden="false" customHeight="false" outlineLevel="0" collapsed="false">
      <c r="A3498" s="0" t="n">
        <v>41</v>
      </c>
      <c r="B3498" s="0" t="s">
        <v>62</v>
      </c>
      <c r="C3498" s="0" t="n">
        <v>2013</v>
      </c>
      <c r="D3498" s="0" t="n">
        <v>8</v>
      </c>
      <c r="E3498" s="38" t="n">
        <v>210348.91</v>
      </c>
    </row>
    <row r="3499" customFormat="false" ht="15" hidden="false" customHeight="false" outlineLevel="0" collapsed="false">
      <c r="A3499" s="0" t="n">
        <v>41</v>
      </c>
      <c r="B3499" s="0" t="s">
        <v>64</v>
      </c>
      <c r="C3499" s="0" t="n">
        <v>2011</v>
      </c>
      <c r="D3499" s="0" t="n">
        <v>1</v>
      </c>
      <c r="E3499" s="38" t="n">
        <v>31.86</v>
      </c>
    </row>
    <row r="3500" customFormat="false" ht="15" hidden="false" customHeight="false" outlineLevel="0" collapsed="false">
      <c r="A3500" s="0" t="n">
        <v>41</v>
      </c>
      <c r="B3500" s="0" t="s">
        <v>64</v>
      </c>
      <c r="C3500" s="0" t="n">
        <v>2011</v>
      </c>
      <c r="D3500" s="0" t="n">
        <v>2</v>
      </c>
      <c r="E3500" s="38" t="n">
        <v>120.57</v>
      </c>
    </row>
    <row r="3501" customFormat="false" ht="15" hidden="false" customHeight="false" outlineLevel="0" collapsed="false">
      <c r="A3501" s="0" t="n">
        <v>41</v>
      </c>
      <c r="B3501" s="0" t="s">
        <v>64</v>
      </c>
      <c r="C3501" s="0" t="n">
        <v>2011</v>
      </c>
      <c r="D3501" s="0" t="n">
        <v>3</v>
      </c>
      <c r="E3501" s="38" t="n">
        <v>80.57</v>
      </c>
    </row>
    <row r="3502" customFormat="false" ht="15" hidden="false" customHeight="false" outlineLevel="0" collapsed="false">
      <c r="A3502" s="0" t="n">
        <v>41</v>
      </c>
      <c r="B3502" s="0" t="s">
        <v>64</v>
      </c>
      <c r="C3502" s="0" t="n">
        <v>2011</v>
      </c>
      <c r="D3502" s="0" t="n">
        <v>9</v>
      </c>
      <c r="E3502" s="38" t="n">
        <v>780.29</v>
      </c>
    </row>
    <row r="3503" customFormat="false" ht="15" hidden="false" customHeight="false" outlineLevel="0" collapsed="false">
      <c r="A3503" s="0" t="n">
        <v>41</v>
      </c>
      <c r="B3503" s="0" t="s">
        <v>64</v>
      </c>
      <c r="C3503" s="0" t="n">
        <v>2011</v>
      </c>
      <c r="D3503" s="0" t="n">
        <v>10</v>
      </c>
      <c r="E3503" s="38" t="n">
        <v>221.42</v>
      </c>
    </row>
    <row r="3504" customFormat="false" ht="15" hidden="false" customHeight="false" outlineLevel="0" collapsed="false">
      <c r="A3504" s="0" t="n">
        <v>41</v>
      </c>
      <c r="B3504" s="0" t="s">
        <v>64</v>
      </c>
      <c r="C3504" s="0" t="n">
        <v>2011</v>
      </c>
      <c r="D3504" s="0" t="n">
        <v>11</v>
      </c>
      <c r="E3504" s="38" t="n">
        <v>19.29</v>
      </c>
    </row>
    <row r="3505" customFormat="false" ht="15" hidden="false" customHeight="false" outlineLevel="0" collapsed="false">
      <c r="A3505" s="0" t="n">
        <v>41</v>
      </c>
      <c r="B3505" s="0" t="s">
        <v>64</v>
      </c>
      <c r="C3505" s="0" t="n">
        <v>2012</v>
      </c>
      <c r="D3505" s="0" t="n">
        <v>2</v>
      </c>
      <c r="E3505" s="38" t="n">
        <v>137.14</v>
      </c>
    </row>
    <row r="3506" customFormat="false" ht="15" hidden="false" customHeight="false" outlineLevel="0" collapsed="false">
      <c r="A3506" s="0" t="n">
        <v>41</v>
      </c>
      <c r="B3506" s="0" t="s">
        <v>64</v>
      </c>
      <c r="C3506" s="0" t="n">
        <v>2012</v>
      </c>
      <c r="D3506" s="0" t="n">
        <v>3</v>
      </c>
      <c r="E3506" s="38" t="n">
        <v>331.43</v>
      </c>
    </row>
    <row r="3507" customFormat="false" ht="15" hidden="false" customHeight="false" outlineLevel="0" collapsed="false">
      <c r="A3507" s="0" t="n">
        <v>41</v>
      </c>
      <c r="B3507" s="0" t="s">
        <v>64</v>
      </c>
      <c r="C3507" s="0" t="n">
        <v>2012</v>
      </c>
      <c r="D3507" s="0" t="n">
        <v>4</v>
      </c>
      <c r="E3507" s="38" t="n">
        <v>107</v>
      </c>
    </row>
    <row r="3508" customFormat="false" ht="15" hidden="false" customHeight="false" outlineLevel="0" collapsed="false">
      <c r="A3508" s="0" t="n">
        <v>41</v>
      </c>
      <c r="B3508" s="0" t="s">
        <v>64</v>
      </c>
      <c r="C3508" s="0" t="n">
        <v>2012</v>
      </c>
      <c r="D3508" s="0" t="n">
        <v>5</v>
      </c>
      <c r="E3508" s="38" t="n">
        <v>67.71</v>
      </c>
    </row>
    <row r="3509" customFormat="false" ht="15" hidden="false" customHeight="false" outlineLevel="0" collapsed="false">
      <c r="A3509" s="0" t="n">
        <v>41</v>
      </c>
      <c r="B3509" s="0" t="s">
        <v>64</v>
      </c>
      <c r="C3509" s="0" t="n">
        <v>2012</v>
      </c>
      <c r="D3509" s="0" t="n">
        <v>6</v>
      </c>
      <c r="E3509" s="38" t="n">
        <v>45</v>
      </c>
    </row>
    <row r="3510" customFormat="false" ht="15" hidden="false" customHeight="false" outlineLevel="0" collapsed="false">
      <c r="A3510" s="0" t="n">
        <v>41</v>
      </c>
      <c r="B3510" s="0" t="s">
        <v>64</v>
      </c>
      <c r="C3510" s="0" t="n">
        <v>2012</v>
      </c>
      <c r="D3510" s="0" t="n">
        <v>7</v>
      </c>
      <c r="E3510" s="38" t="n">
        <v>41.43</v>
      </c>
    </row>
    <row r="3511" customFormat="false" ht="15" hidden="false" customHeight="false" outlineLevel="0" collapsed="false">
      <c r="A3511" s="0" t="n">
        <v>41</v>
      </c>
      <c r="B3511" s="0" t="s">
        <v>64</v>
      </c>
      <c r="C3511" s="0" t="n">
        <v>2012</v>
      </c>
      <c r="D3511" s="0" t="n">
        <v>8</v>
      </c>
      <c r="E3511" s="38" t="n">
        <v>15.29</v>
      </c>
    </row>
    <row r="3512" customFormat="false" ht="15" hidden="false" customHeight="false" outlineLevel="0" collapsed="false">
      <c r="A3512" s="0" t="n">
        <v>41</v>
      </c>
      <c r="B3512" s="0" t="s">
        <v>64</v>
      </c>
      <c r="C3512" s="0" t="n">
        <v>2012</v>
      </c>
      <c r="D3512" s="0" t="n">
        <v>10</v>
      </c>
      <c r="E3512" s="38" t="n">
        <v>26</v>
      </c>
    </row>
    <row r="3513" customFormat="false" ht="15" hidden="false" customHeight="false" outlineLevel="0" collapsed="false">
      <c r="A3513" s="0" t="n">
        <v>41</v>
      </c>
      <c r="B3513" s="0" t="s">
        <v>64</v>
      </c>
      <c r="C3513" s="0" t="n">
        <v>2012</v>
      </c>
      <c r="D3513" s="0" t="n">
        <v>11</v>
      </c>
      <c r="E3513" s="38" t="n">
        <v>1.29</v>
      </c>
    </row>
    <row r="3514" customFormat="false" ht="15" hidden="false" customHeight="false" outlineLevel="0" collapsed="false">
      <c r="A3514" s="0" t="n">
        <v>41</v>
      </c>
      <c r="B3514" s="0" t="s">
        <v>64</v>
      </c>
      <c r="C3514" s="0" t="n">
        <v>2012</v>
      </c>
      <c r="D3514" s="0" t="n">
        <v>12</v>
      </c>
      <c r="E3514" s="38" t="n">
        <v>7.71</v>
      </c>
    </row>
    <row r="3515" customFormat="false" ht="15" hidden="false" customHeight="false" outlineLevel="0" collapsed="false">
      <c r="A3515" s="0" t="n">
        <v>41</v>
      </c>
      <c r="B3515" s="0" t="s">
        <v>64</v>
      </c>
      <c r="C3515" s="0" t="n">
        <v>2013</v>
      </c>
      <c r="D3515" s="0" t="n">
        <v>7</v>
      </c>
      <c r="E3515" s="38" t="n">
        <v>1</v>
      </c>
    </row>
    <row r="3516" customFormat="false" ht="15" hidden="false" customHeight="false" outlineLevel="0" collapsed="false">
      <c r="A3516" s="0" t="n">
        <v>41</v>
      </c>
      <c r="B3516" s="0" t="s">
        <v>64</v>
      </c>
      <c r="C3516" s="0" t="n">
        <v>2013</v>
      </c>
      <c r="D3516" s="0" t="n">
        <v>8</v>
      </c>
      <c r="E3516" s="38" t="n">
        <v>6.5</v>
      </c>
    </row>
    <row r="3517" customFormat="false" ht="15" hidden="false" customHeight="false" outlineLevel="0" collapsed="false">
      <c r="A3517" s="0" t="n">
        <v>42</v>
      </c>
      <c r="B3517" s="0" t="s">
        <v>60</v>
      </c>
      <c r="C3517" s="0" t="n">
        <v>2011</v>
      </c>
      <c r="D3517" s="0" t="n">
        <v>1</v>
      </c>
      <c r="E3517" s="38" t="n">
        <v>472239.43</v>
      </c>
    </row>
    <row r="3518" customFormat="false" ht="15" hidden="false" customHeight="false" outlineLevel="0" collapsed="false">
      <c r="A3518" s="0" t="n">
        <v>42</v>
      </c>
      <c r="B3518" s="0" t="s">
        <v>60</v>
      </c>
      <c r="C3518" s="0" t="n">
        <v>2011</v>
      </c>
      <c r="D3518" s="0" t="n">
        <v>2</v>
      </c>
      <c r="E3518" s="38" t="n">
        <v>592202.15</v>
      </c>
    </row>
    <row r="3519" customFormat="false" ht="15" hidden="false" customHeight="false" outlineLevel="0" collapsed="false">
      <c r="A3519" s="0" t="n">
        <v>42</v>
      </c>
      <c r="B3519" s="0" t="s">
        <v>60</v>
      </c>
      <c r="C3519" s="0" t="n">
        <v>2011</v>
      </c>
      <c r="D3519" s="0" t="n">
        <v>3</v>
      </c>
      <c r="E3519" s="38" t="n">
        <v>561014.33</v>
      </c>
    </row>
    <row r="3520" customFormat="false" ht="15" hidden="false" customHeight="false" outlineLevel="0" collapsed="false">
      <c r="A3520" s="0" t="n">
        <v>42</v>
      </c>
      <c r="B3520" s="0" t="s">
        <v>60</v>
      </c>
      <c r="C3520" s="0" t="n">
        <v>2011</v>
      </c>
      <c r="D3520" s="0" t="n">
        <v>4</v>
      </c>
      <c r="E3520" s="38" t="n">
        <v>580218.97</v>
      </c>
    </row>
    <row r="3521" customFormat="false" ht="15" hidden="false" customHeight="false" outlineLevel="0" collapsed="false">
      <c r="A3521" s="0" t="n">
        <v>42</v>
      </c>
      <c r="B3521" s="0" t="s">
        <v>60</v>
      </c>
      <c r="C3521" s="0" t="n">
        <v>2011</v>
      </c>
      <c r="D3521" s="0" t="n">
        <v>5</v>
      </c>
      <c r="E3521" s="38" t="n">
        <v>579010.39</v>
      </c>
    </row>
    <row r="3522" customFormat="false" ht="15" hidden="false" customHeight="false" outlineLevel="0" collapsed="false">
      <c r="A3522" s="0" t="n">
        <v>42</v>
      </c>
      <c r="B3522" s="0" t="s">
        <v>60</v>
      </c>
      <c r="C3522" s="0" t="n">
        <v>2011</v>
      </c>
      <c r="D3522" s="0" t="n">
        <v>6</v>
      </c>
      <c r="E3522" s="38" t="n">
        <v>596876.97</v>
      </c>
    </row>
    <row r="3523" customFormat="false" ht="15" hidden="false" customHeight="false" outlineLevel="0" collapsed="false">
      <c r="A3523" s="0" t="n">
        <v>42</v>
      </c>
      <c r="B3523" s="0" t="s">
        <v>60</v>
      </c>
      <c r="C3523" s="0" t="n">
        <v>2011</v>
      </c>
      <c r="D3523" s="0" t="n">
        <v>7</v>
      </c>
      <c r="E3523" s="38" t="n">
        <v>608500.85</v>
      </c>
    </row>
    <row r="3524" customFormat="false" ht="15" hidden="false" customHeight="false" outlineLevel="0" collapsed="false">
      <c r="A3524" s="0" t="n">
        <v>42</v>
      </c>
      <c r="B3524" s="0" t="s">
        <v>60</v>
      </c>
      <c r="C3524" s="0" t="n">
        <v>2011</v>
      </c>
      <c r="D3524" s="0" t="n">
        <v>8</v>
      </c>
      <c r="E3524" s="38" t="n">
        <v>560824.15</v>
      </c>
    </row>
    <row r="3525" customFormat="false" ht="15" hidden="false" customHeight="false" outlineLevel="0" collapsed="false">
      <c r="A3525" s="0" t="n">
        <v>42</v>
      </c>
      <c r="B3525" s="0" t="s">
        <v>60</v>
      </c>
      <c r="C3525" s="0" t="n">
        <v>2011</v>
      </c>
      <c r="D3525" s="0" t="n">
        <v>9</v>
      </c>
      <c r="E3525" s="38" t="n">
        <v>601741.08</v>
      </c>
    </row>
    <row r="3526" customFormat="false" ht="15" hidden="false" customHeight="false" outlineLevel="0" collapsed="false">
      <c r="A3526" s="0" t="n">
        <v>42</v>
      </c>
      <c r="B3526" s="0" t="s">
        <v>60</v>
      </c>
      <c r="C3526" s="0" t="n">
        <v>2011</v>
      </c>
      <c r="D3526" s="0" t="n">
        <v>10</v>
      </c>
      <c r="E3526" s="38" t="n">
        <v>545381.23</v>
      </c>
    </row>
    <row r="3527" customFormat="false" ht="15" hidden="false" customHeight="false" outlineLevel="0" collapsed="false">
      <c r="A3527" s="0" t="n">
        <v>42</v>
      </c>
      <c r="B3527" s="0" t="s">
        <v>60</v>
      </c>
      <c r="C3527" s="0" t="n">
        <v>2011</v>
      </c>
      <c r="D3527" s="0" t="n">
        <v>11</v>
      </c>
      <c r="E3527" s="38" t="n">
        <v>505901.57</v>
      </c>
    </row>
    <row r="3528" customFormat="false" ht="15" hidden="false" customHeight="false" outlineLevel="0" collapsed="false">
      <c r="A3528" s="0" t="n">
        <v>42</v>
      </c>
      <c r="B3528" s="0" t="s">
        <v>60</v>
      </c>
      <c r="C3528" s="0" t="n">
        <v>2011</v>
      </c>
      <c r="D3528" s="0" t="n">
        <v>12</v>
      </c>
      <c r="E3528" s="38" t="n">
        <v>498228.53</v>
      </c>
    </row>
    <row r="3529" customFormat="false" ht="15" hidden="false" customHeight="false" outlineLevel="0" collapsed="false">
      <c r="A3529" s="0" t="n">
        <v>42</v>
      </c>
      <c r="B3529" s="0" t="s">
        <v>60</v>
      </c>
      <c r="C3529" s="0" t="n">
        <v>2012</v>
      </c>
      <c r="D3529" s="0" t="n">
        <v>1</v>
      </c>
      <c r="E3529" s="38" t="n">
        <v>508255.62</v>
      </c>
    </row>
    <row r="3530" customFormat="false" ht="15" hidden="false" customHeight="false" outlineLevel="0" collapsed="false">
      <c r="A3530" s="0" t="n">
        <v>42</v>
      </c>
      <c r="B3530" s="0" t="s">
        <v>60</v>
      </c>
      <c r="C3530" s="0" t="n">
        <v>2012</v>
      </c>
      <c r="D3530" s="0" t="n">
        <v>2</v>
      </c>
      <c r="E3530" s="38" t="n">
        <v>580916.91</v>
      </c>
    </row>
    <row r="3531" customFormat="false" ht="15" hidden="false" customHeight="false" outlineLevel="0" collapsed="false">
      <c r="A3531" s="0" t="n">
        <v>42</v>
      </c>
      <c r="B3531" s="0" t="s">
        <v>60</v>
      </c>
      <c r="C3531" s="0" t="n">
        <v>2012</v>
      </c>
      <c r="D3531" s="0" t="n">
        <v>3</v>
      </c>
      <c r="E3531" s="38" t="n">
        <v>563094.6</v>
      </c>
    </row>
    <row r="3532" customFormat="false" ht="15" hidden="false" customHeight="false" outlineLevel="0" collapsed="false">
      <c r="A3532" s="0" t="n">
        <v>42</v>
      </c>
      <c r="B3532" s="0" t="s">
        <v>60</v>
      </c>
      <c r="C3532" s="0" t="n">
        <v>2012</v>
      </c>
      <c r="D3532" s="0" t="n">
        <v>4</v>
      </c>
      <c r="E3532" s="38" t="n">
        <v>575977.81</v>
      </c>
    </row>
    <row r="3533" customFormat="false" ht="15" hidden="false" customHeight="false" outlineLevel="0" collapsed="false">
      <c r="A3533" s="0" t="n">
        <v>42</v>
      </c>
      <c r="B3533" s="0" t="s">
        <v>60</v>
      </c>
      <c r="C3533" s="0" t="n">
        <v>2012</v>
      </c>
      <c r="D3533" s="0" t="n">
        <v>5</v>
      </c>
      <c r="E3533" s="38" t="n">
        <v>576230.15</v>
      </c>
    </row>
    <row r="3534" customFormat="false" ht="15" hidden="false" customHeight="false" outlineLevel="0" collapsed="false">
      <c r="A3534" s="0" t="n">
        <v>42</v>
      </c>
      <c r="B3534" s="0" t="s">
        <v>60</v>
      </c>
      <c r="C3534" s="0" t="n">
        <v>2012</v>
      </c>
      <c r="D3534" s="0" t="n">
        <v>6</v>
      </c>
      <c r="E3534" s="38" t="n">
        <v>604064.05</v>
      </c>
    </row>
    <row r="3535" customFormat="false" ht="15" hidden="false" customHeight="false" outlineLevel="0" collapsed="false">
      <c r="A3535" s="0" t="n">
        <v>42</v>
      </c>
      <c r="B3535" s="0" t="s">
        <v>60</v>
      </c>
      <c r="C3535" s="0" t="n">
        <v>2012</v>
      </c>
      <c r="D3535" s="0" t="n">
        <v>7</v>
      </c>
      <c r="E3535" s="38" t="n">
        <v>599900.14</v>
      </c>
    </row>
    <row r="3536" customFormat="false" ht="15" hidden="false" customHeight="false" outlineLevel="0" collapsed="false">
      <c r="A3536" s="0" t="n">
        <v>42</v>
      </c>
      <c r="B3536" s="0" t="s">
        <v>60</v>
      </c>
      <c r="C3536" s="0" t="n">
        <v>2012</v>
      </c>
      <c r="D3536" s="0" t="n">
        <v>8</v>
      </c>
      <c r="E3536" s="38" t="n">
        <v>586290.61</v>
      </c>
    </row>
    <row r="3537" customFormat="false" ht="15" hidden="false" customHeight="false" outlineLevel="0" collapsed="false">
      <c r="A3537" s="0" t="n">
        <v>42</v>
      </c>
      <c r="B3537" s="0" t="s">
        <v>60</v>
      </c>
      <c r="C3537" s="0" t="n">
        <v>2012</v>
      </c>
      <c r="D3537" s="0" t="n">
        <v>9</v>
      </c>
      <c r="E3537" s="38" t="n">
        <v>617102.34</v>
      </c>
    </row>
    <row r="3538" customFormat="false" ht="15" hidden="false" customHeight="false" outlineLevel="0" collapsed="false">
      <c r="A3538" s="0" t="n">
        <v>42</v>
      </c>
      <c r="B3538" s="0" t="s">
        <v>60</v>
      </c>
      <c r="C3538" s="0" t="n">
        <v>2012</v>
      </c>
      <c r="D3538" s="0" t="n">
        <v>10</v>
      </c>
      <c r="E3538" s="38" t="n">
        <v>573960.4</v>
      </c>
    </row>
    <row r="3539" customFormat="false" ht="15" hidden="false" customHeight="false" outlineLevel="0" collapsed="false">
      <c r="A3539" s="0" t="n">
        <v>42</v>
      </c>
      <c r="B3539" s="0" t="s">
        <v>60</v>
      </c>
      <c r="C3539" s="0" t="n">
        <v>2012</v>
      </c>
      <c r="D3539" s="0" t="n">
        <v>11</v>
      </c>
      <c r="E3539" s="38" t="n">
        <v>551575.37</v>
      </c>
    </row>
    <row r="3540" customFormat="false" ht="15" hidden="false" customHeight="false" outlineLevel="0" collapsed="false">
      <c r="A3540" s="0" t="n">
        <v>42</v>
      </c>
      <c r="B3540" s="0" t="s">
        <v>60</v>
      </c>
      <c r="C3540" s="0" t="n">
        <v>2012</v>
      </c>
      <c r="D3540" s="0" t="n">
        <v>12</v>
      </c>
      <c r="E3540" s="38" t="n">
        <v>563120.71</v>
      </c>
    </row>
    <row r="3541" customFormat="false" ht="15" hidden="false" customHeight="false" outlineLevel="0" collapsed="false">
      <c r="A3541" s="0" t="n">
        <v>42</v>
      </c>
      <c r="B3541" s="0" t="s">
        <v>60</v>
      </c>
      <c r="C3541" s="0" t="n">
        <v>2013</v>
      </c>
      <c r="D3541" s="0" t="n">
        <v>1</v>
      </c>
      <c r="E3541" s="38" t="n">
        <v>575601.65</v>
      </c>
    </row>
    <row r="3542" customFormat="false" ht="15" hidden="false" customHeight="false" outlineLevel="0" collapsed="false">
      <c r="A3542" s="0" t="n">
        <v>42</v>
      </c>
      <c r="B3542" s="0" t="s">
        <v>60</v>
      </c>
      <c r="C3542" s="0" t="n">
        <v>2013</v>
      </c>
      <c r="D3542" s="0" t="n">
        <v>2</v>
      </c>
      <c r="E3542" s="38" t="n">
        <v>648861.97</v>
      </c>
    </row>
    <row r="3543" customFormat="false" ht="15" hidden="false" customHeight="false" outlineLevel="0" collapsed="false">
      <c r="A3543" s="0" t="n">
        <v>42</v>
      </c>
      <c r="B3543" s="0" t="s">
        <v>60</v>
      </c>
      <c r="C3543" s="0" t="n">
        <v>2013</v>
      </c>
      <c r="D3543" s="0" t="n">
        <v>3</v>
      </c>
      <c r="E3543" s="38" t="n">
        <v>609108.75</v>
      </c>
    </row>
    <row r="3544" customFormat="false" ht="15" hidden="false" customHeight="false" outlineLevel="0" collapsed="false">
      <c r="A3544" s="0" t="n">
        <v>42</v>
      </c>
      <c r="B3544" s="0" t="s">
        <v>60</v>
      </c>
      <c r="C3544" s="0" t="n">
        <v>2013</v>
      </c>
      <c r="D3544" s="0" t="n">
        <v>4</v>
      </c>
      <c r="E3544" s="38" t="n">
        <v>631112.46</v>
      </c>
    </row>
    <row r="3545" customFormat="false" ht="15" hidden="false" customHeight="false" outlineLevel="0" collapsed="false">
      <c r="A3545" s="0" t="n">
        <v>42</v>
      </c>
      <c r="B3545" s="0" t="s">
        <v>60</v>
      </c>
      <c r="C3545" s="0" t="n">
        <v>2013</v>
      </c>
      <c r="D3545" s="0" t="n">
        <v>5</v>
      </c>
      <c r="E3545" s="38" t="n">
        <v>622090.01</v>
      </c>
    </row>
    <row r="3546" customFormat="false" ht="15" hidden="false" customHeight="false" outlineLevel="0" collapsed="false">
      <c r="A3546" s="0" t="n">
        <v>42</v>
      </c>
      <c r="B3546" s="0" t="s">
        <v>60</v>
      </c>
      <c r="C3546" s="0" t="n">
        <v>2013</v>
      </c>
      <c r="D3546" s="0" t="n">
        <v>6</v>
      </c>
      <c r="E3546" s="38" t="n">
        <v>625437</v>
      </c>
    </row>
    <row r="3547" customFormat="false" ht="15" hidden="false" customHeight="false" outlineLevel="0" collapsed="false">
      <c r="A3547" s="0" t="n">
        <v>42</v>
      </c>
      <c r="B3547" s="0" t="s">
        <v>60</v>
      </c>
      <c r="C3547" s="0" t="n">
        <v>2013</v>
      </c>
      <c r="D3547" s="0" t="n">
        <v>7</v>
      </c>
      <c r="E3547" s="38" t="n">
        <v>620958.14</v>
      </c>
    </row>
    <row r="3548" customFormat="false" ht="15" hidden="false" customHeight="false" outlineLevel="0" collapsed="false">
      <c r="A3548" s="0" t="n">
        <v>42</v>
      </c>
      <c r="B3548" s="0" t="s">
        <v>60</v>
      </c>
      <c r="C3548" s="0" t="n">
        <v>2013</v>
      </c>
      <c r="D3548" s="0" t="n">
        <v>8</v>
      </c>
      <c r="E3548" s="38" t="n">
        <v>572397.16</v>
      </c>
    </row>
    <row r="3549" customFormat="false" ht="15" hidden="false" customHeight="false" outlineLevel="0" collapsed="false">
      <c r="A3549" s="0" t="n">
        <v>42</v>
      </c>
      <c r="B3549" s="0" t="s">
        <v>62</v>
      </c>
      <c r="C3549" s="0" t="n">
        <v>2011</v>
      </c>
      <c r="D3549" s="0" t="n">
        <v>1</v>
      </c>
      <c r="E3549" s="38" t="n">
        <v>327150.7</v>
      </c>
    </row>
    <row r="3550" customFormat="false" ht="15" hidden="false" customHeight="false" outlineLevel="0" collapsed="false">
      <c r="A3550" s="0" t="n">
        <v>42</v>
      </c>
      <c r="B3550" s="0" t="s">
        <v>62</v>
      </c>
      <c r="C3550" s="0" t="n">
        <v>2011</v>
      </c>
      <c r="D3550" s="0" t="n">
        <v>2</v>
      </c>
      <c r="E3550" s="38" t="n">
        <v>441596.55</v>
      </c>
    </row>
    <row r="3551" customFormat="false" ht="15" hidden="false" customHeight="false" outlineLevel="0" collapsed="false">
      <c r="A3551" s="0" t="n">
        <v>42</v>
      </c>
      <c r="B3551" s="0" t="s">
        <v>62</v>
      </c>
      <c r="C3551" s="0" t="n">
        <v>2011</v>
      </c>
      <c r="D3551" s="0" t="n">
        <v>3</v>
      </c>
      <c r="E3551" s="38" t="n">
        <v>424947.7</v>
      </c>
    </row>
    <row r="3552" customFormat="false" ht="15" hidden="false" customHeight="false" outlineLevel="0" collapsed="false">
      <c r="A3552" s="0" t="n">
        <v>42</v>
      </c>
      <c r="B3552" s="0" t="s">
        <v>62</v>
      </c>
      <c r="C3552" s="0" t="n">
        <v>2011</v>
      </c>
      <c r="D3552" s="0" t="n">
        <v>4</v>
      </c>
      <c r="E3552" s="38" t="n">
        <v>428174.33</v>
      </c>
    </row>
    <row r="3553" customFormat="false" ht="15" hidden="false" customHeight="false" outlineLevel="0" collapsed="false">
      <c r="A3553" s="0" t="n">
        <v>42</v>
      </c>
      <c r="B3553" s="0" t="s">
        <v>62</v>
      </c>
      <c r="C3553" s="0" t="n">
        <v>2011</v>
      </c>
      <c r="D3553" s="0" t="n">
        <v>5</v>
      </c>
      <c r="E3553" s="38" t="n">
        <v>427095.98</v>
      </c>
    </row>
    <row r="3554" customFormat="false" ht="15" hidden="false" customHeight="false" outlineLevel="0" collapsed="false">
      <c r="A3554" s="0" t="n">
        <v>42</v>
      </c>
      <c r="B3554" s="0" t="s">
        <v>62</v>
      </c>
      <c r="C3554" s="0" t="n">
        <v>2011</v>
      </c>
      <c r="D3554" s="0" t="n">
        <v>6</v>
      </c>
      <c r="E3554" s="38" t="n">
        <v>448880.67</v>
      </c>
    </row>
    <row r="3555" customFormat="false" ht="15" hidden="false" customHeight="false" outlineLevel="0" collapsed="false">
      <c r="A3555" s="0" t="n">
        <v>42</v>
      </c>
      <c r="B3555" s="0" t="s">
        <v>62</v>
      </c>
      <c r="C3555" s="0" t="n">
        <v>2011</v>
      </c>
      <c r="D3555" s="0" t="n">
        <v>7</v>
      </c>
      <c r="E3555" s="38" t="n">
        <v>446377.05</v>
      </c>
    </row>
    <row r="3556" customFormat="false" ht="15" hidden="false" customHeight="false" outlineLevel="0" collapsed="false">
      <c r="A3556" s="0" t="n">
        <v>42</v>
      </c>
      <c r="B3556" s="0" t="s">
        <v>62</v>
      </c>
      <c r="C3556" s="0" t="n">
        <v>2011</v>
      </c>
      <c r="D3556" s="0" t="n">
        <v>8</v>
      </c>
      <c r="E3556" s="38" t="n">
        <v>420935.16</v>
      </c>
    </row>
    <row r="3557" customFormat="false" ht="15" hidden="false" customHeight="false" outlineLevel="0" collapsed="false">
      <c r="A3557" s="0" t="n">
        <v>42</v>
      </c>
      <c r="B3557" s="0" t="s">
        <v>62</v>
      </c>
      <c r="C3557" s="0" t="n">
        <v>2011</v>
      </c>
      <c r="D3557" s="0" t="n">
        <v>9</v>
      </c>
      <c r="E3557" s="38" t="n">
        <v>450527.76</v>
      </c>
    </row>
    <row r="3558" customFormat="false" ht="15" hidden="false" customHeight="false" outlineLevel="0" collapsed="false">
      <c r="A3558" s="0" t="n">
        <v>42</v>
      </c>
      <c r="B3558" s="0" t="s">
        <v>62</v>
      </c>
      <c r="C3558" s="0" t="n">
        <v>2011</v>
      </c>
      <c r="D3558" s="0" t="n">
        <v>10</v>
      </c>
      <c r="E3558" s="38" t="n">
        <v>410811.74</v>
      </c>
    </row>
    <row r="3559" customFormat="false" ht="15" hidden="false" customHeight="false" outlineLevel="0" collapsed="false">
      <c r="A3559" s="0" t="n">
        <v>42</v>
      </c>
      <c r="B3559" s="0" t="s">
        <v>62</v>
      </c>
      <c r="C3559" s="0" t="n">
        <v>2011</v>
      </c>
      <c r="D3559" s="0" t="n">
        <v>11</v>
      </c>
      <c r="E3559" s="38" t="n">
        <v>360484.31</v>
      </c>
    </row>
    <row r="3560" customFormat="false" ht="15" hidden="false" customHeight="false" outlineLevel="0" collapsed="false">
      <c r="A3560" s="0" t="n">
        <v>42</v>
      </c>
      <c r="B3560" s="0" t="s">
        <v>62</v>
      </c>
      <c r="C3560" s="0" t="n">
        <v>2011</v>
      </c>
      <c r="D3560" s="0" t="n">
        <v>12</v>
      </c>
      <c r="E3560" s="38" t="n">
        <v>352270.92</v>
      </c>
    </row>
    <row r="3561" customFormat="false" ht="15" hidden="false" customHeight="false" outlineLevel="0" collapsed="false">
      <c r="A3561" s="0" t="n">
        <v>42</v>
      </c>
      <c r="B3561" s="0" t="s">
        <v>62</v>
      </c>
      <c r="C3561" s="0" t="n">
        <v>2012</v>
      </c>
      <c r="D3561" s="0" t="n">
        <v>1</v>
      </c>
      <c r="E3561" s="38" t="n">
        <v>366057.4</v>
      </c>
    </row>
    <row r="3562" customFormat="false" ht="15" hidden="false" customHeight="false" outlineLevel="0" collapsed="false">
      <c r="A3562" s="0" t="n">
        <v>42</v>
      </c>
      <c r="B3562" s="0" t="s">
        <v>62</v>
      </c>
      <c r="C3562" s="0" t="n">
        <v>2012</v>
      </c>
      <c r="D3562" s="0" t="n">
        <v>2</v>
      </c>
      <c r="E3562" s="38" t="n">
        <v>427773.92</v>
      </c>
    </row>
    <row r="3563" customFormat="false" ht="15" hidden="false" customHeight="false" outlineLevel="0" collapsed="false">
      <c r="A3563" s="0" t="n">
        <v>42</v>
      </c>
      <c r="B3563" s="0" t="s">
        <v>62</v>
      </c>
      <c r="C3563" s="0" t="n">
        <v>2012</v>
      </c>
      <c r="D3563" s="0" t="n">
        <v>3</v>
      </c>
      <c r="E3563" s="38" t="n">
        <v>415402.65</v>
      </c>
    </row>
    <row r="3564" customFormat="false" ht="15" hidden="false" customHeight="false" outlineLevel="0" collapsed="false">
      <c r="A3564" s="0" t="n">
        <v>42</v>
      </c>
      <c r="B3564" s="0" t="s">
        <v>62</v>
      </c>
      <c r="C3564" s="0" t="n">
        <v>2012</v>
      </c>
      <c r="D3564" s="0" t="n">
        <v>4</v>
      </c>
      <c r="E3564" s="38" t="n">
        <v>433804.55</v>
      </c>
    </row>
    <row r="3565" customFormat="false" ht="15" hidden="false" customHeight="false" outlineLevel="0" collapsed="false">
      <c r="A3565" s="0" t="n">
        <v>42</v>
      </c>
      <c r="B3565" s="0" t="s">
        <v>62</v>
      </c>
      <c r="C3565" s="0" t="n">
        <v>2012</v>
      </c>
      <c r="D3565" s="0" t="n">
        <v>5</v>
      </c>
      <c r="E3565" s="38" t="n">
        <v>429319.06</v>
      </c>
    </row>
    <row r="3566" customFormat="false" ht="15" hidden="false" customHeight="false" outlineLevel="0" collapsed="false">
      <c r="A3566" s="0" t="n">
        <v>42</v>
      </c>
      <c r="B3566" s="0" t="s">
        <v>62</v>
      </c>
      <c r="C3566" s="0" t="n">
        <v>2012</v>
      </c>
      <c r="D3566" s="0" t="n">
        <v>6</v>
      </c>
      <c r="E3566" s="38" t="n">
        <v>446053.99</v>
      </c>
    </row>
    <row r="3567" customFormat="false" ht="15" hidden="false" customHeight="false" outlineLevel="0" collapsed="false">
      <c r="A3567" s="0" t="n">
        <v>42</v>
      </c>
      <c r="B3567" s="0" t="s">
        <v>62</v>
      </c>
      <c r="C3567" s="0" t="n">
        <v>2012</v>
      </c>
      <c r="D3567" s="0" t="n">
        <v>7</v>
      </c>
      <c r="E3567" s="38" t="n">
        <v>443137.42</v>
      </c>
    </row>
    <row r="3568" customFormat="false" ht="15" hidden="false" customHeight="false" outlineLevel="0" collapsed="false">
      <c r="A3568" s="0" t="n">
        <v>42</v>
      </c>
      <c r="B3568" s="0" t="s">
        <v>62</v>
      </c>
      <c r="C3568" s="0" t="n">
        <v>2012</v>
      </c>
      <c r="D3568" s="0" t="n">
        <v>8</v>
      </c>
      <c r="E3568" s="38" t="n">
        <v>447853.77</v>
      </c>
    </row>
    <row r="3569" customFormat="false" ht="15" hidden="false" customHeight="false" outlineLevel="0" collapsed="false">
      <c r="A3569" s="0" t="n">
        <v>42</v>
      </c>
      <c r="B3569" s="0" t="s">
        <v>62</v>
      </c>
      <c r="C3569" s="0" t="n">
        <v>2012</v>
      </c>
      <c r="D3569" s="0" t="n">
        <v>9</v>
      </c>
      <c r="E3569" s="38" t="n">
        <v>469074.84</v>
      </c>
    </row>
    <row r="3570" customFormat="false" ht="15" hidden="false" customHeight="false" outlineLevel="0" collapsed="false">
      <c r="A3570" s="0" t="n">
        <v>42</v>
      </c>
      <c r="B3570" s="0" t="s">
        <v>62</v>
      </c>
      <c r="C3570" s="0" t="n">
        <v>2012</v>
      </c>
      <c r="D3570" s="0" t="n">
        <v>10</v>
      </c>
      <c r="E3570" s="38" t="n">
        <v>431464.84</v>
      </c>
    </row>
    <row r="3571" customFormat="false" ht="15" hidden="false" customHeight="false" outlineLevel="0" collapsed="false">
      <c r="A3571" s="0" t="n">
        <v>42</v>
      </c>
      <c r="B3571" s="0" t="s">
        <v>62</v>
      </c>
      <c r="C3571" s="0" t="n">
        <v>2012</v>
      </c>
      <c r="D3571" s="0" t="n">
        <v>11</v>
      </c>
      <c r="E3571" s="38" t="n">
        <v>401760.71</v>
      </c>
    </row>
    <row r="3572" customFormat="false" ht="15" hidden="false" customHeight="false" outlineLevel="0" collapsed="false">
      <c r="A3572" s="0" t="n">
        <v>42</v>
      </c>
      <c r="B3572" s="0" t="s">
        <v>62</v>
      </c>
      <c r="C3572" s="0" t="n">
        <v>2012</v>
      </c>
      <c r="D3572" s="0" t="n">
        <v>12</v>
      </c>
      <c r="E3572" s="38" t="n">
        <v>403203.25</v>
      </c>
    </row>
    <row r="3573" customFormat="false" ht="15" hidden="false" customHeight="false" outlineLevel="0" collapsed="false">
      <c r="A3573" s="0" t="n">
        <v>42</v>
      </c>
      <c r="B3573" s="0" t="s">
        <v>62</v>
      </c>
      <c r="C3573" s="0" t="n">
        <v>2013</v>
      </c>
      <c r="D3573" s="0" t="n">
        <v>1</v>
      </c>
      <c r="E3573" s="38" t="n">
        <v>399182.58</v>
      </c>
    </row>
    <row r="3574" customFormat="false" ht="15" hidden="false" customHeight="false" outlineLevel="0" collapsed="false">
      <c r="A3574" s="0" t="n">
        <v>42</v>
      </c>
      <c r="B3574" s="0" t="s">
        <v>62</v>
      </c>
      <c r="C3574" s="0" t="n">
        <v>2013</v>
      </c>
      <c r="D3574" s="0" t="n">
        <v>2</v>
      </c>
      <c r="E3574" s="38" t="n">
        <v>474617.83</v>
      </c>
    </row>
    <row r="3575" customFormat="false" ht="15" hidden="false" customHeight="false" outlineLevel="0" collapsed="false">
      <c r="A3575" s="0" t="n">
        <v>42</v>
      </c>
      <c r="B3575" s="0" t="s">
        <v>62</v>
      </c>
      <c r="C3575" s="0" t="n">
        <v>2013</v>
      </c>
      <c r="D3575" s="0" t="n">
        <v>3</v>
      </c>
      <c r="E3575" s="38" t="n">
        <v>457077.2</v>
      </c>
    </row>
    <row r="3576" customFormat="false" ht="15" hidden="false" customHeight="false" outlineLevel="0" collapsed="false">
      <c r="A3576" s="0" t="n">
        <v>42</v>
      </c>
      <c r="B3576" s="0" t="s">
        <v>62</v>
      </c>
      <c r="C3576" s="0" t="n">
        <v>2013</v>
      </c>
      <c r="D3576" s="0" t="n">
        <v>4</v>
      </c>
      <c r="E3576" s="38" t="n">
        <v>452631.11</v>
      </c>
    </row>
    <row r="3577" customFormat="false" ht="15" hidden="false" customHeight="false" outlineLevel="0" collapsed="false">
      <c r="A3577" s="0" t="n">
        <v>42</v>
      </c>
      <c r="B3577" s="0" t="s">
        <v>62</v>
      </c>
      <c r="C3577" s="0" t="n">
        <v>2013</v>
      </c>
      <c r="D3577" s="0" t="n">
        <v>5</v>
      </c>
      <c r="E3577" s="38" t="n">
        <v>453968.93</v>
      </c>
    </row>
    <row r="3578" customFormat="false" ht="15" hidden="false" customHeight="false" outlineLevel="0" collapsed="false">
      <c r="A3578" s="0" t="n">
        <v>42</v>
      </c>
      <c r="B3578" s="0" t="s">
        <v>62</v>
      </c>
      <c r="C3578" s="0" t="n">
        <v>2013</v>
      </c>
      <c r="D3578" s="0" t="n">
        <v>6</v>
      </c>
      <c r="E3578" s="38" t="n">
        <v>462491.22</v>
      </c>
    </row>
    <row r="3579" customFormat="false" ht="15" hidden="false" customHeight="false" outlineLevel="0" collapsed="false">
      <c r="A3579" s="0" t="n">
        <v>42</v>
      </c>
      <c r="B3579" s="0" t="s">
        <v>62</v>
      </c>
      <c r="C3579" s="0" t="n">
        <v>2013</v>
      </c>
      <c r="D3579" s="0" t="n">
        <v>7</v>
      </c>
      <c r="E3579" s="38" t="n">
        <v>454427.73</v>
      </c>
    </row>
    <row r="3580" customFormat="false" ht="15" hidden="false" customHeight="false" outlineLevel="0" collapsed="false">
      <c r="A3580" s="0" t="n">
        <v>42</v>
      </c>
      <c r="B3580" s="0" t="s">
        <v>62</v>
      </c>
      <c r="C3580" s="0" t="n">
        <v>2013</v>
      </c>
      <c r="D3580" s="0" t="n">
        <v>8</v>
      </c>
      <c r="E3580" s="38" t="n">
        <v>447886.85</v>
      </c>
    </row>
    <row r="3581" customFormat="false" ht="15" hidden="false" customHeight="false" outlineLevel="0" collapsed="false">
      <c r="A3581" s="0" t="n">
        <v>42</v>
      </c>
      <c r="B3581" s="0" t="s">
        <v>64</v>
      </c>
      <c r="C3581" s="0" t="n">
        <v>2011</v>
      </c>
      <c r="D3581" s="0" t="n">
        <v>1</v>
      </c>
      <c r="E3581" s="38" t="n">
        <v>2738.83</v>
      </c>
    </row>
    <row r="3582" customFormat="false" ht="15" hidden="false" customHeight="false" outlineLevel="0" collapsed="false">
      <c r="A3582" s="0" t="n">
        <v>42</v>
      </c>
      <c r="B3582" s="0" t="s">
        <v>64</v>
      </c>
      <c r="C3582" s="0" t="n">
        <v>2011</v>
      </c>
      <c r="D3582" s="0" t="n">
        <v>2</v>
      </c>
      <c r="E3582" s="38" t="n">
        <v>2846.33</v>
      </c>
    </row>
    <row r="3583" customFormat="false" ht="15" hidden="false" customHeight="false" outlineLevel="0" collapsed="false">
      <c r="A3583" s="0" t="n">
        <v>42</v>
      </c>
      <c r="B3583" s="0" t="s">
        <v>64</v>
      </c>
      <c r="C3583" s="0" t="n">
        <v>2011</v>
      </c>
      <c r="D3583" s="0" t="n">
        <v>3</v>
      </c>
      <c r="E3583" s="38" t="n">
        <v>2847.53</v>
      </c>
    </row>
    <row r="3584" customFormat="false" ht="15" hidden="false" customHeight="false" outlineLevel="0" collapsed="false">
      <c r="A3584" s="0" t="n">
        <v>42</v>
      </c>
      <c r="B3584" s="0" t="s">
        <v>64</v>
      </c>
      <c r="C3584" s="0" t="n">
        <v>2011</v>
      </c>
      <c r="D3584" s="0" t="n">
        <v>4</v>
      </c>
      <c r="E3584" s="38" t="n">
        <v>2816.46</v>
      </c>
    </row>
    <row r="3585" customFormat="false" ht="15" hidden="false" customHeight="false" outlineLevel="0" collapsed="false">
      <c r="A3585" s="0" t="n">
        <v>42</v>
      </c>
      <c r="B3585" s="0" t="s">
        <v>64</v>
      </c>
      <c r="C3585" s="0" t="n">
        <v>2011</v>
      </c>
      <c r="D3585" s="0" t="n">
        <v>5</v>
      </c>
      <c r="E3585" s="38" t="n">
        <v>2879.03</v>
      </c>
    </row>
    <row r="3586" customFormat="false" ht="15" hidden="false" customHeight="false" outlineLevel="0" collapsed="false">
      <c r="A3586" s="0" t="n">
        <v>42</v>
      </c>
      <c r="B3586" s="0" t="s">
        <v>64</v>
      </c>
      <c r="C3586" s="0" t="n">
        <v>2011</v>
      </c>
      <c r="D3586" s="0" t="n">
        <v>6</v>
      </c>
      <c r="E3586" s="38" t="n">
        <v>2677.67</v>
      </c>
    </row>
    <row r="3587" customFormat="false" ht="15" hidden="false" customHeight="false" outlineLevel="0" collapsed="false">
      <c r="A3587" s="0" t="n">
        <v>42</v>
      </c>
      <c r="B3587" s="0" t="s">
        <v>64</v>
      </c>
      <c r="C3587" s="0" t="n">
        <v>2011</v>
      </c>
      <c r="D3587" s="0" t="n">
        <v>7</v>
      </c>
      <c r="E3587" s="38" t="n">
        <v>2762.48</v>
      </c>
    </row>
    <row r="3588" customFormat="false" ht="15" hidden="false" customHeight="false" outlineLevel="0" collapsed="false">
      <c r="A3588" s="0" t="n">
        <v>42</v>
      </c>
      <c r="B3588" s="0" t="s">
        <v>64</v>
      </c>
      <c r="C3588" s="0" t="n">
        <v>2011</v>
      </c>
      <c r="D3588" s="0" t="n">
        <v>8</v>
      </c>
      <c r="E3588" s="38" t="n">
        <v>2895.56</v>
      </c>
    </row>
    <row r="3589" customFormat="false" ht="15" hidden="false" customHeight="false" outlineLevel="0" collapsed="false">
      <c r="A3589" s="0" t="n">
        <v>42</v>
      </c>
      <c r="B3589" s="0" t="s">
        <v>64</v>
      </c>
      <c r="C3589" s="0" t="n">
        <v>2011</v>
      </c>
      <c r="D3589" s="0" t="n">
        <v>9</v>
      </c>
      <c r="E3589" s="38" t="n">
        <v>3014.4</v>
      </c>
    </row>
    <row r="3590" customFormat="false" ht="15" hidden="false" customHeight="false" outlineLevel="0" collapsed="false">
      <c r="A3590" s="0" t="n">
        <v>42</v>
      </c>
      <c r="B3590" s="0" t="s">
        <v>64</v>
      </c>
      <c r="C3590" s="0" t="n">
        <v>2011</v>
      </c>
      <c r="D3590" s="0" t="n">
        <v>10</v>
      </c>
      <c r="E3590" s="38" t="n">
        <v>2815.71</v>
      </c>
    </row>
    <row r="3591" customFormat="false" ht="15" hidden="false" customHeight="false" outlineLevel="0" collapsed="false">
      <c r="A3591" s="0" t="n">
        <v>42</v>
      </c>
      <c r="B3591" s="0" t="s">
        <v>64</v>
      </c>
      <c r="C3591" s="0" t="n">
        <v>2011</v>
      </c>
      <c r="D3591" s="0" t="n">
        <v>11</v>
      </c>
      <c r="E3591" s="38" t="n">
        <v>2879.33</v>
      </c>
    </row>
    <row r="3592" customFormat="false" ht="15" hidden="false" customHeight="false" outlineLevel="0" collapsed="false">
      <c r="A3592" s="0" t="n">
        <v>42</v>
      </c>
      <c r="B3592" s="0" t="s">
        <v>64</v>
      </c>
      <c r="C3592" s="0" t="n">
        <v>2011</v>
      </c>
      <c r="D3592" s="0" t="n">
        <v>12</v>
      </c>
      <c r="E3592" s="38" t="n">
        <v>2839.48</v>
      </c>
    </row>
    <row r="3593" customFormat="false" ht="15" hidden="false" customHeight="false" outlineLevel="0" collapsed="false">
      <c r="A3593" s="0" t="n">
        <v>42</v>
      </c>
      <c r="B3593" s="0" t="s">
        <v>64</v>
      </c>
      <c r="C3593" s="0" t="n">
        <v>2012</v>
      </c>
      <c r="D3593" s="0" t="n">
        <v>1</v>
      </c>
      <c r="E3593" s="38" t="n">
        <v>2701.29</v>
      </c>
    </row>
    <row r="3594" customFormat="false" ht="15" hidden="false" customHeight="false" outlineLevel="0" collapsed="false">
      <c r="A3594" s="0" t="n">
        <v>42</v>
      </c>
      <c r="B3594" s="0" t="s">
        <v>64</v>
      </c>
      <c r="C3594" s="0" t="n">
        <v>2012</v>
      </c>
      <c r="D3594" s="0" t="n">
        <v>2</v>
      </c>
      <c r="E3594" s="38" t="n">
        <v>3007.65</v>
      </c>
    </row>
    <row r="3595" customFormat="false" ht="15" hidden="false" customHeight="false" outlineLevel="0" collapsed="false">
      <c r="A3595" s="0" t="n">
        <v>42</v>
      </c>
      <c r="B3595" s="0" t="s">
        <v>64</v>
      </c>
      <c r="C3595" s="0" t="n">
        <v>2012</v>
      </c>
      <c r="D3595" s="0" t="n">
        <v>3</v>
      </c>
      <c r="E3595" s="38" t="n">
        <v>2922.07</v>
      </c>
    </row>
    <row r="3596" customFormat="false" ht="15" hidden="false" customHeight="false" outlineLevel="0" collapsed="false">
      <c r="A3596" s="0" t="n">
        <v>42</v>
      </c>
      <c r="B3596" s="0" t="s">
        <v>64</v>
      </c>
      <c r="C3596" s="0" t="n">
        <v>2012</v>
      </c>
      <c r="D3596" s="0" t="n">
        <v>4</v>
      </c>
      <c r="E3596" s="38" t="n">
        <v>2909.59</v>
      </c>
    </row>
    <row r="3597" customFormat="false" ht="15" hidden="false" customHeight="false" outlineLevel="0" collapsed="false">
      <c r="A3597" s="0" t="n">
        <v>42</v>
      </c>
      <c r="B3597" s="0" t="s">
        <v>64</v>
      </c>
      <c r="C3597" s="0" t="n">
        <v>2012</v>
      </c>
      <c r="D3597" s="0" t="n">
        <v>5</v>
      </c>
      <c r="E3597" s="38" t="n">
        <v>3146.37</v>
      </c>
    </row>
    <row r="3598" customFormat="false" ht="15" hidden="false" customHeight="false" outlineLevel="0" collapsed="false">
      <c r="A3598" s="0" t="n">
        <v>42</v>
      </c>
      <c r="B3598" s="0" t="s">
        <v>64</v>
      </c>
      <c r="C3598" s="0" t="n">
        <v>2012</v>
      </c>
      <c r="D3598" s="0" t="n">
        <v>6</v>
      </c>
      <c r="E3598" s="38" t="n">
        <v>2983.26</v>
      </c>
    </row>
    <row r="3599" customFormat="false" ht="15" hidden="false" customHeight="false" outlineLevel="0" collapsed="false">
      <c r="A3599" s="0" t="n">
        <v>42</v>
      </c>
      <c r="B3599" s="0" t="s">
        <v>64</v>
      </c>
      <c r="C3599" s="0" t="n">
        <v>2012</v>
      </c>
      <c r="D3599" s="0" t="n">
        <v>7</v>
      </c>
      <c r="E3599" s="38" t="n">
        <v>3121.43</v>
      </c>
    </row>
    <row r="3600" customFormat="false" ht="15" hidden="false" customHeight="false" outlineLevel="0" collapsed="false">
      <c r="A3600" s="0" t="n">
        <v>42</v>
      </c>
      <c r="B3600" s="0" t="s">
        <v>64</v>
      </c>
      <c r="C3600" s="0" t="n">
        <v>2012</v>
      </c>
      <c r="D3600" s="0" t="n">
        <v>8</v>
      </c>
      <c r="E3600" s="38" t="n">
        <v>3041.98</v>
      </c>
    </row>
    <row r="3601" customFormat="false" ht="15" hidden="false" customHeight="false" outlineLevel="0" collapsed="false">
      <c r="A3601" s="0" t="n">
        <v>42</v>
      </c>
      <c r="B3601" s="0" t="s">
        <v>64</v>
      </c>
      <c r="C3601" s="0" t="n">
        <v>2012</v>
      </c>
      <c r="D3601" s="0" t="n">
        <v>9</v>
      </c>
      <c r="E3601" s="38" t="n">
        <v>3135.52</v>
      </c>
    </row>
    <row r="3602" customFormat="false" ht="15" hidden="false" customHeight="false" outlineLevel="0" collapsed="false">
      <c r="A3602" s="0" t="n">
        <v>42</v>
      </c>
      <c r="B3602" s="0" t="s">
        <v>64</v>
      </c>
      <c r="C3602" s="0" t="n">
        <v>2012</v>
      </c>
      <c r="D3602" s="0" t="n">
        <v>10</v>
      </c>
      <c r="E3602" s="38" t="n">
        <v>3219.77</v>
      </c>
    </row>
    <row r="3603" customFormat="false" ht="15" hidden="false" customHeight="false" outlineLevel="0" collapsed="false">
      <c r="A3603" s="0" t="n">
        <v>42</v>
      </c>
      <c r="B3603" s="0" t="s">
        <v>64</v>
      </c>
      <c r="C3603" s="0" t="n">
        <v>2012</v>
      </c>
      <c r="D3603" s="0" t="n">
        <v>11</v>
      </c>
      <c r="E3603" s="38" t="n">
        <v>2872.46</v>
      </c>
    </row>
    <row r="3604" customFormat="false" ht="15" hidden="false" customHeight="false" outlineLevel="0" collapsed="false">
      <c r="A3604" s="0" t="n">
        <v>42</v>
      </c>
      <c r="B3604" s="0" t="s">
        <v>64</v>
      </c>
      <c r="C3604" s="0" t="n">
        <v>2012</v>
      </c>
      <c r="D3604" s="0" t="n">
        <v>12</v>
      </c>
      <c r="E3604" s="38" t="n">
        <v>3220.13</v>
      </c>
    </row>
    <row r="3605" customFormat="false" ht="15" hidden="false" customHeight="false" outlineLevel="0" collapsed="false">
      <c r="A3605" s="0" t="n">
        <v>42</v>
      </c>
      <c r="B3605" s="0" t="s">
        <v>64</v>
      </c>
      <c r="C3605" s="0" t="n">
        <v>2013</v>
      </c>
      <c r="D3605" s="0" t="n">
        <v>1</v>
      </c>
      <c r="E3605" s="38" t="n">
        <v>2803.92</v>
      </c>
    </row>
    <row r="3606" customFormat="false" ht="15" hidden="false" customHeight="false" outlineLevel="0" collapsed="false">
      <c r="A3606" s="0" t="n">
        <v>42</v>
      </c>
      <c r="B3606" s="0" t="s">
        <v>64</v>
      </c>
      <c r="C3606" s="0" t="n">
        <v>2013</v>
      </c>
      <c r="D3606" s="0" t="n">
        <v>2</v>
      </c>
      <c r="E3606" s="38" t="n">
        <v>3057.87</v>
      </c>
    </row>
    <row r="3607" customFormat="false" ht="15" hidden="false" customHeight="false" outlineLevel="0" collapsed="false">
      <c r="A3607" s="0" t="n">
        <v>42</v>
      </c>
      <c r="B3607" s="0" t="s">
        <v>64</v>
      </c>
      <c r="C3607" s="0" t="n">
        <v>2013</v>
      </c>
      <c r="D3607" s="0" t="n">
        <v>3</v>
      </c>
      <c r="E3607" s="38" t="n">
        <v>2881.04</v>
      </c>
    </row>
    <row r="3608" customFormat="false" ht="15" hidden="false" customHeight="false" outlineLevel="0" collapsed="false">
      <c r="A3608" s="0" t="n">
        <v>42</v>
      </c>
      <c r="B3608" s="0" t="s">
        <v>64</v>
      </c>
      <c r="C3608" s="0" t="n">
        <v>2013</v>
      </c>
      <c r="D3608" s="0" t="n">
        <v>4</v>
      </c>
      <c r="E3608" s="38" t="n">
        <v>3109.61</v>
      </c>
    </row>
    <row r="3609" customFormat="false" ht="15" hidden="false" customHeight="false" outlineLevel="0" collapsed="false">
      <c r="A3609" s="0" t="n">
        <v>42</v>
      </c>
      <c r="B3609" s="0" t="s">
        <v>64</v>
      </c>
      <c r="C3609" s="0" t="n">
        <v>2013</v>
      </c>
      <c r="D3609" s="0" t="n">
        <v>5</v>
      </c>
      <c r="E3609" s="38" t="n">
        <v>3295.94</v>
      </c>
    </row>
    <row r="3610" customFormat="false" ht="15" hidden="false" customHeight="false" outlineLevel="0" collapsed="false">
      <c r="A3610" s="0" t="n">
        <v>42</v>
      </c>
      <c r="B3610" s="0" t="s">
        <v>64</v>
      </c>
      <c r="C3610" s="0" t="n">
        <v>2013</v>
      </c>
      <c r="D3610" s="0" t="n">
        <v>6</v>
      </c>
      <c r="E3610" s="38" t="n">
        <v>3037.24</v>
      </c>
    </row>
    <row r="3611" customFormat="false" ht="15" hidden="false" customHeight="false" outlineLevel="0" collapsed="false">
      <c r="A3611" s="0" t="n">
        <v>42</v>
      </c>
      <c r="B3611" s="0" t="s">
        <v>64</v>
      </c>
      <c r="C3611" s="0" t="n">
        <v>2013</v>
      </c>
      <c r="D3611" s="0" t="n">
        <v>7</v>
      </c>
      <c r="E3611" s="38" t="n">
        <v>3158.26</v>
      </c>
    </row>
    <row r="3612" customFormat="false" ht="15" hidden="false" customHeight="false" outlineLevel="0" collapsed="false">
      <c r="A3612" s="0" t="n">
        <v>42</v>
      </c>
      <c r="B3612" s="0" t="s">
        <v>64</v>
      </c>
      <c r="C3612" s="0" t="n">
        <v>2013</v>
      </c>
      <c r="D3612" s="0" t="n">
        <v>8</v>
      </c>
      <c r="E3612" s="38" t="n">
        <v>3176.38</v>
      </c>
    </row>
    <row r="3613" customFormat="false" ht="15" hidden="false" customHeight="false" outlineLevel="0" collapsed="false">
      <c r="A3613" s="0" t="n">
        <v>43</v>
      </c>
      <c r="B3613" s="0" t="s">
        <v>60</v>
      </c>
      <c r="C3613" s="0" t="n">
        <v>2011</v>
      </c>
      <c r="D3613" s="0" t="n">
        <v>1</v>
      </c>
      <c r="E3613" s="38" t="n">
        <v>0.25</v>
      </c>
    </row>
    <row r="3614" customFormat="false" ht="15" hidden="false" customHeight="false" outlineLevel="0" collapsed="false">
      <c r="A3614" s="0" t="n">
        <v>43</v>
      </c>
      <c r="B3614" s="0" t="s">
        <v>60</v>
      </c>
      <c r="C3614" s="0" t="n">
        <v>2011</v>
      </c>
      <c r="D3614" s="0" t="n">
        <v>3</v>
      </c>
      <c r="E3614" s="38" t="n">
        <v>1</v>
      </c>
    </row>
    <row r="3615" customFormat="false" ht="15" hidden="false" customHeight="false" outlineLevel="0" collapsed="false">
      <c r="A3615" s="0" t="n">
        <v>43</v>
      </c>
      <c r="B3615" s="0" t="s">
        <v>60</v>
      </c>
      <c r="C3615" s="0" t="n">
        <v>2011</v>
      </c>
      <c r="D3615" s="0" t="n">
        <v>7</v>
      </c>
      <c r="E3615" s="38" t="n">
        <v>0.5</v>
      </c>
    </row>
    <row r="3616" customFormat="false" ht="15" hidden="false" customHeight="false" outlineLevel="0" collapsed="false">
      <c r="A3616" s="0" t="n">
        <v>43</v>
      </c>
      <c r="B3616" s="0" t="s">
        <v>60</v>
      </c>
      <c r="C3616" s="0" t="n">
        <v>2012</v>
      </c>
      <c r="D3616" s="0" t="n">
        <v>10</v>
      </c>
      <c r="E3616" s="38" t="n">
        <v>0.76</v>
      </c>
    </row>
    <row r="3617" customFormat="false" ht="15" hidden="false" customHeight="false" outlineLevel="0" collapsed="false">
      <c r="A3617" s="0" t="n">
        <v>43</v>
      </c>
      <c r="B3617" s="0" t="s">
        <v>60</v>
      </c>
      <c r="C3617" s="0" t="n">
        <v>2012</v>
      </c>
      <c r="D3617" s="0" t="n">
        <v>11</v>
      </c>
      <c r="E3617" s="38" t="n">
        <v>0.31</v>
      </c>
    </row>
    <row r="3618" customFormat="false" ht="15" hidden="false" customHeight="false" outlineLevel="0" collapsed="false">
      <c r="A3618" s="0" t="n">
        <v>43</v>
      </c>
      <c r="B3618" s="0" t="s">
        <v>62</v>
      </c>
      <c r="C3618" s="0" t="n">
        <v>2012</v>
      </c>
      <c r="D3618" s="0" t="n">
        <v>2</v>
      </c>
      <c r="E3618" s="38" t="n">
        <v>3</v>
      </c>
    </row>
    <row r="3619" customFormat="false" ht="15" hidden="false" customHeight="false" outlineLevel="0" collapsed="false">
      <c r="A3619" s="0" t="n">
        <v>43</v>
      </c>
      <c r="B3619" s="0" t="s">
        <v>62</v>
      </c>
      <c r="C3619" s="0" t="n">
        <v>2012</v>
      </c>
      <c r="D3619" s="0" t="n">
        <v>6</v>
      </c>
      <c r="E3619" s="38" t="n">
        <v>3</v>
      </c>
    </row>
    <row r="3620" customFormat="false" ht="15" hidden="false" customHeight="false" outlineLevel="0" collapsed="false">
      <c r="A3620" s="0" t="n">
        <v>43</v>
      </c>
      <c r="B3620" s="0" t="s">
        <v>62</v>
      </c>
      <c r="C3620" s="0" t="n">
        <v>2012</v>
      </c>
      <c r="D3620" s="0" t="n">
        <v>11</v>
      </c>
      <c r="E3620" s="38" t="n">
        <v>0.14</v>
      </c>
    </row>
    <row r="3621" customFormat="false" ht="15" hidden="false" customHeight="false" outlineLevel="0" collapsed="false">
      <c r="A3621" s="0" t="n">
        <v>43</v>
      </c>
      <c r="B3621" s="0" t="s">
        <v>62</v>
      </c>
      <c r="C3621" s="0" t="n">
        <v>2012</v>
      </c>
      <c r="D3621" s="0" t="n">
        <v>12</v>
      </c>
      <c r="E3621" s="38" t="n">
        <v>3.86</v>
      </c>
    </row>
    <row r="3622" customFormat="false" ht="15" hidden="false" customHeight="false" outlineLevel="0" collapsed="false">
      <c r="A3622" s="0" t="n">
        <v>43</v>
      </c>
      <c r="B3622" s="0" t="s">
        <v>62</v>
      </c>
      <c r="C3622" s="0" t="n">
        <v>2013</v>
      </c>
      <c r="D3622" s="0" t="n">
        <v>1</v>
      </c>
      <c r="E3622" s="38" t="n">
        <v>0.86</v>
      </c>
    </row>
    <row r="3623" customFormat="false" ht="15" hidden="false" customHeight="false" outlineLevel="0" collapsed="false">
      <c r="A3623" s="0" t="n">
        <v>43</v>
      </c>
      <c r="B3623" s="0" t="s">
        <v>62</v>
      </c>
      <c r="C3623" s="0" t="n">
        <v>2013</v>
      </c>
      <c r="D3623" s="0" t="n">
        <v>2</v>
      </c>
      <c r="E3623" s="38" t="n">
        <v>0.14</v>
      </c>
    </row>
    <row r="3624" customFormat="false" ht="15" hidden="false" customHeight="false" outlineLevel="0" collapsed="false">
      <c r="A3624" s="0" t="n">
        <v>43</v>
      </c>
      <c r="B3624" s="0" t="s">
        <v>62</v>
      </c>
      <c r="C3624" s="0" t="n">
        <v>2013</v>
      </c>
      <c r="D3624" s="0" t="n">
        <v>4</v>
      </c>
      <c r="E3624" s="38" t="n">
        <v>0.5</v>
      </c>
    </row>
    <row r="3625" customFormat="false" ht="15" hidden="false" customHeight="false" outlineLevel="0" collapsed="false">
      <c r="A3625" s="0" t="n">
        <v>44</v>
      </c>
      <c r="B3625" s="0" t="s">
        <v>60</v>
      </c>
      <c r="C3625" s="0" t="n">
        <v>2011</v>
      </c>
      <c r="D3625" s="0" t="n">
        <v>1</v>
      </c>
      <c r="E3625" s="38" t="n">
        <v>406352.99</v>
      </c>
    </row>
    <row r="3626" customFormat="false" ht="15" hidden="false" customHeight="false" outlineLevel="0" collapsed="false">
      <c r="A3626" s="0" t="n">
        <v>44</v>
      </c>
      <c r="B3626" s="0" t="s">
        <v>60</v>
      </c>
      <c r="C3626" s="0" t="n">
        <v>2011</v>
      </c>
      <c r="D3626" s="0" t="n">
        <v>2</v>
      </c>
      <c r="E3626" s="38" t="n">
        <v>428358.85</v>
      </c>
    </row>
    <row r="3627" customFormat="false" ht="15" hidden="false" customHeight="false" outlineLevel="0" collapsed="false">
      <c r="A3627" s="0" t="n">
        <v>44</v>
      </c>
      <c r="B3627" s="0" t="s">
        <v>60</v>
      </c>
      <c r="C3627" s="0" t="n">
        <v>2011</v>
      </c>
      <c r="D3627" s="0" t="n">
        <v>3</v>
      </c>
      <c r="E3627" s="38" t="n">
        <v>402368.28</v>
      </c>
    </row>
    <row r="3628" customFormat="false" ht="15" hidden="false" customHeight="false" outlineLevel="0" collapsed="false">
      <c r="A3628" s="0" t="n">
        <v>44</v>
      </c>
      <c r="B3628" s="0" t="s">
        <v>60</v>
      </c>
      <c r="C3628" s="0" t="n">
        <v>2011</v>
      </c>
      <c r="D3628" s="0" t="n">
        <v>4</v>
      </c>
      <c r="E3628" s="38" t="n">
        <v>432367.2</v>
      </c>
    </row>
    <row r="3629" customFormat="false" ht="15" hidden="false" customHeight="false" outlineLevel="0" collapsed="false">
      <c r="A3629" s="0" t="n">
        <v>44</v>
      </c>
      <c r="B3629" s="0" t="s">
        <v>60</v>
      </c>
      <c r="C3629" s="0" t="n">
        <v>2011</v>
      </c>
      <c r="D3629" s="0" t="n">
        <v>5</v>
      </c>
      <c r="E3629" s="38" t="n">
        <v>420042.85</v>
      </c>
    </row>
    <row r="3630" customFormat="false" ht="15" hidden="false" customHeight="false" outlineLevel="0" collapsed="false">
      <c r="A3630" s="0" t="n">
        <v>44</v>
      </c>
      <c r="B3630" s="0" t="s">
        <v>60</v>
      </c>
      <c r="C3630" s="0" t="n">
        <v>2011</v>
      </c>
      <c r="D3630" s="0" t="n">
        <v>6</v>
      </c>
      <c r="E3630" s="38" t="n">
        <v>412310.45</v>
      </c>
    </row>
    <row r="3631" customFormat="false" ht="15" hidden="false" customHeight="false" outlineLevel="0" collapsed="false">
      <c r="A3631" s="0" t="n">
        <v>44</v>
      </c>
      <c r="B3631" s="0" t="s">
        <v>60</v>
      </c>
      <c r="C3631" s="0" t="n">
        <v>2011</v>
      </c>
      <c r="D3631" s="0" t="n">
        <v>7</v>
      </c>
      <c r="E3631" s="38" t="n">
        <v>422702.5</v>
      </c>
    </row>
    <row r="3632" customFormat="false" ht="15" hidden="false" customHeight="false" outlineLevel="0" collapsed="false">
      <c r="A3632" s="0" t="n">
        <v>44</v>
      </c>
      <c r="B3632" s="0" t="s">
        <v>60</v>
      </c>
      <c r="C3632" s="0" t="n">
        <v>2011</v>
      </c>
      <c r="D3632" s="0" t="n">
        <v>8</v>
      </c>
      <c r="E3632" s="38" t="n">
        <v>441644.85</v>
      </c>
    </row>
    <row r="3633" customFormat="false" ht="15" hidden="false" customHeight="false" outlineLevel="0" collapsed="false">
      <c r="A3633" s="0" t="n">
        <v>44</v>
      </c>
      <c r="B3633" s="0" t="s">
        <v>60</v>
      </c>
      <c r="C3633" s="0" t="n">
        <v>2011</v>
      </c>
      <c r="D3633" s="0" t="n">
        <v>9</v>
      </c>
      <c r="E3633" s="38" t="n">
        <v>493536.44</v>
      </c>
    </row>
    <row r="3634" customFormat="false" ht="15" hidden="false" customHeight="false" outlineLevel="0" collapsed="false">
      <c r="A3634" s="0" t="n">
        <v>44</v>
      </c>
      <c r="B3634" s="0" t="s">
        <v>60</v>
      </c>
      <c r="C3634" s="0" t="n">
        <v>2011</v>
      </c>
      <c r="D3634" s="0" t="n">
        <v>10</v>
      </c>
      <c r="E3634" s="38" t="n">
        <v>532321.22</v>
      </c>
    </row>
    <row r="3635" customFormat="false" ht="15" hidden="false" customHeight="false" outlineLevel="0" collapsed="false">
      <c r="A3635" s="0" t="n">
        <v>44</v>
      </c>
      <c r="B3635" s="0" t="s">
        <v>60</v>
      </c>
      <c r="C3635" s="0" t="n">
        <v>2011</v>
      </c>
      <c r="D3635" s="0" t="n">
        <v>11</v>
      </c>
      <c r="E3635" s="38" t="n">
        <v>665915.77</v>
      </c>
    </row>
    <row r="3636" customFormat="false" ht="15" hidden="false" customHeight="false" outlineLevel="0" collapsed="false">
      <c r="A3636" s="0" t="n">
        <v>44</v>
      </c>
      <c r="B3636" s="0" t="s">
        <v>60</v>
      </c>
      <c r="C3636" s="0" t="n">
        <v>2011</v>
      </c>
      <c r="D3636" s="0" t="n">
        <v>12</v>
      </c>
      <c r="E3636" s="38" t="n">
        <v>367326.33</v>
      </c>
    </row>
    <row r="3637" customFormat="false" ht="15" hidden="false" customHeight="false" outlineLevel="0" collapsed="false">
      <c r="A3637" s="0" t="n">
        <v>44</v>
      </c>
      <c r="B3637" s="0" t="s">
        <v>60</v>
      </c>
      <c r="C3637" s="0" t="n">
        <v>2012</v>
      </c>
      <c r="D3637" s="0" t="n">
        <v>1</v>
      </c>
      <c r="E3637" s="38" t="n">
        <v>395296.58</v>
      </c>
    </row>
    <row r="3638" customFormat="false" ht="15" hidden="false" customHeight="false" outlineLevel="0" collapsed="false">
      <c r="A3638" s="0" t="n">
        <v>44</v>
      </c>
      <c r="B3638" s="0" t="s">
        <v>60</v>
      </c>
      <c r="C3638" s="0" t="n">
        <v>2012</v>
      </c>
      <c r="D3638" s="0" t="n">
        <v>2</v>
      </c>
      <c r="E3638" s="38" t="n">
        <v>400530.97</v>
      </c>
    </row>
    <row r="3639" customFormat="false" ht="15" hidden="false" customHeight="false" outlineLevel="0" collapsed="false">
      <c r="A3639" s="0" t="n">
        <v>44</v>
      </c>
      <c r="B3639" s="0" t="s">
        <v>60</v>
      </c>
      <c r="C3639" s="0" t="n">
        <v>2012</v>
      </c>
      <c r="D3639" s="0" t="n">
        <v>3</v>
      </c>
      <c r="E3639" s="38" t="n">
        <v>410693.27</v>
      </c>
    </row>
    <row r="3640" customFormat="false" ht="15" hidden="false" customHeight="false" outlineLevel="0" collapsed="false">
      <c r="A3640" s="0" t="n">
        <v>44</v>
      </c>
      <c r="B3640" s="0" t="s">
        <v>60</v>
      </c>
      <c r="C3640" s="0" t="n">
        <v>2012</v>
      </c>
      <c r="D3640" s="0" t="n">
        <v>4</v>
      </c>
      <c r="E3640" s="38" t="n">
        <v>405614.81</v>
      </c>
    </row>
    <row r="3641" customFormat="false" ht="15" hidden="false" customHeight="false" outlineLevel="0" collapsed="false">
      <c r="A3641" s="0" t="n">
        <v>44</v>
      </c>
      <c r="B3641" s="0" t="s">
        <v>60</v>
      </c>
      <c r="C3641" s="0" t="n">
        <v>2012</v>
      </c>
      <c r="D3641" s="0" t="n">
        <v>5</v>
      </c>
      <c r="E3641" s="38" t="n">
        <v>385942.21</v>
      </c>
    </row>
    <row r="3642" customFormat="false" ht="15" hidden="false" customHeight="false" outlineLevel="0" collapsed="false">
      <c r="A3642" s="0" t="n">
        <v>44</v>
      </c>
      <c r="B3642" s="0" t="s">
        <v>60</v>
      </c>
      <c r="C3642" s="0" t="n">
        <v>2012</v>
      </c>
      <c r="D3642" s="0" t="n">
        <v>6</v>
      </c>
      <c r="E3642" s="38" t="n">
        <v>384872.86</v>
      </c>
    </row>
    <row r="3643" customFormat="false" ht="15" hidden="false" customHeight="false" outlineLevel="0" collapsed="false">
      <c r="A3643" s="0" t="n">
        <v>44</v>
      </c>
      <c r="B3643" s="0" t="s">
        <v>60</v>
      </c>
      <c r="C3643" s="0" t="n">
        <v>2012</v>
      </c>
      <c r="D3643" s="0" t="n">
        <v>7</v>
      </c>
      <c r="E3643" s="38" t="n">
        <v>408473.79</v>
      </c>
    </row>
    <row r="3644" customFormat="false" ht="15" hidden="false" customHeight="false" outlineLevel="0" collapsed="false">
      <c r="A3644" s="0" t="n">
        <v>44</v>
      </c>
      <c r="B3644" s="0" t="s">
        <v>60</v>
      </c>
      <c r="C3644" s="0" t="n">
        <v>2012</v>
      </c>
      <c r="D3644" s="0" t="n">
        <v>8</v>
      </c>
      <c r="E3644" s="38" t="n">
        <v>445743.86</v>
      </c>
    </row>
    <row r="3645" customFormat="false" ht="15" hidden="false" customHeight="false" outlineLevel="0" collapsed="false">
      <c r="A3645" s="0" t="n">
        <v>44</v>
      </c>
      <c r="B3645" s="0" t="s">
        <v>60</v>
      </c>
      <c r="C3645" s="0" t="n">
        <v>2012</v>
      </c>
      <c r="D3645" s="0" t="n">
        <v>9</v>
      </c>
      <c r="E3645" s="38" t="n">
        <v>538524.45</v>
      </c>
    </row>
    <row r="3646" customFormat="false" ht="15" hidden="false" customHeight="false" outlineLevel="0" collapsed="false">
      <c r="A3646" s="0" t="n">
        <v>44</v>
      </c>
      <c r="B3646" s="0" t="s">
        <v>60</v>
      </c>
      <c r="C3646" s="0" t="n">
        <v>2012</v>
      </c>
      <c r="D3646" s="0" t="n">
        <v>10</v>
      </c>
      <c r="E3646" s="38" t="n">
        <v>567483.33</v>
      </c>
    </row>
    <row r="3647" customFormat="false" ht="15" hidden="false" customHeight="false" outlineLevel="0" collapsed="false">
      <c r="A3647" s="0" t="n">
        <v>44</v>
      </c>
      <c r="B3647" s="0" t="s">
        <v>60</v>
      </c>
      <c r="C3647" s="0" t="n">
        <v>2012</v>
      </c>
      <c r="D3647" s="0" t="n">
        <v>11</v>
      </c>
      <c r="E3647" s="38" t="n">
        <v>724270.93</v>
      </c>
    </row>
    <row r="3648" customFormat="false" ht="15" hidden="false" customHeight="false" outlineLevel="0" collapsed="false">
      <c r="A3648" s="0" t="n">
        <v>44</v>
      </c>
      <c r="B3648" s="0" t="s">
        <v>60</v>
      </c>
      <c r="C3648" s="0" t="n">
        <v>2012</v>
      </c>
      <c r="D3648" s="0" t="n">
        <v>12</v>
      </c>
      <c r="E3648" s="38" t="n">
        <v>403017.79</v>
      </c>
    </row>
    <row r="3649" customFormat="false" ht="15" hidden="false" customHeight="false" outlineLevel="0" collapsed="false">
      <c r="A3649" s="0" t="n">
        <v>44</v>
      </c>
      <c r="B3649" s="0" t="s">
        <v>60</v>
      </c>
      <c r="C3649" s="0" t="n">
        <v>2013</v>
      </c>
      <c r="D3649" s="0" t="n">
        <v>1</v>
      </c>
      <c r="E3649" s="38" t="n">
        <v>448667.23</v>
      </c>
    </row>
    <row r="3650" customFormat="false" ht="15" hidden="false" customHeight="false" outlineLevel="0" collapsed="false">
      <c r="A3650" s="0" t="n">
        <v>44</v>
      </c>
      <c r="B3650" s="0" t="s">
        <v>60</v>
      </c>
      <c r="C3650" s="0" t="n">
        <v>2013</v>
      </c>
      <c r="D3650" s="0" t="n">
        <v>2</v>
      </c>
      <c r="E3650" s="38" t="n">
        <v>412781.27</v>
      </c>
    </row>
    <row r="3651" customFormat="false" ht="15" hidden="false" customHeight="false" outlineLevel="0" collapsed="false">
      <c r="A3651" s="0" t="n">
        <v>44</v>
      </c>
      <c r="B3651" s="0" t="s">
        <v>60</v>
      </c>
      <c r="C3651" s="0" t="n">
        <v>2013</v>
      </c>
      <c r="D3651" s="0" t="n">
        <v>3</v>
      </c>
      <c r="E3651" s="38" t="n">
        <v>392754.01</v>
      </c>
    </row>
    <row r="3652" customFormat="false" ht="15" hidden="false" customHeight="false" outlineLevel="0" collapsed="false">
      <c r="A3652" s="0" t="n">
        <v>44</v>
      </c>
      <c r="B3652" s="0" t="s">
        <v>60</v>
      </c>
      <c r="C3652" s="0" t="n">
        <v>2013</v>
      </c>
      <c r="D3652" s="0" t="n">
        <v>4</v>
      </c>
      <c r="E3652" s="38" t="n">
        <v>454095.56</v>
      </c>
    </row>
    <row r="3653" customFormat="false" ht="15" hidden="false" customHeight="false" outlineLevel="0" collapsed="false">
      <c r="A3653" s="0" t="n">
        <v>44</v>
      </c>
      <c r="B3653" s="0" t="s">
        <v>60</v>
      </c>
      <c r="C3653" s="0" t="n">
        <v>2013</v>
      </c>
      <c r="D3653" s="0" t="n">
        <v>5</v>
      </c>
      <c r="E3653" s="38" t="n">
        <v>418153.82</v>
      </c>
    </row>
    <row r="3654" customFormat="false" ht="15" hidden="false" customHeight="false" outlineLevel="0" collapsed="false">
      <c r="A3654" s="0" t="n">
        <v>44</v>
      </c>
      <c r="B3654" s="0" t="s">
        <v>60</v>
      </c>
      <c r="C3654" s="0" t="n">
        <v>2013</v>
      </c>
      <c r="D3654" s="0" t="n">
        <v>6</v>
      </c>
      <c r="E3654" s="38" t="n">
        <v>421435.09</v>
      </c>
    </row>
    <row r="3655" customFormat="false" ht="15" hidden="false" customHeight="false" outlineLevel="0" collapsed="false">
      <c r="A3655" s="0" t="n">
        <v>44</v>
      </c>
      <c r="B3655" s="0" t="s">
        <v>60</v>
      </c>
      <c r="C3655" s="0" t="n">
        <v>2013</v>
      </c>
      <c r="D3655" s="0" t="n">
        <v>7</v>
      </c>
      <c r="E3655" s="38" t="n">
        <v>442625.64</v>
      </c>
    </row>
    <row r="3656" customFormat="false" ht="15" hidden="false" customHeight="false" outlineLevel="0" collapsed="false">
      <c r="A3656" s="0" t="n">
        <v>44</v>
      </c>
      <c r="B3656" s="0" t="s">
        <v>60</v>
      </c>
      <c r="C3656" s="0" t="n">
        <v>2013</v>
      </c>
      <c r="D3656" s="0" t="n">
        <v>8</v>
      </c>
      <c r="E3656" s="38" t="n">
        <v>473222.28</v>
      </c>
    </row>
    <row r="3657" customFormat="false" ht="15" hidden="false" customHeight="false" outlineLevel="0" collapsed="false">
      <c r="A3657" s="0" t="n">
        <v>44</v>
      </c>
      <c r="B3657" s="0" t="s">
        <v>62</v>
      </c>
      <c r="C3657" s="0" t="n">
        <v>2011</v>
      </c>
      <c r="D3657" s="0" t="n">
        <v>1</v>
      </c>
      <c r="E3657" s="38" t="n">
        <v>306082.74</v>
      </c>
    </row>
    <row r="3658" customFormat="false" ht="15" hidden="false" customHeight="false" outlineLevel="0" collapsed="false">
      <c r="A3658" s="0" t="n">
        <v>44</v>
      </c>
      <c r="B3658" s="0" t="s">
        <v>62</v>
      </c>
      <c r="C3658" s="0" t="n">
        <v>2011</v>
      </c>
      <c r="D3658" s="0" t="n">
        <v>2</v>
      </c>
      <c r="E3658" s="38" t="n">
        <v>324095.18</v>
      </c>
    </row>
    <row r="3659" customFormat="false" ht="15" hidden="false" customHeight="false" outlineLevel="0" collapsed="false">
      <c r="A3659" s="0" t="n">
        <v>44</v>
      </c>
      <c r="B3659" s="0" t="s">
        <v>62</v>
      </c>
      <c r="C3659" s="0" t="n">
        <v>2011</v>
      </c>
      <c r="D3659" s="0" t="n">
        <v>3</v>
      </c>
      <c r="E3659" s="38" t="n">
        <v>292648.01</v>
      </c>
    </row>
    <row r="3660" customFormat="false" ht="15" hidden="false" customHeight="false" outlineLevel="0" collapsed="false">
      <c r="A3660" s="0" t="n">
        <v>44</v>
      </c>
      <c r="B3660" s="0" t="s">
        <v>62</v>
      </c>
      <c r="C3660" s="0" t="n">
        <v>2011</v>
      </c>
      <c r="D3660" s="0" t="n">
        <v>4</v>
      </c>
      <c r="E3660" s="38" t="n">
        <v>309735.93</v>
      </c>
    </row>
    <row r="3661" customFormat="false" ht="15" hidden="false" customHeight="false" outlineLevel="0" collapsed="false">
      <c r="A3661" s="0" t="n">
        <v>44</v>
      </c>
      <c r="B3661" s="0" t="s">
        <v>62</v>
      </c>
      <c r="C3661" s="0" t="n">
        <v>2011</v>
      </c>
      <c r="D3661" s="0" t="n">
        <v>5</v>
      </c>
      <c r="E3661" s="38" t="n">
        <v>301157.04</v>
      </c>
    </row>
    <row r="3662" customFormat="false" ht="15" hidden="false" customHeight="false" outlineLevel="0" collapsed="false">
      <c r="A3662" s="0" t="n">
        <v>44</v>
      </c>
      <c r="B3662" s="0" t="s">
        <v>62</v>
      </c>
      <c r="C3662" s="0" t="n">
        <v>2011</v>
      </c>
      <c r="D3662" s="0" t="n">
        <v>6</v>
      </c>
      <c r="E3662" s="38" t="n">
        <v>291298.66</v>
      </c>
    </row>
    <row r="3663" customFormat="false" ht="15" hidden="false" customHeight="false" outlineLevel="0" collapsed="false">
      <c r="A3663" s="0" t="n">
        <v>44</v>
      </c>
      <c r="B3663" s="0" t="s">
        <v>62</v>
      </c>
      <c r="C3663" s="0" t="n">
        <v>2011</v>
      </c>
      <c r="D3663" s="0" t="n">
        <v>7</v>
      </c>
      <c r="E3663" s="38" t="n">
        <v>289435.09</v>
      </c>
    </row>
    <row r="3664" customFormat="false" ht="15" hidden="false" customHeight="false" outlineLevel="0" collapsed="false">
      <c r="A3664" s="0" t="n">
        <v>44</v>
      </c>
      <c r="B3664" s="0" t="s">
        <v>62</v>
      </c>
      <c r="C3664" s="0" t="n">
        <v>2011</v>
      </c>
      <c r="D3664" s="0" t="n">
        <v>8</v>
      </c>
      <c r="E3664" s="38" t="n">
        <v>299318.21</v>
      </c>
    </row>
    <row r="3665" customFormat="false" ht="15" hidden="false" customHeight="false" outlineLevel="0" collapsed="false">
      <c r="A3665" s="0" t="n">
        <v>44</v>
      </c>
      <c r="B3665" s="0" t="s">
        <v>62</v>
      </c>
      <c r="C3665" s="0" t="n">
        <v>2011</v>
      </c>
      <c r="D3665" s="0" t="n">
        <v>9</v>
      </c>
      <c r="E3665" s="38" t="n">
        <v>368258.8</v>
      </c>
    </row>
    <row r="3666" customFormat="false" ht="15" hidden="false" customHeight="false" outlineLevel="0" collapsed="false">
      <c r="A3666" s="0" t="n">
        <v>44</v>
      </c>
      <c r="B3666" s="0" t="s">
        <v>62</v>
      </c>
      <c r="C3666" s="0" t="n">
        <v>2011</v>
      </c>
      <c r="D3666" s="0" t="n">
        <v>10</v>
      </c>
      <c r="E3666" s="38" t="n">
        <v>391358.53</v>
      </c>
    </row>
    <row r="3667" customFormat="false" ht="15" hidden="false" customHeight="false" outlineLevel="0" collapsed="false">
      <c r="A3667" s="0" t="n">
        <v>44</v>
      </c>
      <c r="B3667" s="0" t="s">
        <v>62</v>
      </c>
      <c r="C3667" s="0" t="n">
        <v>2011</v>
      </c>
      <c r="D3667" s="0" t="n">
        <v>11</v>
      </c>
      <c r="E3667" s="38" t="n">
        <v>479408.12</v>
      </c>
    </row>
    <row r="3668" customFormat="false" ht="15" hidden="false" customHeight="false" outlineLevel="0" collapsed="false">
      <c r="A3668" s="0" t="n">
        <v>44</v>
      </c>
      <c r="B3668" s="0" t="s">
        <v>62</v>
      </c>
      <c r="C3668" s="0" t="n">
        <v>2011</v>
      </c>
      <c r="D3668" s="0" t="n">
        <v>12</v>
      </c>
      <c r="E3668" s="38" t="n">
        <v>276999.09</v>
      </c>
    </row>
    <row r="3669" customFormat="false" ht="15" hidden="false" customHeight="false" outlineLevel="0" collapsed="false">
      <c r="A3669" s="0" t="n">
        <v>44</v>
      </c>
      <c r="B3669" s="0" t="s">
        <v>62</v>
      </c>
      <c r="C3669" s="0" t="n">
        <v>2012</v>
      </c>
      <c r="D3669" s="0" t="n">
        <v>1</v>
      </c>
      <c r="E3669" s="38" t="n">
        <v>288182.41</v>
      </c>
    </row>
    <row r="3670" customFormat="false" ht="15" hidden="false" customHeight="false" outlineLevel="0" collapsed="false">
      <c r="A3670" s="0" t="n">
        <v>44</v>
      </c>
      <c r="B3670" s="0" t="s">
        <v>62</v>
      </c>
      <c r="C3670" s="0" t="n">
        <v>2012</v>
      </c>
      <c r="D3670" s="0" t="n">
        <v>2</v>
      </c>
      <c r="E3670" s="38" t="n">
        <v>300116.73</v>
      </c>
    </row>
    <row r="3671" customFormat="false" ht="15" hidden="false" customHeight="false" outlineLevel="0" collapsed="false">
      <c r="A3671" s="0" t="n">
        <v>44</v>
      </c>
      <c r="B3671" s="0" t="s">
        <v>62</v>
      </c>
      <c r="C3671" s="0" t="n">
        <v>2012</v>
      </c>
      <c r="D3671" s="0" t="n">
        <v>3</v>
      </c>
      <c r="E3671" s="38" t="n">
        <v>290019.33</v>
      </c>
    </row>
    <row r="3672" customFormat="false" ht="15" hidden="false" customHeight="false" outlineLevel="0" collapsed="false">
      <c r="A3672" s="0" t="n">
        <v>44</v>
      </c>
      <c r="B3672" s="0" t="s">
        <v>62</v>
      </c>
      <c r="C3672" s="0" t="n">
        <v>2012</v>
      </c>
      <c r="D3672" s="0" t="n">
        <v>4</v>
      </c>
      <c r="E3672" s="38" t="n">
        <v>288355.83</v>
      </c>
    </row>
    <row r="3673" customFormat="false" ht="15" hidden="false" customHeight="false" outlineLevel="0" collapsed="false">
      <c r="A3673" s="0" t="n">
        <v>44</v>
      </c>
      <c r="B3673" s="0" t="s">
        <v>62</v>
      </c>
      <c r="C3673" s="0" t="n">
        <v>2012</v>
      </c>
      <c r="D3673" s="0" t="n">
        <v>5</v>
      </c>
      <c r="E3673" s="38" t="n">
        <v>285438.18</v>
      </c>
    </row>
    <row r="3674" customFormat="false" ht="15" hidden="false" customHeight="false" outlineLevel="0" collapsed="false">
      <c r="A3674" s="0" t="n">
        <v>44</v>
      </c>
      <c r="B3674" s="0" t="s">
        <v>62</v>
      </c>
      <c r="C3674" s="0" t="n">
        <v>2012</v>
      </c>
      <c r="D3674" s="0" t="n">
        <v>6</v>
      </c>
      <c r="E3674" s="38" t="n">
        <v>283703.95</v>
      </c>
    </row>
    <row r="3675" customFormat="false" ht="15" hidden="false" customHeight="false" outlineLevel="0" collapsed="false">
      <c r="A3675" s="0" t="n">
        <v>44</v>
      </c>
      <c r="B3675" s="0" t="s">
        <v>62</v>
      </c>
      <c r="C3675" s="0" t="n">
        <v>2012</v>
      </c>
      <c r="D3675" s="0" t="n">
        <v>7</v>
      </c>
      <c r="E3675" s="38" t="n">
        <v>282828.03</v>
      </c>
    </row>
    <row r="3676" customFormat="false" ht="15" hidden="false" customHeight="false" outlineLevel="0" collapsed="false">
      <c r="A3676" s="0" t="n">
        <v>44</v>
      </c>
      <c r="B3676" s="0" t="s">
        <v>62</v>
      </c>
      <c r="C3676" s="0" t="n">
        <v>2012</v>
      </c>
      <c r="D3676" s="0" t="n">
        <v>8</v>
      </c>
      <c r="E3676" s="38" t="n">
        <v>300455.06</v>
      </c>
    </row>
    <row r="3677" customFormat="false" ht="15" hidden="false" customHeight="false" outlineLevel="0" collapsed="false">
      <c r="A3677" s="0" t="n">
        <v>44</v>
      </c>
      <c r="B3677" s="0" t="s">
        <v>62</v>
      </c>
      <c r="C3677" s="0" t="n">
        <v>2012</v>
      </c>
      <c r="D3677" s="0" t="n">
        <v>9</v>
      </c>
      <c r="E3677" s="38" t="n">
        <v>366467.52</v>
      </c>
    </row>
    <row r="3678" customFormat="false" ht="15" hidden="false" customHeight="false" outlineLevel="0" collapsed="false">
      <c r="A3678" s="0" t="n">
        <v>44</v>
      </c>
      <c r="B3678" s="0" t="s">
        <v>62</v>
      </c>
      <c r="C3678" s="0" t="n">
        <v>2012</v>
      </c>
      <c r="D3678" s="0" t="n">
        <v>10</v>
      </c>
      <c r="E3678" s="38" t="n">
        <v>405570.57</v>
      </c>
    </row>
    <row r="3679" customFormat="false" ht="15" hidden="false" customHeight="false" outlineLevel="0" collapsed="false">
      <c r="A3679" s="0" t="n">
        <v>44</v>
      </c>
      <c r="B3679" s="0" t="s">
        <v>62</v>
      </c>
      <c r="C3679" s="0" t="n">
        <v>2012</v>
      </c>
      <c r="D3679" s="0" t="n">
        <v>11</v>
      </c>
      <c r="E3679" s="38" t="n">
        <v>519441.77</v>
      </c>
    </row>
    <row r="3680" customFormat="false" ht="15" hidden="false" customHeight="false" outlineLevel="0" collapsed="false">
      <c r="A3680" s="0" t="n">
        <v>44</v>
      </c>
      <c r="B3680" s="0" t="s">
        <v>62</v>
      </c>
      <c r="C3680" s="0" t="n">
        <v>2012</v>
      </c>
      <c r="D3680" s="0" t="n">
        <v>12</v>
      </c>
      <c r="E3680" s="38" t="n">
        <v>293523</v>
      </c>
    </row>
    <row r="3681" customFormat="false" ht="15" hidden="false" customHeight="false" outlineLevel="0" collapsed="false">
      <c r="A3681" s="0" t="n">
        <v>44</v>
      </c>
      <c r="B3681" s="0" t="s">
        <v>62</v>
      </c>
      <c r="C3681" s="0" t="n">
        <v>2013</v>
      </c>
      <c r="D3681" s="0" t="n">
        <v>1</v>
      </c>
      <c r="E3681" s="38" t="n">
        <v>312929.39</v>
      </c>
    </row>
    <row r="3682" customFormat="false" ht="15" hidden="false" customHeight="false" outlineLevel="0" collapsed="false">
      <c r="A3682" s="0" t="n">
        <v>44</v>
      </c>
      <c r="B3682" s="0" t="s">
        <v>62</v>
      </c>
      <c r="C3682" s="0" t="n">
        <v>2013</v>
      </c>
      <c r="D3682" s="0" t="n">
        <v>2</v>
      </c>
      <c r="E3682" s="38" t="n">
        <v>298534.6</v>
      </c>
    </row>
    <row r="3683" customFormat="false" ht="15" hidden="false" customHeight="false" outlineLevel="0" collapsed="false">
      <c r="A3683" s="0" t="n">
        <v>44</v>
      </c>
      <c r="B3683" s="0" t="s">
        <v>62</v>
      </c>
      <c r="C3683" s="0" t="n">
        <v>2013</v>
      </c>
      <c r="D3683" s="0" t="n">
        <v>3</v>
      </c>
      <c r="E3683" s="38" t="n">
        <v>272113.93</v>
      </c>
    </row>
    <row r="3684" customFormat="false" ht="15" hidden="false" customHeight="false" outlineLevel="0" collapsed="false">
      <c r="A3684" s="0" t="n">
        <v>44</v>
      </c>
      <c r="B3684" s="0" t="s">
        <v>62</v>
      </c>
      <c r="C3684" s="0" t="n">
        <v>2013</v>
      </c>
      <c r="D3684" s="0" t="n">
        <v>4</v>
      </c>
      <c r="E3684" s="38" t="n">
        <v>310983.37</v>
      </c>
    </row>
    <row r="3685" customFormat="false" ht="15" hidden="false" customHeight="false" outlineLevel="0" collapsed="false">
      <c r="A3685" s="0" t="n">
        <v>44</v>
      </c>
      <c r="B3685" s="0" t="s">
        <v>62</v>
      </c>
      <c r="C3685" s="0" t="n">
        <v>2013</v>
      </c>
      <c r="D3685" s="0" t="n">
        <v>5</v>
      </c>
      <c r="E3685" s="38" t="n">
        <v>298363.92</v>
      </c>
    </row>
    <row r="3686" customFormat="false" ht="15" hidden="false" customHeight="false" outlineLevel="0" collapsed="false">
      <c r="A3686" s="0" t="n">
        <v>44</v>
      </c>
      <c r="B3686" s="0" t="s">
        <v>62</v>
      </c>
      <c r="C3686" s="0" t="n">
        <v>2013</v>
      </c>
      <c r="D3686" s="0" t="n">
        <v>6</v>
      </c>
      <c r="E3686" s="38" t="n">
        <v>308420.77</v>
      </c>
    </row>
    <row r="3687" customFormat="false" ht="15" hidden="false" customHeight="false" outlineLevel="0" collapsed="false">
      <c r="A3687" s="0" t="n">
        <v>44</v>
      </c>
      <c r="B3687" s="0" t="s">
        <v>62</v>
      </c>
      <c r="C3687" s="0" t="n">
        <v>2013</v>
      </c>
      <c r="D3687" s="0" t="n">
        <v>7</v>
      </c>
      <c r="E3687" s="38" t="n">
        <v>304158.91</v>
      </c>
    </row>
    <row r="3688" customFormat="false" ht="15" hidden="false" customHeight="false" outlineLevel="0" collapsed="false">
      <c r="A3688" s="0" t="n">
        <v>44</v>
      </c>
      <c r="B3688" s="0" t="s">
        <v>62</v>
      </c>
      <c r="C3688" s="0" t="n">
        <v>2013</v>
      </c>
      <c r="D3688" s="0" t="n">
        <v>8</v>
      </c>
      <c r="E3688" s="38" t="n">
        <v>313912.79</v>
      </c>
    </row>
    <row r="3689" customFormat="false" ht="15" hidden="false" customHeight="false" outlineLevel="0" collapsed="false">
      <c r="A3689" s="0" t="n">
        <v>44</v>
      </c>
      <c r="B3689" s="0" t="s">
        <v>64</v>
      </c>
      <c r="C3689" s="0" t="n">
        <v>2011</v>
      </c>
      <c r="D3689" s="0" t="n">
        <v>1</v>
      </c>
      <c r="E3689" s="38" t="n">
        <v>33.99</v>
      </c>
    </row>
    <row r="3690" customFormat="false" ht="15" hidden="false" customHeight="false" outlineLevel="0" collapsed="false">
      <c r="A3690" s="0" t="n">
        <v>44</v>
      </c>
      <c r="B3690" s="0" t="s">
        <v>64</v>
      </c>
      <c r="C3690" s="0" t="n">
        <v>2011</v>
      </c>
      <c r="D3690" s="0" t="n">
        <v>2</v>
      </c>
      <c r="E3690" s="38" t="n">
        <v>53.77</v>
      </c>
    </row>
    <row r="3691" customFormat="false" ht="15" hidden="false" customHeight="false" outlineLevel="0" collapsed="false">
      <c r="A3691" s="0" t="n">
        <v>44</v>
      </c>
      <c r="B3691" s="0" t="s">
        <v>64</v>
      </c>
      <c r="C3691" s="0" t="n">
        <v>2011</v>
      </c>
      <c r="D3691" s="0" t="n">
        <v>3</v>
      </c>
      <c r="E3691" s="38" t="n">
        <v>10.66</v>
      </c>
    </row>
    <row r="3692" customFormat="false" ht="15" hidden="false" customHeight="false" outlineLevel="0" collapsed="false">
      <c r="A3692" s="0" t="n">
        <v>44</v>
      </c>
      <c r="B3692" s="0" t="s">
        <v>64</v>
      </c>
      <c r="C3692" s="0" t="n">
        <v>2011</v>
      </c>
      <c r="D3692" s="0" t="n">
        <v>4</v>
      </c>
      <c r="E3692" s="38" t="n">
        <v>23.44</v>
      </c>
    </row>
    <row r="3693" customFormat="false" ht="15" hidden="false" customHeight="false" outlineLevel="0" collapsed="false">
      <c r="A3693" s="0" t="n">
        <v>44</v>
      </c>
      <c r="B3693" s="0" t="s">
        <v>64</v>
      </c>
      <c r="C3693" s="0" t="n">
        <v>2011</v>
      </c>
      <c r="D3693" s="0" t="n">
        <v>5</v>
      </c>
      <c r="E3693" s="38" t="n">
        <v>13.43</v>
      </c>
    </row>
    <row r="3694" customFormat="false" ht="15" hidden="false" customHeight="false" outlineLevel="0" collapsed="false">
      <c r="A3694" s="0" t="n">
        <v>44</v>
      </c>
      <c r="B3694" s="0" t="s">
        <v>64</v>
      </c>
      <c r="C3694" s="0" t="n">
        <v>2011</v>
      </c>
      <c r="D3694" s="0" t="n">
        <v>6</v>
      </c>
      <c r="E3694" s="38" t="n">
        <v>35.49</v>
      </c>
    </row>
    <row r="3695" customFormat="false" ht="15" hidden="false" customHeight="false" outlineLevel="0" collapsed="false">
      <c r="A3695" s="0" t="n">
        <v>44</v>
      </c>
      <c r="B3695" s="0" t="s">
        <v>64</v>
      </c>
      <c r="C3695" s="0" t="n">
        <v>2011</v>
      </c>
      <c r="D3695" s="0" t="n">
        <v>7</v>
      </c>
      <c r="E3695" s="38" t="n">
        <v>28.34</v>
      </c>
    </row>
    <row r="3696" customFormat="false" ht="15" hidden="false" customHeight="false" outlineLevel="0" collapsed="false">
      <c r="A3696" s="0" t="n">
        <v>44</v>
      </c>
      <c r="B3696" s="0" t="s">
        <v>64</v>
      </c>
      <c r="C3696" s="0" t="n">
        <v>2011</v>
      </c>
      <c r="D3696" s="0" t="n">
        <v>8</v>
      </c>
      <c r="E3696" s="38" t="n">
        <v>2.64</v>
      </c>
    </row>
    <row r="3697" customFormat="false" ht="15" hidden="false" customHeight="false" outlineLevel="0" collapsed="false">
      <c r="A3697" s="0" t="n">
        <v>44</v>
      </c>
      <c r="B3697" s="0" t="s">
        <v>64</v>
      </c>
      <c r="C3697" s="0" t="n">
        <v>2011</v>
      </c>
      <c r="D3697" s="0" t="n">
        <v>9</v>
      </c>
      <c r="E3697" s="38" t="n">
        <v>27.48</v>
      </c>
    </row>
    <row r="3698" customFormat="false" ht="15" hidden="false" customHeight="false" outlineLevel="0" collapsed="false">
      <c r="A3698" s="0" t="n">
        <v>44</v>
      </c>
      <c r="B3698" s="0" t="s">
        <v>64</v>
      </c>
      <c r="C3698" s="0" t="n">
        <v>2011</v>
      </c>
      <c r="D3698" s="0" t="n">
        <v>10</v>
      </c>
      <c r="E3698" s="38" t="n">
        <v>-5.46</v>
      </c>
    </row>
    <row r="3699" customFormat="false" ht="15" hidden="false" customHeight="false" outlineLevel="0" collapsed="false">
      <c r="A3699" s="0" t="n">
        <v>44</v>
      </c>
      <c r="B3699" s="0" t="s">
        <v>64</v>
      </c>
      <c r="C3699" s="0" t="n">
        <v>2011</v>
      </c>
      <c r="D3699" s="0" t="n">
        <v>11</v>
      </c>
      <c r="E3699" s="38" t="n">
        <v>25.96</v>
      </c>
    </row>
    <row r="3700" customFormat="false" ht="15" hidden="false" customHeight="false" outlineLevel="0" collapsed="false">
      <c r="A3700" s="0" t="n">
        <v>44</v>
      </c>
      <c r="B3700" s="0" t="s">
        <v>64</v>
      </c>
      <c r="C3700" s="0" t="n">
        <v>2011</v>
      </c>
      <c r="D3700" s="0" t="n">
        <v>12</v>
      </c>
      <c r="E3700" s="38" t="n">
        <v>17.43</v>
      </c>
    </row>
    <row r="3701" customFormat="false" ht="15" hidden="false" customHeight="false" outlineLevel="0" collapsed="false">
      <c r="A3701" s="0" t="n">
        <v>44</v>
      </c>
      <c r="B3701" s="0" t="s">
        <v>64</v>
      </c>
      <c r="C3701" s="0" t="n">
        <v>2012</v>
      </c>
      <c r="D3701" s="0" t="n">
        <v>1</v>
      </c>
      <c r="E3701" s="38" t="n">
        <v>15.62</v>
      </c>
    </row>
    <row r="3702" customFormat="false" ht="15" hidden="false" customHeight="false" outlineLevel="0" collapsed="false">
      <c r="A3702" s="0" t="n">
        <v>44</v>
      </c>
      <c r="B3702" s="0" t="s">
        <v>64</v>
      </c>
      <c r="C3702" s="0" t="n">
        <v>2012</v>
      </c>
      <c r="D3702" s="0" t="n">
        <v>2</v>
      </c>
      <c r="E3702" s="38" t="n">
        <v>14.81</v>
      </c>
    </row>
    <row r="3703" customFormat="false" ht="15" hidden="false" customHeight="false" outlineLevel="0" collapsed="false">
      <c r="A3703" s="0" t="n">
        <v>44</v>
      </c>
      <c r="B3703" s="0" t="s">
        <v>64</v>
      </c>
      <c r="C3703" s="0" t="n">
        <v>2012</v>
      </c>
      <c r="D3703" s="0" t="n">
        <v>3</v>
      </c>
      <c r="E3703" s="38" t="n">
        <v>23.66</v>
      </c>
    </row>
    <row r="3704" customFormat="false" ht="15" hidden="false" customHeight="false" outlineLevel="0" collapsed="false">
      <c r="A3704" s="0" t="n">
        <v>44</v>
      </c>
      <c r="B3704" s="0" t="s">
        <v>64</v>
      </c>
      <c r="C3704" s="0" t="n">
        <v>2012</v>
      </c>
      <c r="D3704" s="0" t="n">
        <v>4</v>
      </c>
      <c r="E3704" s="38" t="n">
        <v>11.91</v>
      </c>
    </row>
    <row r="3705" customFormat="false" ht="15" hidden="false" customHeight="false" outlineLevel="0" collapsed="false">
      <c r="A3705" s="0" t="n">
        <v>44</v>
      </c>
      <c r="B3705" s="0" t="s">
        <v>64</v>
      </c>
      <c r="C3705" s="0" t="n">
        <v>2012</v>
      </c>
      <c r="D3705" s="0" t="n">
        <v>5</v>
      </c>
      <c r="E3705" s="38" t="n">
        <v>16.46</v>
      </c>
    </row>
    <row r="3706" customFormat="false" ht="15" hidden="false" customHeight="false" outlineLevel="0" collapsed="false">
      <c r="A3706" s="0" t="n">
        <v>44</v>
      </c>
      <c r="B3706" s="0" t="s">
        <v>64</v>
      </c>
      <c r="C3706" s="0" t="n">
        <v>2012</v>
      </c>
      <c r="D3706" s="0" t="n">
        <v>6</v>
      </c>
      <c r="E3706" s="38" t="n">
        <v>5.39</v>
      </c>
    </row>
    <row r="3707" customFormat="false" ht="15" hidden="false" customHeight="false" outlineLevel="0" collapsed="false">
      <c r="A3707" s="0" t="n">
        <v>44</v>
      </c>
      <c r="B3707" s="0" t="s">
        <v>64</v>
      </c>
      <c r="C3707" s="0" t="n">
        <v>2012</v>
      </c>
      <c r="D3707" s="0" t="n">
        <v>7</v>
      </c>
      <c r="E3707" s="38" t="n">
        <v>49.15</v>
      </c>
    </row>
    <row r="3708" customFormat="false" ht="15" hidden="false" customHeight="false" outlineLevel="0" collapsed="false">
      <c r="A3708" s="0" t="n">
        <v>44</v>
      </c>
      <c r="B3708" s="0" t="s">
        <v>64</v>
      </c>
      <c r="C3708" s="0" t="n">
        <v>2012</v>
      </c>
      <c r="D3708" s="0" t="n">
        <v>8</v>
      </c>
      <c r="E3708" s="38" t="n">
        <v>19.53</v>
      </c>
    </row>
    <row r="3709" customFormat="false" ht="15" hidden="false" customHeight="false" outlineLevel="0" collapsed="false">
      <c r="A3709" s="0" t="n">
        <v>44</v>
      </c>
      <c r="B3709" s="0" t="s">
        <v>64</v>
      </c>
      <c r="C3709" s="0" t="n">
        <v>2012</v>
      </c>
      <c r="D3709" s="0" t="n">
        <v>9</v>
      </c>
      <c r="E3709" s="38" t="n">
        <v>1.94</v>
      </c>
    </row>
    <row r="3710" customFormat="false" ht="15" hidden="false" customHeight="false" outlineLevel="0" collapsed="false">
      <c r="A3710" s="0" t="n">
        <v>44</v>
      </c>
      <c r="B3710" s="0" t="s">
        <v>64</v>
      </c>
      <c r="C3710" s="0" t="n">
        <v>2012</v>
      </c>
      <c r="D3710" s="0" t="n">
        <v>10</v>
      </c>
      <c r="E3710" s="38" t="n">
        <v>3.5</v>
      </c>
    </row>
    <row r="3711" customFormat="false" ht="15" hidden="false" customHeight="false" outlineLevel="0" collapsed="false">
      <c r="A3711" s="0" t="n">
        <v>44</v>
      </c>
      <c r="B3711" s="0" t="s">
        <v>64</v>
      </c>
      <c r="C3711" s="0" t="n">
        <v>2012</v>
      </c>
      <c r="D3711" s="0" t="n">
        <v>11</v>
      </c>
      <c r="E3711" s="38" t="n">
        <v>4.47</v>
      </c>
    </row>
    <row r="3712" customFormat="false" ht="15" hidden="false" customHeight="false" outlineLevel="0" collapsed="false">
      <c r="A3712" s="0" t="n">
        <v>44</v>
      </c>
      <c r="B3712" s="0" t="s">
        <v>64</v>
      </c>
      <c r="C3712" s="0" t="n">
        <v>2012</v>
      </c>
      <c r="D3712" s="0" t="n">
        <v>12</v>
      </c>
      <c r="E3712" s="38" t="n">
        <v>4.47</v>
      </c>
    </row>
    <row r="3713" customFormat="false" ht="15" hidden="false" customHeight="false" outlineLevel="0" collapsed="false">
      <c r="A3713" s="0" t="n">
        <v>44</v>
      </c>
      <c r="B3713" s="0" t="s">
        <v>64</v>
      </c>
      <c r="C3713" s="0" t="n">
        <v>2013</v>
      </c>
      <c r="D3713" s="0" t="n">
        <v>1</v>
      </c>
      <c r="E3713" s="38" t="n">
        <v>15.77</v>
      </c>
    </row>
    <row r="3714" customFormat="false" ht="15" hidden="false" customHeight="false" outlineLevel="0" collapsed="false">
      <c r="A3714" s="0" t="n">
        <v>44</v>
      </c>
      <c r="B3714" s="0" t="s">
        <v>64</v>
      </c>
      <c r="C3714" s="0" t="n">
        <v>2013</v>
      </c>
      <c r="D3714" s="0" t="n">
        <v>2</v>
      </c>
      <c r="E3714" s="38" t="n">
        <v>5.65</v>
      </c>
    </row>
    <row r="3715" customFormat="false" ht="15" hidden="false" customHeight="false" outlineLevel="0" collapsed="false">
      <c r="A3715" s="0" t="n">
        <v>44</v>
      </c>
      <c r="B3715" s="0" t="s">
        <v>64</v>
      </c>
      <c r="C3715" s="0" t="n">
        <v>2013</v>
      </c>
      <c r="D3715" s="0" t="n">
        <v>3</v>
      </c>
      <c r="E3715" s="38" t="n">
        <v>14.97</v>
      </c>
    </row>
    <row r="3716" customFormat="false" ht="15" hidden="false" customHeight="false" outlineLevel="0" collapsed="false">
      <c r="A3716" s="0" t="n">
        <v>44</v>
      </c>
      <c r="B3716" s="0" t="s">
        <v>64</v>
      </c>
      <c r="C3716" s="0" t="n">
        <v>2013</v>
      </c>
      <c r="D3716" s="0" t="n">
        <v>4</v>
      </c>
      <c r="E3716" s="38" t="n">
        <v>44.79</v>
      </c>
    </row>
    <row r="3717" customFormat="false" ht="15" hidden="false" customHeight="false" outlineLevel="0" collapsed="false">
      <c r="A3717" s="0" t="n">
        <v>44</v>
      </c>
      <c r="B3717" s="0" t="s">
        <v>64</v>
      </c>
      <c r="C3717" s="0" t="n">
        <v>2013</v>
      </c>
      <c r="D3717" s="0" t="n">
        <v>5</v>
      </c>
      <c r="E3717" s="38" t="n">
        <v>26.58</v>
      </c>
    </row>
    <row r="3718" customFormat="false" ht="15" hidden="false" customHeight="false" outlineLevel="0" collapsed="false">
      <c r="A3718" s="0" t="n">
        <v>44</v>
      </c>
      <c r="B3718" s="0" t="s">
        <v>64</v>
      </c>
      <c r="C3718" s="0" t="n">
        <v>2013</v>
      </c>
      <c r="D3718" s="0" t="n">
        <v>6</v>
      </c>
      <c r="E3718" s="38" t="n">
        <v>18.4</v>
      </c>
    </row>
    <row r="3719" customFormat="false" ht="15" hidden="false" customHeight="false" outlineLevel="0" collapsed="false">
      <c r="A3719" s="0" t="n">
        <v>44</v>
      </c>
      <c r="B3719" s="0" t="s">
        <v>64</v>
      </c>
      <c r="C3719" s="0" t="n">
        <v>2013</v>
      </c>
      <c r="D3719" s="0" t="n">
        <v>7</v>
      </c>
      <c r="E3719" s="38" t="n">
        <v>31.73</v>
      </c>
    </row>
    <row r="3720" customFormat="false" ht="15" hidden="false" customHeight="false" outlineLevel="0" collapsed="false">
      <c r="A3720" s="0" t="n">
        <v>44</v>
      </c>
      <c r="B3720" s="0" t="s">
        <v>64</v>
      </c>
      <c r="C3720" s="0" t="n">
        <v>2013</v>
      </c>
      <c r="D3720" s="0" t="n">
        <v>8</v>
      </c>
      <c r="E3720" s="38" t="n">
        <v>28.76</v>
      </c>
    </row>
    <row r="3721" customFormat="false" ht="15" hidden="false" customHeight="false" outlineLevel="0" collapsed="false">
      <c r="A3721" s="0" t="n">
        <v>45</v>
      </c>
      <c r="B3721" s="0" t="s">
        <v>60</v>
      </c>
      <c r="C3721" s="0" t="n">
        <v>2011</v>
      </c>
      <c r="D3721" s="0" t="n">
        <v>1</v>
      </c>
      <c r="E3721" s="38" t="n">
        <v>1094.09</v>
      </c>
    </row>
    <row r="3722" customFormat="false" ht="15" hidden="false" customHeight="false" outlineLevel="0" collapsed="false">
      <c r="A3722" s="0" t="n">
        <v>45</v>
      </c>
      <c r="B3722" s="0" t="s">
        <v>60</v>
      </c>
      <c r="C3722" s="0" t="n">
        <v>2011</v>
      </c>
      <c r="D3722" s="0" t="n">
        <v>2</v>
      </c>
      <c r="E3722" s="38" t="n">
        <v>1421.11</v>
      </c>
    </row>
    <row r="3723" customFormat="false" ht="15" hidden="false" customHeight="false" outlineLevel="0" collapsed="false">
      <c r="A3723" s="0" t="n">
        <v>45</v>
      </c>
      <c r="B3723" s="0" t="s">
        <v>60</v>
      </c>
      <c r="C3723" s="0" t="n">
        <v>2011</v>
      </c>
      <c r="D3723" s="0" t="n">
        <v>3</v>
      </c>
      <c r="E3723" s="38" t="n">
        <v>1018.61</v>
      </c>
    </row>
    <row r="3724" customFormat="false" ht="15" hidden="false" customHeight="false" outlineLevel="0" collapsed="false">
      <c r="A3724" s="0" t="n">
        <v>45</v>
      </c>
      <c r="B3724" s="0" t="s">
        <v>60</v>
      </c>
      <c r="C3724" s="0" t="n">
        <v>2011</v>
      </c>
      <c r="D3724" s="0" t="n">
        <v>4</v>
      </c>
      <c r="E3724" s="38" t="n">
        <v>661.11</v>
      </c>
    </row>
    <row r="3725" customFormat="false" ht="15" hidden="false" customHeight="false" outlineLevel="0" collapsed="false">
      <c r="A3725" s="0" t="n">
        <v>45</v>
      </c>
      <c r="B3725" s="0" t="s">
        <v>60</v>
      </c>
      <c r="C3725" s="0" t="n">
        <v>2011</v>
      </c>
      <c r="D3725" s="0" t="n">
        <v>5</v>
      </c>
      <c r="E3725" s="38" t="n">
        <v>692.4</v>
      </c>
    </row>
    <row r="3726" customFormat="false" ht="15" hidden="false" customHeight="false" outlineLevel="0" collapsed="false">
      <c r="A3726" s="0" t="n">
        <v>45</v>
      </c>
      <c r="B3726" s="0" t="s">
        <v>60</v>
      </c>
      <c r="C3726" s="0" t="n">
        <v>2011</v>
      </c>
      <c r="D3726" s="0" t="n">
        <v>6</v>
      </c>
      <c r="E3726" s="38" t="n">
        <v>1976.29</v>
      </c>
    </row>
    <row r="3727" customFormat="false" ht="15" hidden="false" customHeight="false" outlineLevel="0" collapsed="false">
      <c r="A3727" s="0" t="n">
        <v>45</v>
      </c>
      <c r="B3727" s="0" t="s">
        <v>60</v>
      </c>
      <c r="C3727" s="0" t="n">
        <v>2011</v>
      </c>
      <c r="D3727" s="0" t="n">
        <v>7</v>
      </c>
      <c r="E3727" s="38" t="n">
        <v>379.61</v>
      </c>
    </row>
    <row r="3728" customFormat="false" ht="15" hidden="false" customHeight="false" outlineLevel="0" collapsed="false">
      <c r="A3728" s="0" t="n">
        <v>45</v>
      </c>
      <c r="B3728" s="0" t="s">
        <v>60</v>
      </c>
      <c r="C3728" s="0" t="n">
        <v>2011</v>
      </c>
      <c r="D3728" s="0" t="n">
        <v>8</v>
      </c>
      <c r="E3728" s="38" t="n">
        <v>1032.15</v>
      </c>
    </row>
    <row r="3729" customFormat="false" ht="15" hidden="false" customHeight="false" outlineLevel="0" collapsed="false">
      <c r="A3729" s="0" t="n">
        <v>45</v>
      </c>
      <c r="B3729" s="0" t="s">
        <v>60</v>
      </c>
      <c r="C3729" s="0" t="n">
        <v>2011</v>
      </c>
      <c r="D3729" s="0" t="n">
        <v>9</v>
      </c>
      <c r="E3729" s="38" t="n">
        <v>990.82</v>
      </c>
    </row>
    <row r="3730" customFormat="false" ht="15" hidden="false" customHeight="false" outlineLevel="0" collapsed="false">
      <c r="A3730" s="0" t="n">
        <v>45</v>
      </c>
      <c r="B3730" s="0" t="s">
        <v>60</v>
      </c>
      <c r="C3730" s="0" t="n">
        <v>2011</v>
      </c>
      <c r="D3730" s="0" t="n">
        <v>10</v>
      </c>
      <c r="E3730" s="38" t="n">
        <v>873.46</v>
      </c>
    </row>
    <row r="3731" customFormat="false" ht="15" hidden="false" customHeight="false" outlineLevel="0" collapsed="false">
      <c r="A3731" s="0" t="n">
        <v>45</v>
      </c>
      <c r="B3731" s="0" t="s">
        <v>60</v>
      </c>
      <c r="C3731" s="0" t="n">
        <v>2011</v>
      </c>
      <c r="D3731" s="0" t="n">
        <v>11</v>
      </c>
      <c r="E3731" s="38" t="n">
        <v>820.73</v>
      </c>
    </row>
    <row r="3732" customFormat="false" ht="15" hidden="false" customHeight="false" outlineLevel="0" collapsed="false">
      <c r="A3732" s="0" t="n">
        <v>45</v>
      </c>
      <c r="B3732" s="0" t="s">
        <v>60</v>
      </c>
      <c r="C3732" s="0" t="n">
        <v>2011</v>
      </c>
      <c r="D3732" s="0" t="n">
        <v>12</v>
      </c>
      <c r="E3732" s="38" t="n">
        <v>1014.65</v>
      </c>
    </row>
    <row r="3733" customFormat="false" ht="15" hidden="false" customHeight="false" outlineLevel="0" collapsed="false">
      <c r="A3733" s="0" t="n">
        <v>45</v>
      </c>
      <c r="B3733" s="0" t="s">
        <v>60</v>
      </c>
      <c r="C3733" s="0" t="n">
        <v>2012</v>
      </c>
      <c r="D3733" s="0" t="n">
        <v>1</v>
      </c>
      <c r="E3733" s="38" t="n">
        <v>598.43</v>
      </c>
    </row>
    <row r="3734" customFormat="false" ht="15" hidden="false" customHeight="false" outlineLevel="0" collapsed="false">
      <c r="A3734" s="0" t="n">
        <v>45</v>
      </c>
      <c r="B3734" s="0" t="s">
        <v>60</v>
      </c>
      <c r="C3734" s="0" t="n">
        <v>2012</v>
      </c>
      <c r="D3734" s="0" t="n">
        <v>2</v>
      </c>
      <c r="E3734" s="38" t="n">
        <v>674.24</v>
      </c>
    </row>
    <row r="3735" customFormat="false" ht="15" hidden="false" customHeight="false" outlineLevel="0" collapsed="false">
      <c r="A3735" s="0" t="n">
        <v>45</v>
      </c>
      <c r="B3735" s="0" t="s">
        <v>60</v>
      </c>
      <c r="C3735" s="0" t="n">
        <v>2012</v>
      </c>
      <c r="D3735" s="0" t="n">
        <v>3</v>
      </c>
      <c r="E3735" s="38" t="n">
        <v>831.45</v>
      </c>
    </row>
    <row r="3736" customFormat="false" ht="15" hidden="false" customHeight="false" outlineLevel="0" collapsed="false">
      <c r="A3736" s="0" t="n">
        <v>45</v>
      </c>
      <c r="B3736" s="0" t="s">
        <v>60</v>
      </c>
      <c r="C3736" s="0" t="n">
        <v>2012</v>
      </c>
      <c r="D3736" s="0" t="n">
        <v>4</v>
      </c>
      <c r="E3736" s="38" t="n">
        <v>860.89</v>
      </c>
    </row>
    <row r="3737" customFormat="false" ht="15" hidden="false" customHeight="false" outlineLevel="0" collapsed="false">
      <c r="A3737" s="0" t="n">
        <v>45</v>
      </c>
      <c r="B3737" s="0" t="s">
        <v>60</v>
      </c>
      <c r="C3737" s="0" t="n">
        <v>2012</v>
      </c>
      <c r="D3737" s="0" t="n">
        <v>5</v>
      </c>
      <c r="E3737" s="38" t="n">
        <v>845.18</v>
      </c>
    </row>
    <row r="3738" customFormat="false" ht="15" hidden="false" customHeight="false" outlineLevel="0" collapsed="false">
      <c r="A3738" s="0" t="n">
        <v>45</v>
      </c>
      <c r="B3738" s="0" t="s">
        <v>60</v>
      </c>
      <c r="C3738" s="0" t="n">
        <v>2012</v>
      </c>
      <c r="D3738" s="0" t="n">
        <v>6</v>
      </c>
      <c r="E3738" s="38" t="n">
        <v>400.58</v>
      </c>
    </row>
    <row r="3739" customFormat="false" ht="15" hidden="false" customHeight="false" outlineLevel="0" collapsed="false">
      <c r="A3739" s="0" t="n">
        <v>45</v>
      </c>
      <c r="B3739" s="0" t="s">
        <v>60</v>
      </c>
      <c r="C3739" s="0" t="n">
        <v>2012</v>
      </c>
      <c r="D3739" s="0" t="n">
        <v>7</v>
      </c>
      <c r="E3739" s="38" t="n">
        <v>531.63</v>
      </c>
    </row>
    <row r="3740" customFormat="false" ht="15" hidden="false" customHeight="false" outlineLevel="0" collapsed="false">
      <c r="A3740" s="0" t="n">
        <v>45</v>
      </c>
      <c r="B3740" s="0" t="s">
        <v>60</v>
      </c>
      <c r="C3740" s="0" t="n">
        <v>2012</v>
      </c>
      <c r="D3740" s="0" t="n">
        <v>8</v>
      </c>
      <c r="E3740" s="38" t="n">
        <v>655.42</v>
      </c>
    </row>
    <row r="3741" customFormat="false" ht="15" hidden="false" customHeight="false" outlineLevel="0" collapsed="false">
      <c r="A3741" s="0" t="n">
        <v>45</v>
      </c>
      <c r="B3741" s="0" t="s">
        <v>60</v>
      </c>
      <c r="C3741" s="0" t="n">
        <v>2012</v>
      </c>
      <c r="D3741" s="0" t="n">
        <v>9</v>
      </c>
      <c r="E3741" s="38" t="n">
        <v>581.05</v>
      </c>
    </row>
    <row r="3742" customFormat="false" ht="15" hidden="false" customHeight="false" outlineLevel="0" collapsed="false">
      <c r="A3742" s="0" t="n">
        <v>45</v>
      </c>
      <c r="B3742" s="0" t="s">
        <v>60</v>
      </c>
      <c r="C3742" s="0" t="n">
        <v>2012</v>
      </c>
      <c r="D3742" s="0" t="n">
        <v>10</v>
      </c>
      <c r="E3742" s="38" t="n">
        <v>829.42</v>
      </c>
    </row>
    <row r="3743" customFormat="false" ht="15" hidden="false" customHeight="false" outlineLevel="0" collapsed="false">
      <c r="A3743" s="0" t="n">
        <v>45</v>
      </c>
      <c r="B3743" s="0" t="s">
        <v>60</v>
      </c>
      <c r="C3743" s="0" t="n">
        <v>2012</v>
      </c>
      <c r="D3743" s="0" t="n">
        <v>11</v>
      </c>
      <c r="E3743" s="38" t="n">
        <v>691.73</v>
      </c>
    </row>
    <row r="3744" customFormat="false" ht="15" hidden="false" customHeight="false" outlineLevel="0" collapsed="false">
      <c r="A3744" s="0" t="n">
        <v>45</v>
      </c>
      <c r="B3744" s="0" t="s">
        <v>60</v>
      </c>
      <c r="C3744" s="0" t="n">
        <v>2012</v>
      </c>
      <c r="D3744" s="0" t="n">
        <v>12</v>
      </c>
      <c r="E3744" s="38" t="n">
        <v>497.49</v>
      </c>
    </row>
    <row r="3745" customFormat="false" ht="15" hidden="false" customHeight="false" outlineLevel="0" collapsed="false">
      <c r="A3745" s="0" t="n">
        <v>45</v>
      </c>
      <c r="B3745" s="0" t="s">
        <v>60</v>
      </c>
      <c r="C3745" s="0" t="n">
        <v>2013</v>
      </c>
      <c r="D3745" s="0" t="n">
        <v>1</v>
      </c>
      <c r="E3745" s="38" t="n">
        <v>603.46</v>
      </c>
    </row>
    <row r="3746" customFormat="false" ht="15" hidden="false" customHeight="false" outlineLevel="0" collapsed="false">
      <c r="A3746" s="0" t="n">
        <v>45</v>
      </c>
      <c r="B3746" s="0" t="s">
        <v>60</v>
      </c>
      <c r="C3746" s="0" t="n">
        <v>2013</v>
      </c>
      <c r="D3746" s="0" t="n">
        <v>2</v>
      </c>
      <c r="E3746" s="38" t="n">
        <v>687.36</v>
      </c>
    </row>
    <row r="3747" customFormat="false" ht="15" hidden="false" customHeight="false" outlineLevel="0" collapsed="false">
      <c r="A3747" s="0" t="n">
        <v>45</v>
      </c>
      <c r="B3747" s="0" t="s">
        <v>60</v>
      </c>
      <c r="C3747" s="0" t="n">
        <v>2013</v>
      </c>
      <c r="D3747" s="0" t="n">
        <v>3</v>
      </c>
      <c r="E3747" s="38" t="n">
        <v>436.42</v>
      </c>
    </row>
    <row r="3748" customFormat="false" ht="15" hidden="false" customHeight="false" outlineLevel="0" collapsed="false">
      <c r="A3748" s="0" t="n">
        <v>45</v>
      </c>
      <c r="B3748" s="0" t="s">
        <v>60</v>
      </c>
      <c r="C3748" s="0" t="n">
        <v>2013</v>
      </c>
      <c r="D3748" s="0" t="n">
        <v>4</v>
      </c>
      <c r="E3748" s="38" t="n">
        <v>324.45</v>
      </c>
    </row>
    <row r="3749" customFormat="false" ht="15" hidden="false" customHeight="false" outlineLevel="0" collapsed="false">
      <c r="A3749" s="0" t="n">
        <v>45</v>
      </c>
      <c r="B3749" s="0" t="s">
        <v>60</v>
      </c>
      <c r="C3749" s="0" t="n">
        <v>2013</v>
      </c>
      <c r="D3749" s="0" t="n">
        <v>5</v>
      </c>
      <c r="E3749" s="38" t="n">
        <v>368.56</v>
      </c>
    </row>
    <row r="3750" customFormat="false" ht="15" hidden="false" customHeight="false" outlineLevel="0" collapsed="false">
      <c r="A3750" s="0" t="n">
        <v>45</v>
      </c>
      <c r="B3750" s="0" t="s">
        <v>60</v>
      </c>
      <c r="C3750" s="0" t="n">
        <v>2013</v>
      </c>
      <c r="D3750" s="0" t="n">
        <v>6</v>
      </c>
      <c r="E3750" s="38" t="n">
        <v>345.44</v>
      </c>
    </row>
    <row r="3751" customFormat="false" ht="15" hidden="false" customHeight="false" outlineLevel="0" collapsed="false">
      <c r="A3751" s="0" t="n">
        <v>45</v>
      </c>
      <c r="B3751" s="0" t="s">
        <v>60</v>
      </c>
      <c r="C3751" s="0" t="n">
        <v>2013</v>
      </c>
      <c r="D3751" s="0" t="n">
        <v>7</v>
      </c>
      <c r="E3751" s="38" t="n">
        <v>275.3</v>
      </c>
    </row>
    <row r="3752" customFormat="false" ht="15" hidden="false" customHeight="false" outlineLevel="0" collapsed="false">
      <c r="A3752" s="0" t="n">
        <v>45</v>
      </c>
      <c r="B3752" s="0" t="s">
        <v>60</v>
      </c>
      <c r="C3752" s="0" t="n">
        <v>2013</v>
      </c>
      <c r="D3752" s="0" t="n">
        <v>8</v>
      </c>
      <c r="E3752" s="38" t="n">
        <v>361.5</v>
      </c>
    </row>
    <row r="3753" customFormat="false" ht="15" hidden="false" customHeight="false" outlineLevel="0" collapsed="false">
      <c r="A3753" s="0" t="n">
        <v>45</v>
      </c>
      <c r="B3753" s="0" t="s">
        <v>62</v>
      </c>
      <c r="C3753" s="0" t="n">
        <v>2011</v>
      </c>
      <c r="D3753" s="0" t="n">
        <v>1</v>
      </c>
      <c r="E3753" s="38" t="n">
        <v>971.54</v>
      </c>
    </row>
    <row r="3754" customFormat="false" ht="15" hidden="false" customHeight="false" outlineLevel="0" collapsed="false">
      <c r="A3754" s="0" t="n">
        <v>45</v>
      </c>
      <c r="B3754" s="0" t="s">
        <v>62</v>
      </c>
      <c r="C3754" s="0" t="n">
        <v>2011</v>
      </c>
      <c r="D3754" s="0" t="n">
        <v>2</v>
      </c>
      <c r="E3754" s="38" t="n">
        <v>1111.27</v>
      </c>
    </row>
    <row r="3755" customFormat="false" ht="15" hidden="false" customHeight="false" outlineLevel="0" collapsed="false">
      <c r="A3755" s="0" t="n">
        <v>45</v>
      </c>
      <c r="B3755" s="0" t="s">
        <v>62</v>
      </c>
      <c r="C3755" s="0" t="n">
        <v>2011</v>
      </c>
      <c r="D3755" s="0" t="n">
        <v>3</v>
      </c>
      <c r="E3755" s="38" t="n">
        <v>535.82</v>
      </c>
    </row>
    <row r="3756" customFormat="false" ht="15" hidden="false" customHeight="false" outlineLevel="0" collapsed="false">
      <c r="A3756" s="0" t="n">
        <v>45</v>
      </c>
      <c r="B3756" s="0" t="s">
        <v>62</v>
      </c>
      <c r="C3756" s="0" t="n">
        <v>2011</v>
      </c>
      <c r="D3756" s="0" t="n">
        <v>4</v>
      </c>
      <c r="E3756" s="38" t="n">
        <v>1039.61</v>
      </c>
    </row>
    <row r="3757" customFormat="false" ht="15" hidden="false" customHeight="false" outlineLevel="0" collapsed="false">
      <c r="A3757" s="0" t="n">
        <v>45</v>
      </c>
      <c r="B3757" s="0" t="s">
        <v>62</v>
      </c>
      <c r="C3757" s="0" t="n">
        <v>2011</v>
      </c>
      <c r="D3757" s="0" t="n">
        <v>5</v>
      </c>
      <c r="E3757" s="38" t="n">
        <v>849.32</v>
      </c>
    </row>
    <row r="3758" customFormat="false" ht="15" hidden="false" customHeight="false" outlineLevel="0" collapsed="false">
      <c r="A3758" s="0" t="n">
        <v>45</v>
      </c>
      <c r="B3758" s="0" t="s">
        <v>62</v>
      </c>
      <c r="C3758" s="0" t="n">
        <v>2011</v>
      </c>
      <c r="D3758" s="0" t="n">
        <v>6</v>
      </c>
      <c r="E3758" s="38" t="n">
        <v>1879.01</v>
      </c>
    </row>
    <row r="3759" customFormat="false" ht="15" hidden="false" customHeight="false" outlineLevel="0" collapsed="false">
      <c r="A3759" s="0" t="n">
        <v>45</v>
      </c>
      <c r="B3759" s="0" t="s">
        <v>62</v>
      </c>
      <c r="C3759" s="0" t="n">
        <v>2011</v>
      </c>
      <c r="D3759" s="0" t="n">
        <v>7</v>
      </c>
      <c r="E3759" s="38" t="n">
        <v>716.81</v>
      </c>
    </row>
    <row r="3760" customFormat="false" ht="15" hidden="false" customHeight="false" outlineLevel="0" collapsed="false">
      <c r="A3760" s="0" t="n">
        <v>45</v>
      </c>
      <c r="B3760" s="0" t="s">
        <v>62</v>
      </c>
      <c r="C3760" s="0" t="n">
        <v>2011</v>
      </c>
      <c r="D3760" s="0" t="n">
        <v>8</v>
      </c>
      <c r="E3760" s="38" t="n">
        <v>646.11</v>
      </c>
    </row>
    <row r="3761" customFormat="false" ht="15" hidden="false" customHeight="false" outlineLevel="0" collapsed="false">
      <c r="A3761" s="0" t="n">
        <v>45</v>
      </c>
      <c r="B3761" s="0" t="s">
        <v>62</v>
      </c>
      <c r="C3761" s="0" t="n">
        <v>2011</v>
      </c>
      <c r="D3761" s="0" t="n">
        <v>9</v>
      </c>
      <c r="E3761" s="38" t="n">
        <v>705.2</v>
      </c>
    </row>
    <row r="3762" customFormat="false" ht="15" hidden="false" customHeight="false" outlineLevel="0" collapsed="false">
      <c r="A3762" s="0" t="n">
        <v>45</v>
      </c>
      <c r="B3762" s="0" t="s">
        <v>62</v>
      </c>
      <c r="C3762" s="0" t="n">
        <v>2011</v>
      </c>
      <c r="D3762" s="0" t="n">
        <v>10</v>
      </c>
      <c r="E3762" s="38" t="n">
        <v>565.15</v>
      </c>
    </row>
    <row r="3763" customFormat="false" ht="15" hidden="false" customHeight="false" outlineLevel="0" collapsed="false">
      <c r="A3763" s="0" t="n">
        <v>45</v>
      </c>
      <c r="B3763" s="0" t="s">
        <v>62</v>
      </c>
      <c r="C3763" s="0" t="n">
        <v>2011</v>
      </c>
      <c r="D3763" s="0" t="n">
        <v>11</v>
      </c>
      <c r="E3763" s="38" t="n">
        <v>700.22</v>
      </c>
    </row>
    <row r="3764" customFormat="false" ht="15" hidden="false" customHeight="false" outlineLevel="0" collapsed="false">
      <c r="A3764" s="0" t="n">
        <v>45</v>
      </c>
      <c r="B3764" s="0" t="s">
        <v>62</v>
      </c>
      <c r="C3764" s="0" t="n">
        <v>2011</v>
      </c>
      <c r="D3764" s="0" t="n">
        <v>12</v>
      </c>
      <c r="E3764" s="38" t="n">
        <v>543.9</v>
      </c>
    </row>
    <row r="3765" customFormat="false" ht="15" hidden="false" customHeight="false" outlineLevel="0" collapsed="false">
      <c r="A3765" s="0" t="n">
        <v>45</v>
      </c>
      <c r="B3765" s="0" t="s">
        <v>62</v>
      </c>
      <c r="C3765" s="0" t="n">
        <v>2012</v>
      </c>
      <c r="D3765" s="0" t="n">
        <v>1</v>
      </c>
      <c r="E3765" s="38" t="n">
        <v>423.29</v>
      </c>
    </row>
    <row r="3766" customFormat="false" ht="15" hidden="false" customHeight="false" outlineLevel="0" collapsed="false">
      <c r="A3766" s="0" t="n">
        <v>45</v>
      </c>
      <c r="B3766" s="0" t="s">
        <v>62</v>
      </c>
      <c r="C3766" s="0" t="n">
        <v>2012</v>
      </c>
      <c r="D3766" s="0" t="n">
        <v>2</v>
      </c>
      <c r="E3766" s="38" t="n">
        <v>733.64</v>
      </c>
    </row>
    <row r="3767" customFormat="false" ht="15" hidden="false" customHeight="false" outlineLevel="0" collapsed="false">
      <c r="A3767" s="0" t="n">
        <v>45</v>
      </c>
      <c r="B3767" s="0" t="s">
        <v>62</v>
      </c>
      <c r="C3767" s="0" t="n">
        <v>2012</v>
      </c>
      <c r="D3767" s="0" t="n">
        <v>3</v>
      </c>
      <c r="E3767" s="38" t="n">
        <v>767.93</v>
      </c>
    </row>
    <row r="3768" customFormat="false" ht="15" hidden="false" customHeight="false" outlineLevel="0" collapsed="false">
      <c r="A3768" s="0" t="n">
        <v>45</v>
      </c>
      <c r="B3768" s="0" t="s">
        <v>62</v>
      </c>
      <c r="C3768" s="0" t="n">
        <v>2012</v>
      </c>
      <c r="D3768" s="0" t="n">
        <v>4</v>
      </c>
      <c r="E3768" s="38" t="n">
        <v>624.83</v>
      </c>
    </row>
    <row r="3769" customFormat="false" ht="15" hidden="false" customHeight="false" outlineLevel="0" collapsed="false">
      <c r="A3769" s="0" t="n">
        <v>45</v>
      </c>
      <c r="B3769" s="0" t="s">
        <v>62</v>
      </c>
      <c r="C3769" s="0" t="n">
        <v>2012</v>
      </c>
      <c r="D3769" s="0" t="n">
        <v>5</v>
      </c>
      <c r="E3769" s="38" t="n">
        <v>477.82</v>
      </c>
    </row>
    <row r="3770" customFormat="false" ht="15" hidden="false" customHeight="false" outlineLevel="0" collapsed="false">
      <c r="A3770" s="0" t="n">
        <v>45</v>
      </c>
      <c r="B3770" s="0" t="s">
        <v>62</v>
      </c>
      <c r="C3770" s="0" t="n">
        <v>2012</v>
      </c>
      <c r="D3770" s="0" t="n">
        <v>6</v>
      </c>
      <c r="E3770" s="38" t="n">
        <v>660</v>
      </c>
    </row>
    <row r="3771" customFormat="false" ht="15" hidden="false" customHeight="false" outlineLevel="0" collapsed="false">
      <c r="A3771" s="0" t="n">
        <v>45</v>
      </c>
      <c r="B3771" s="0" t="s">
        <v>62</v>
      </c>
      <c r="C3771" s="0" t="n">
        <v>2012</v>
      </c>
      <c r="D3771" s="0" t="n">
        <v>7</v>
      </c>
      <c r="E3771" s="38" t="n">
        <v>493.49</v>
      </c>
    </row>
    <row r="3772" customFormat="false" ht="15" hidden="false" customHeight="false" outlineLevel="0" collapsed="false">
      <c r="A3772" s="0" t="n">
        <v>45</v>
      </c>
      <c r="B3772" s="0" t="s">
        <v>62</v>
      </c>
      <c r="C3772" s="0" t="n">
        <v>2012</v>
      </c>
      <c r="D3772" s="0" t="n">
        <v>8</v>
      </c>
      <c r="E3772" s="38" t="n">
        <v>529.65</v>
      </c>
    </row>
    <row r="3773" customFormat="false" ht="15" hidden="false" customHeight="false" outlineLevel="0" collapsed="false">
      <c r="A3773" s="0" t="n">
        <v>45</v>
      </c>
      <c r="B3773" s="0" t="s">
        <v>62</v>
      </c>
      <c r="C3773" s="0" t="n">
        <v>2012</v>
      </c>
      <c r="D3773" s="0" t="n">
        <v>9</v>
      </c>
      <c r="E3773" s="38" t="n">
        <v>835.27</v>
      </c>
    </row>
    <row r="3774" customFormat="false" ht="15" hidden="false" customHeight="false" outlineLevel="0" collapsed="false">
      <c r="A3774" s="0" t="n">
        <v>45</v>
      </c>
      <c r="B3774" s="0" t="s">
        <v>62</v>
      </c>
      <c r="C3774" s="0" t="n">
        <v>2012</v>
      </c>
      <c r="D3774" s="0" t="n">
        <v>10</v>
      </c>
      <c r="E3774" s="38" t="n">
        <v>780.38</v>
      </c>
    </row>
    <row r="3775" customFormat="false" ht="15" hidden="false" customHeight="false" outlineLevel="0" collapsed="false">
      <c r="A3775" s="0" t="n">
        <v>45</v>
      </c>
      <c r="B3775" s="0" t="s">
        <v>62</v>
      </c>
      <c r="C3775" s="0" t="n">
        <v>2012</v>
      </c>
      <c r="D3775" s="0" t="n">
        <v>11</v>
      </c>
      <c r="E3775" s="38" t="n">
        <v>434.52</v>
      </c>
    </row>
    <row r="3776" customFormat="false" ht="15" hidden="false" customHeight="false" outlineLevel="0" collapsed="false">
      <c r="A3776" s="0" t="n">
        <v>45</v>
      </c>
      <c r="B3776" s="0" t="s">
        <v>62</v>
      </c>
      <c r="C3776" s="0" t="n">
        <v>2012</v>
      </c>
      <c r="D3776" s="0" t="n">
        <v>12</v>
      </c>
      <c r="E3776" s="38" t="n">
        <v>497.47</v>
      </c>
    </row>
    <row r="3777" customFormat="false" ht="15" hidden="false" customHeight="false" outlineLevel="0" collapsed="false">
      <c r="A3777" s="0" t="n">
        <v>45</v>
      </c>
      <c r="B3777" s="0" t="s">
        <v>62</v>
      </c>
      <c r="C3777" s="0" t="n">
        <v>2013</v>
      </c>
      <c r="D3777" s="0" t="n">
        <v>1</v>
      </c>
      <c r="E3777" s="38" t="n">
        <v>473.78</v>
      </c>
    </row>
    <row r="3778" customFormat="false" ht="15" hidden="false" customHeight="false" outlineLevel="0" collapsed="false">
      <c r="A3778" s="0" t="n">
        <v>45</v>
      </c>
      <c r="B3778" s="0" t="s">
        <v>62</v>
      </c>
      <c r="C3778" s="0" t="n">
        <v>2013</v>
      </c>
      <c r="D3778" s="0" t="n">
        <v>2</v>
      </c>
      <c r="E3778" s="38" t="n">
        <v>580.14</v>
      </c>
    </row>
    <row r="3779" customFormat="false" ht="15" hidden="false" customHeight="false" outlineLevel="0" collapsed="false">
      <c r="A3779" s="0" t="n">
        <v>45</v>
      </c>
      <c r="B3779" s="0" t="s">
        <v>62</v>
      </c>
      <c r="C3779" s="0" t="n">
        <v>2013</v>
      </c>
      <c r="D3779" s="0" t="n">
        <v>3</v>
      </c>
      <c r="E3779" s="38" t="n">
        <v>619.67</v>
      </c>
    </row>
    <row r="3780" customFormat="false" ht="15" hidden="false" customHeight="false" outlineLevel="0" collapsed="false">
      <c r="A3780" s="0" t="n">
        <v>45</v>
      </c>
      <c r="B3780" s="0" t="s">
        <v>62</v>
      </c>
      <c r="C3780" s="0" t="n">
        <v>2013</v>
      </c>
      <c r="D3780" s="0" t="n">
        <v>4</v>
      </c>
      <c r="E3780" s="38" t="n">
        <v>428.76</v>
      </c>
    </row>
    <row r="3781" customFormat="false" ht="15" hidden="false" customHeight="false" outlineLevel="0" collapsed="false">
      <c r="A3781" s="0" t="n">
        <v>45</v>
      </c>
      <c r="B3781" s="0" t="s">
        <v>62</v>
      </c>
      <c r="C3781" s="0" t="n">
        <v>2013</v>
      </c>
      <c r="D3781" s="0" t="n">
        <v>5</v>
      </c>
      <c r="E3781" s="38" t="n">
        <v>752.83</v>
      </c>
    </row>
    <row r="3782" customFormat="false" ht="15" hidden="false" customHeight="false" outlineLevel="0" collapsed="false">
      <c r="A3782" s="0" t="n">
        <v>45</v>
      </c>
      <c r="B3782" s="0" t="s">
        <v>62</v>
      </c>
      <c r="C3782" s="0" t="n">
        <v>2013</v>
      </c>
      <c r="D3782" s="0" t="n">
        <v>6</v>
      </c>
      <c r="E3782" s="38" t="n">
        <v>54.5</v>
      </c>
    </row>
    <row r="3783" customFormat="false" ht="15" hidden="false" customHeight="false" outlineLevel="0" collapsed="false">
      <c r="A3783" s="0" t="n">
        <v>45</v>
      </c>
      <c r="B3783" s="0" t="s">
        <v>62</v>
      </c>
      <c r="C3783" s="0" t="n">
        <v>2013</v>
      </c>
      <c r="D3783" s="0" t="n">
        <v>7</v>
      </c>
      <c r="E3783" s="38" t="n">
        <v>199.4</v>
      </c>
    </row>
    <row r="3784" customFormat="false" ht="15" hidden="false" customHeight="false" outlineLevel="0" collapsed="false">
      <c r="A3784" s="0" t="n">
        <v>45</v>
      </c>
      <c r="B3784" s="0" t="s">
        <v>62</v>
      </c>
      <c r="C3784" s="0" t="n">
        <v>2013</v>
      </c>
      <c r="D3784" s="0" t="n">
        <v>8</v>
      </c>
      <c r="E3784" s="38" t="n">
        <v>262.17</v>
      </c>
    </row>
    <row r="3785" customFormat="false" ht="15" hidden="false" customHeight="false" outlineLevel="0" collapsed="false">
      <c r="A3785" s="0" t="n">
        <v>46</v>
      </c>
      <c r="B3785" s="0" t="s">
        <v>60</v>
      </c>
      <c r="C3785" s="0" t="n">
        <v>2011</v>
      </c>
      <c r="D3785" s="0" t="n">
        <v>1</v>
      </c>
      <c r="E3785" s="38" t="n">
        <v>1912293.05</v>
      </c>
    </row>
    <row r="3786" customFormat="false" ht="15" hidden="false" customHeight="false" outlineLevel="0" collapsed="false">
      <c r="A3786" s="0" t="n">
        <v>46</v>
      </c>
      <c r="B3786" s="0" t="s">
        <v>60</v>
      </c>
      <c r="C3786" s="0" t="n">
        <v>2011</v>
      </c>
      <c r="D3786" s="0" t="n">
        <v>2</v>
      </c>
      <c r="E3786" s="38" t="n">
        <v>2147726.59</v>
      </c>
    </row>
    <row r="3787" customFormat="false" ht="15" hidden="false" customHeight="false" outlineLevel="0" collapsed="false">
      <c r="A3787" s="0" t="n">
        <v>46</v>
      </c>
      <c r="B3787" s="0" t="s">
        <v>60</v>
      </c>
      <c r="C3787" s="0" t="n">
        <v>2011</v>
      </c>
      <c r="D3787" s="0" t="n">
        <v>3</v>
      </c>
      <c r="E3787" s="38" t="n">
        <v>2119849.95</v>
      </c>
    </row>
    <row r="3788" customFormat="false" ht="15" hidden="false" customHeight="false" outlineLevel="0" collapsed="false">
      <c r="A3788" s="0" t="n">
        <v>46</v>
      </c>
      <c r="B3788" s="0" t="s">
        <v>60</v>
      </c>
      <c r="C3788" s="0" t="n">
        <v>2011</v>
      </c>
      <c r="D3788" s="0" t="n">
        <v>4</v>
      </c>
      <c r="E3788" s="38" t="n">
        <v>2364355.59</v>
      </c>
    </row>
    <row r="3789" customFormat="false" ht="15" hidden="false" customHeight="false" outlineLevel="0" collapsed="false">
      <c r="A3789" s="0" t="n">
        <v>46</v>
      </c>
      <c r="B3789" s="0" t="s">
        <v>60</v>
      </c>
      <c r="C3789" s="0" t="n">
        <v>2011</v>
      </c>
      <c r="D3789" s="0" t="n">
        <v>5</v>
      </c>
      <c r="E3789" s="38" t="n">
        <v>2375763.85</v>
      </c>
    </row>
    <row r="3790" customFormat="false" ht="15" hidden="false" customHeight="false" outlineLevel="0" collapsed="false">
      <c r="A3790" s="0" t="n">
        <v>46</v>
      </c>
      <c r="B3790" s="0" t="s">
        <v>60</v>
      </c>
      <c r="C3790" s="0" t="n">
        <v>2011</v>
      </c>
      <c r="D3790" s="0" t="n">
        <v>6</v>
      </c>
      <c r="E3790" s="38" t="n">
        <v>2268994.26</v>
      </c>
    </row>
    <row r="3791" customFormat="false" ht="15" hidden="false" customHeight="false" outlineLevel="0" collapsed="false">
      <c r="A3791" s="0" t="n">
        <v>46</v>
      </c>
      <c r="B3791" s="0" t="s">
        <v>60</v>
      </c>
      <c r="C3791" s="0" t="n">
        <v>2011</v>
      </c>
      <c r="D3791" s="0" t="n">
        <v>7</v>
      </c>
      <c r="E3791" s="38" t="n">
        <v>2130793.07</v>
      </c>
    </row>
    <row r="3792" customFormat="false" ht="15" hidden="false" customHeight="false" outlineLevel="0" collapsed="false">
      <c r="A3792" s="0" t="n">
        <v>46</v>
      </c>
      <c r="B3792" s="0" t="s">
        <v>60</v>
      </c>
      <c r="C3792" s="0" t="n">
        <v>2011</v>
      </c>
      <c r="D3792" s="0" t="n">
        <v>8</v>
      </c>
      <c r="E3792" s="38" t="n">
        <v>1891958.72</v>
      </c>
    </row>
    <row r="3793" customFormat="false" ht="15" hidden="false" customHeight="false" outlineLevel="0" collapsed="false">
      <c r="A3793" s="0" t="n">
        <v>46</v>
      </c>
      <c r="B3793" s="0" t="s">
        <v>60</v>
      </c>
      <c r="C3793" s="0" t="n">
        <v>2011</v>
      </c>
      <c r="D3793" s="0" t="n">
        <v>9</v>
      </c>
      <c r="E3793" s="38" t="n">
        <v>1961625.15</v>
      </c>
    </row>
    <row r="3794" customFormat="false" ht="15" hidden="false" customHeight="false" outlineLevel="0" collapsed="false">
      <c r="A3794" s="0" t="n">
        <v>46</v>
      </c>
      <c r="B3794" s="0" t="s">
        <v>60</v>
      </c>
      <c r="C3794" s="0" t="n">
        <v>2011</v>
      </c>
      <c r="D3794" s="0" t="n">
        <v>10</v>
      </c>
      <c r="E3794" s="38" t="n">
        <v>2048844.86</v>
      </c>
    </row>
    <row r="3795" customFormat="false" ht="15" hidden="false" customHeight="false" outlineLevel="0" collapsed="false">
      <c r="A3795" s="0" t="n">
        <v>46</v>
      </c>
      <c r="B3795" s="0" t="s">
        <v>60</v>
      </c>
      <c r="C3795" s="0" t="n">
        <v>2011</v>
      </c>
      <c r="D3795" s="0" t="n">
        <v>11</v>
      </c>
      <c r="E3795" s="38" t="n">
        <v>3094857.93</v>
      </c>
    </row>
    <row r="3796" customFormat="false" ht="15" hidden="false" customHeight="false" outlineLevel="0" collapsed="false">
      <c r="A3796" s="0" t="n">
        <v>46</v>
      </c>
      <c r="B3796" s="0" t="s">
        <v>60</v>
      </c>
      <c r="C3796" s="0" t="n">
        <v>2011</v>
      </c>
      <c r="D3796" s="0" t="n">
        <v>12</v>
      </c>
      <c r="E3796" s="38" t="n">
        <v>1923094.81</v>
      </c>
    </row>
    <row r="3797" customFormat="false" ht="15" hidden="false" customHeight="false" outlineLevel="0" collapsed="false">
      <c r="A3797" s="0" t="n">
        <v>46</v>
      </c>
      <c r="B3797" s="0" t="s">
        <v>60</v>
      </c>
      <c r="C3797" s="0" t="n">
        <v>2012</v>
      </c>
      <c r="D3797" s="0" t="n">
        <v>1</v>
      </c>
      <c r="E3797" s="38" t="n">
        <v>2015095.73</v>
      </c>
    </row>
    <row r="3798" customFormat="false" ht="15" hidden="false" customHeight="false" outlineLevel="0" collapsed="false">
      <c r="A3798" s="0" t="n">
        <v>46</v>
      </c>
      <c r="B3798" s="0" t="s">
        <v>60</v>
      </c>
      <c r="C3798" s="0" t="n">
        <v>2012</v>
      </c>
      <c r="D3798" s="0" t="n">
        <v>2</v>
      </c>
      <c r="E3798" s="38" t="n">
        <v>2238534.08</v>
      </c>
    </row>
    <row r="3799" customFormat="false" ht="15" hidden="false" customHeight="false" outlineLevel="0" collapsed="false">
      <c r="A3799" s="0" t="n">
        <v>46</v>
      </c>
      <c r="B3799" s="0" t="s">
        <v>60</v>
      </c>
      <c r="C3799" s="0" t="n">
        <v>2012</v>
      </c>
      <c r="D3799" s="0" t="n">
        <v>3</v>
      </c>
      <c r="E3799" s="38" t="n">
        <v>2200700.87</v>
      </c>
    </row>
    <row r="3800" customFormat="false" ht="15" hidden="false" customHeight="false" outlineLevel="0" collapsed="false">
      <c r="A3800" s="0" t="n">
        <v>46</v>
      </c>
      <c r="B3800" s="0" t="s">
        <v>60</v>
      </c>
      <c r="C3800" s="0" t="n">
        <v>2012</v>
      </c>
      <c r="D3800" s="0" t="n">
        <v>4</v>
      </c>
      <c r="E3800" s="38" t="n">
        <v>2463245.11</v>
      </c>
    </row>
    <row r="3801" customFormat="false" ht="15" hidden="false" customHeight="false" outlineLevel="0" collapsed="false">
      <c r="A3801" s="0" t="n">
        <v>46</v>
      </c>
      <c r="B3801" s="0" t="s">
        <v>60</v>
      </c>
      <c r="C3801" s="0" t="n">
        <v>2012</v>
      </c>
      <c r="D3801" s="0" t="n">
        <v>5</v>
      </c>
      <c r="E3801" s="38" t="n">
        <v>2519786.83</v>
      </c>
    </row>
    <row r="3802" customFormat="false" ht="15" hidden="false" customHeight="false" outlineLevel="0" collapsed="false">
      <c r="A3802" s="0" t="n">
        <v>46</v>
      </c>
      <c r="B3802" s="0" t="s">
        <v>60</v>
      </c>
      <c r="C3802" s="0" t="n">
        <v>2012</v>
      </c>
      <c r="D3802" s="0" t="n">
        <v>6</v>
      </c>
      <c r="E3802" s="38" t="n">
        <v>2387857.96</v>
      </c>
    </row>
    <row r="3803" customFormat="false" ht="15" hidden="false" customHeight="false" outlineLevel="0" collapsed="false">
      <c r="A3803" s="0" t="n">
        <v>46</v>
      </c>
      <c r="B3803" s="0" t="s">
        <v>60</v>
      </c>
      <c r="C3803" s="0" t="n">
        <v>2012</v>
      </c>
      <c r="D3803" s="0" t="n">
        <v>7</v>
      </c>
      <c r="E3803" s="38" t="n">
        <v>2254209.87</v>
      </c>
    </row>
    <row r="3804" customFormat="false" ht="15" hidden="false" customHeight="false" outlineLevel="0" collapsed="false">
      <c r="A3804" s="0" t="n">
        <v>46</v>
      </c>
      <c r="B3804" s="0" t="s">
        <v>60</v>
      </c>
      <c r="C3804" s="0" t="n">
        <v>2012</v>
      </c>
      <c r="D3804" s="0" t="n">
        <v>8</v>
      </c>
      <c r="E3804" s="38" t="n">
        <v>1946496.95</v>
      </c>
    </row>
    <row r="3805" customFormat="false" ht="15" hidden="false" customHeight="false" outlineLevel="0" collapsed="false">
      <c r="A3805" s="0" t="n">
        <v>46</v>
      </c>
      <c r="B3805" s="0" t="s">
        <v>60</v>
      </c>
      <c r="C3805" s="0" t="n">
        <v>2012</v>
      </c>
      <c r="D3805" s="0" t="n">
        <v>9</v>
      </c>
      <c r="E3805" s="38" t="n">
        <v>2068623.67</v>
      </c>
    </row>
    <row r="3806" customFormat="false" ht="15" hidden="false" customHeight="false" outlineLevel="0" collapsed="false">
      <c r="A3806" s="0" t="n">
        <v>46</v>
      </c>
      <c r="B3806" s="0" t="s">
        <v>60</v>
      </c>
      <c r="C3806" s="0" t="n">
        <v>2012</v>
      </c>
      <c r="D3806" s="0" t="n">
        <v>10</v>
      </c>
      <c r="E3806" s="38" t="n">
        <v>2126919.81</v>
      </c>
    </row>
    <row r="3807" customFormat="false" ht="15" hidden="false" customHeight="false" outlineLevel="0" collapsed="false">
      <c r="A3807" s="0" t="n">
        <v>46</v>
      </c>
      <c r="B3807" s="0" t="s">
        <v>60</v>
      </c>
      <c r="C3807" s="0" t="n">
        <v>2012</v>
      </c>
      <c r="D3807" s="0" t="n">
        <v>11</v>
      </c>
      <c r="E3807" s="38" t="n">
        <v>3237503.74</v>
      </c>
    </row>
    <row r="3808" customFormat="false" ht="15" hidden="false" customHeight="false" outlineLevel="0" collapsed="false">
      <c r="A3808" s="0" t="n">
        <v>46</v>
      </c>
      <c r="B3808" s="0" t="s">
        <v>60</v>
      </c>
      <c r="C3808" s="0" t="n">
        <v>2012</v>
      </c>
      <c r="D3808" s="0" t="n">
        <v>12</v>
      </c>
      <c r="E3808" s="38" t="n">
        <v>2011939.44</v>
      </c>
    </row>
    <row r="3809" customFormat="false" ht="15" hidden="false" customHeight="false" outlineLevel="0" collapsed="false">
      <c r="A3809" s="0" t="n">
        <v>46</v>
      </c>
      <c r="B3809" s="0" t="s">
        <v>60</v>
      </c>
      <c r="C3809" s="0" t="n">
        <v>2013</v>
      </c>
      <c r="D3809" s="0" t="n">
        <v>1</v>
      </c>
      <c r="E3809" s="38" t="n">
        <v>2162317.08</v>
      </c>
    </row>
    <row r="3810" customFormat="false" ht="15" hidden="false" customHeight="false" outlineLevel="0" collapsed="false">
      <c r="A3810" s="0" t="n">
        <v>46</v>
      </c>
      <c r="B3810" s="0" t="s">
        <v>60</v>
      </c>
      <c r="C3810" s="0" t="n">
        <v>2013</v>
      </c>
      <c r="D3810" s="0" t="n">
        <v>2</v>
      </c>
      <c r="E3810" s="38" t="n">
        <v>2320380.11</v>
      </c>
    </row>
    <row r="3811" customFormat="false" ht="15" hidden="false" customHeight="false" outlineLevel="0" collapsed="false">
      <c r="A3811" s="0" t="n">
        <v>46</v>
      </c>
      <c r="B3811" s="0" t="s">
        <v>60</v>
      </c>
      <c r="C3811" s="0" t="n">
        <v>2013</v>
      </c>
      <c r="D3811" s="0" t="n">
        <v>3</v>
      </c>
      <c r="E3811" s="38" t="n">
        <v>2335732.73</v>
      </c>
    </row>
    <row r="3812" customFormat="false" ht="15" hidden="false" customHeight="false" outlineLevel="0" collapsed="false">
      <c r="A3812" s="0" t="n">
        <v>46</v>
      </c>
      <c r="B3812" s="0" t="s">
        <v>60</v>
      </c>
      <c r="C3812" s="0" t="n">
        <v>2013</v>
      </c>
      <c r="D3812" s="0" t="n">
        <v>4</v>
      </c>
      <c r="E3812" s="38" t="n">
        <v>2577384.73</v>
      </c>
    </row>
    <row r="3813" customFormat="false" ht="15" hidden="false" customHeight="false" outlineLevel="0" collapsed="false">
      <c r="A3813" s="0" t="n">
        <v>46</v>
      </c>
      <c r="B3813" s="0" t="s">
        <v>60</v>
      </c>
      <c r="C3813" s="0" t="n">
        <v>2013</v>
      </c>
      <c r="D3813" s="0" t="n">
        <v>5</v>
      </c>
      <c r="E3813" s="38" t="n">
        <v>2573477.31</v>
      </c>
    </row>
    <row r="3814" customFormat="false" ht="15" hidden="false" customHeight="false" outlineLevel="0" collapsed="false">
      <c r="A3814" s="0" t="n">
        <v>46</v>
      </c>
      <c r="B3814" s="0" t="s">
        <v>60</v>
      </c>
      <c r="C3814" s="0" t="n">
        <v>2013</v>
      </c>
      <c r="D3814" s="0" t="n">
        <v>6</v>
      </c>
      <c r="E3814" s="38" t="n">
        <v>2449294.3</v>
      </c>
    </row>
    <row r="3815" customFormat="false" ht="15" hidden="false" customHeight="false" outlineLevel="0" collapsed="false">
      <c r="A3815" s="0" t="n">
        <v>46</v>
      </c>
      <c r="B3815" s="0" t="s">
        <v>60</v>
      </c>
      <c r="C3815" s="0" t="n">
        <v>2013</v>
      </c>
      <c r="D3815" s="0" t="n">
        <v>7</v>
      </c>
      <c r="E3815" s="38" t="n">
        <v>2303049.28</v>
      </c>
    </row>
    <row r="3816" customFormat="false" ht="15" hidden="false" customHeight="false" outlineLevel="0" collapsed="false">
      <c r="A3816" s="0" t="n">
        <v>46</v>
      </c>
      <c r="B3816" s="0" t="s">
        <v>60</v>
      </c>
      <c r="C3816" s="0" t="n">
        <v>2013</v>
      </c>
      <c r="D3816" s="0" t="n">
        <v>8</v>
      </c>
      <c r="E3816" s="38" t="n">
        <v>2000307.45</v>
      </c>
    </row>
    <row r="3817" customFormat="false" ht="15" hidden="false" customHeight="false" outlineLevel="0" collapsed="false">
      <c r="A3817" s="0" t="n">
        <v>46</v>
      </c>
      <c r="B3817" s="0" t="s">
        <v>62</v>
      </c>
      <c r="C3817" s="0" t="n">
        <v>2011</v>
      </c>
      <c r="D3817" s="0" t="n">
        <v>1</v>
      </c>
      <c r="E3817" s="38" t="n">
        <v>1273818.18</v>
      </c>
    </row>
    <row r="3818" customFormat="false" ht="15" hidden="false" customHeight="false" outlineLevel="0" collapsed="false">
      <c r="A3818" s="0" t="n">
        <v>46</v>
      </c>
      <c r="B3818" s="0" t="s">
        <v>62</v>
      </c>
      <c r="C3818" s="0" t="n">
        <v>2011</v>
      </c>
      <c r="D3818" s="0" t="n">
        <v>2</v>
      </c>
      <c r="E3818" s="38" t="n">
        <v>1448978.55</v>
      </c>
    </row>
    <row r="3819" customFormat="false" ht="15" hidden="false" customHeight="false" outlineLevel="0" collapsed="false">
      <c r="A3819" s="0" t="n">
        <v>46</v>
      </c>
      <c r="B3819" s="0" t="s">
        <v>62</v>
      </c>
      <c r="C3819" s="0" t="n">
        <v>2011</v>
      </c>
      <c r="D3819" s="0" t="n">
        <v>3</v>
      </c>
      <c r="E3819" s="38" t="n">
        <v>1420885.79</v>
      </c>
    </row>
    <row r="3820" customFormat="false" ht="15" hidden="false" customHeight="false" outlineLevel="0" collapsed="false">
      <c r="A3820" s="0" t="n">
        <v>46</v>
      </c>
      <c r="B3820" s="0" t="s">
        <v>62</v>
      </c>
      <c r="C3820" s="0" t="n">
        <v>2011</v>
      </c>
      <c r="D3820" s="0" t="n">
        <v>4</v>
      </c>
      <c r="E3820" s="38" t="n">
        <v>1540040.73</v>
      </c>
    </row>
    <row r="3821" customFormat="false" ht="15" hidden="false" customHeight="false" outlineLevel="0" collapsed="false">
      <c r="A3821" s="0" t="n">
        <v>46</v>
      </c>
      <c r="B3821" s="0" t="s">
        <v>62</v>
      </c>
      <c r="C3821" s="0" t="n">
        <v>2011</v>
      </c>
      <c r="D3821" s="0" t="n">
        <v>5</v>
      </c>
      <c r="E3821" s="38" t="n">
        <v>1567982.28</v>
      </c>
    </row>
    <row r="3822" customFormat="false" ht="15" hidden="false" customHeight="false" outlineLevel="0" collapsed="false">
      <c r="A3822" s="0" t="n">
        <v>46</v>
      </c>
      <c r="B3822" s="0" t="s">
        <v>62</v>
      </c>
      <c r="C3822" s="0" t="n">
        <v>2011</v>
      </c>
      <c r="D3822" s="0" t="n">
        <v>6</v>
      </c>
      <c r="E3822" s="38" t="n">
        <v>1534042.76</v>
      </c>
    </row>
    <row r="3823" customFormat="false" ht="15" hidden="false" customHeight="false" outlineLevel="0" collapsed="false">
      <c r="A3823" s="0" t="n">
        <v>46</v>
      </c>
      <c r="B3823" s="0" t="s">
        <v>62</v>
      </c>
      <c r="C3823" s="0" t="n">
        <v>2011</v>
      </c>
      <c r="D3823" s="0" t="n">
        <v>7</v>
      </c>
      <c r="E3823" s="38" t="n">
        <v>1400000.7</v>
      </c>
    </row>
    <row r="3824" customFormat="false" ht="15" hidden="false" customHeight="false" outlineLevel="0" collapsed="false">
      <c r="A3824" s="0" t="n">
        <v>46</v>
      </c>
      <c r="B3824" s="0" t="s">
        <v>62</v>
      </c>
      <c r="C3824" s="0" t="n">
        <v>2011</v>
      </c>
      <c r="D3824" s="0" t="n">
        <v>8</v>
      </c>
      <c r="E3824" s="38" t="n">
        <v>1231038.33</v>
      </c>
    </row>
    <row r="3825" customFormat="false" ht="15" hidden="false" customHeight="false" outlineLevel="0" collapsed="false">
      <c r="A3825" s="0" t="n">
        <v>46</v>
      </c>
      <c r="B3825" s="0" t="s">
        <v>62</v>
      </c>
      <c r="C3825" s="0" t="n">
        <v>2011</v>
      </c>
      <c r="D3825" s="0" t="n">
        <v>9</v>
      </c>
      <c r="E3825" s="38" t="n">
        <v>1270869.56</v>
      </c>
    </row>
    <row r="3826" customFormat="false" ht="15" hidden="false" customHeight="false" outlineLevel="0" collapsed="false">
      <c r="A3826" s="0" t="n">
        <v>46</v>
      </c>
      <c r="B3826" s="0" t="s">
        <v>62</v>
      </c>
      <c r="C3826" s="0" t="n">
        <v>2011</v>
      </c>
      <c r="D3826" s="0" t="n">
        <v>10</v>
      </c>
      <c r="E3826" s="38" t="n">
        <v>1338707.77</v>
      </c>
    </row>
    <row r="3827" customFormat="false" ht="15" hidden="false" customHeight="false" outlineLevel="0" collapsed="false">
      <c r="A3827" s="0" t="n">
        <v>46</v>
      </c>
      <c r="B3827" s="0" t="s">
        <v>62</v>
      </c>
      <c r="C3827" s="0" t="n">
        <v>2011</v>
      </c>
      <c r="D3827" s="0" t="n">
        <v>11</v>
      </c>
      <c r="E3827" s="38" t="n">
        <v>2082435.96</v>
      </c>
    </row>
    <row r="3828" customFormat="false" ht="15" hidden="false" customHeight="false" outlineLevel="0" collapsed="false">
      <c r="A3828" s="0" t="n">
        <v>46</v>
      </c>
      <c r="B3828" s="0" t="s">
        <v>62</v>
      </c>
      <c r="C3828" s="0" t="n">
        <v>2011</v>
      </c>
      <c r="D3828" s="0" t="n">
        <v>12</v>
      </c>
      <c r="E3828" s="38" t="n">
        <v>1255306.65</v>
      </c>
    </row>
    <row r="3829" customFormat="false" ht="15" hidden="false" customHeight="false" outlineLevel="0" collapsed="false">
      <c r="A3829" s="0" t="n">
        <v>46</v>
      </c>
      <c r="B3829" s="0" t="s">
        <v>62</v>
      </c>
      <c r="C3829" s="0" t="n">
        <v>2012</v>
      </c>
      <c r="D3829" s="0" t="n">
        <v>1</v>
      </c>
      <c r="E3829" s="38" t="n">
        <v>1327249.35</v>
      </c>
    </row>
    <row r="3830" customFormat="false" ht="15" hidden="false" customHeight="false" outlineLevel="0" collapsed="false">
      <c r="A3830" s="0" t="n">
        <v>46</v>
      </c>
      <c r="B3830" s="0" t="s">
        <v>62</v>
      </c>
      <c r="C3830" s="0" t="n">
        <v>2012</v>
      </c>
      <c r="D3830" s="0" t="n">
        <v>2</v>
      </c>
      <c r="E3830" s="38" t="n">
        <v>1466082.21</v>
      </c>
    </row>
    <row r="3831" customFormat="false" ht="15" hidden="false" customHeight="false" outlineLevel="0" collapsed="false">
      <c r="A3831" s="0" t="n">
        <v>46</v>
      </c>
      <c r="B3831" s="0" t="s">
        <v>62</v>
      </c>
      <c r="C3831" s="0" t="n">
        <v>2012</v>
      </c>
      <c r="D3831" s="0" t="n">
        <v>3</v>
      </c>
      <c r="E3831" s="38" t="n">
        <v>1441409.35</v>
      </c>
    </row>
    <row r="3832" customFormat="false" ht="15" hidden="false" customHeight="false" outlineLevel="0" collapsed="false">
      <c r="A3832" s="0" t="n">
        <v>46</v>
      </c>
      <c r="B3832" s="0" t="s">
        <v>62</v>
      </c>
      <c r="C3832" s="0" t="n">
        <v>2012</v>
      </c>
      <c r="D3832" s="0" t="n">
        <v>4</v>
      </c>
      <c r="E3832" s="38" t="n">
        <v>1579987.5</v>
      </c>
    </row>
    <row r="3833" customFormat="false" ht="15" hidden="false" customHeight="false" outlineLevel="0" collapsed="false">
      <c r="A3833" s="0" t="n">
        <v>46</v>
      </c>
      <c r="B3833" s="0" t="s">
        <v>62</v>
      </c>
      <c r="C3833" s="0" t="n">
        <v>2012</v>
      </c>
      <c r="D3833" s="0" t="n">
        <v>5</v>
      </c>
      <c r="E3833" s="38" t="n">
        <v>1622007.81</v>
      </c>
    </row>
    <row r="3834" customFormat="false" ht="15" hidden="false" customHeight="false" outlineLevel="0" collapsed="false">
      <c r="A3834" s="0" t="n">
        <v>46</v>
      </c>
      <c r="B3834" s="0" t="s">
        <v>62</v>
      </c>
      <c r="C3834" s="0" t="n">
        <v>2012</v>
      </c>
      <c r="D3834" s="0" t="n">
        <v>6</v>
      </c>
      <c r="E3834" s="38" t="n">
        <v>1571727.17</v>
      </c>
    </row>
    <row r="3835" customFormat="false" ht="15" hidden="false" customHeight="false" outlineLevel="0" collapsed="false">
      <c r="A3835" s="0" t="n">
        <v>46</v>
      </c>
      <c r="B3835" s="0" t="s">
        <v>62</v>
      </c>
      <c r="C3835" s="0" t="n">
        <v>2012</v>
      </c>
      <c r="D3835" s="0" t="n">
        <v>7</v>
      </c>
      <c r="E3835" s="38" t="n">
        <v>1432855.04</v>
      </c>
    </row>
    <row r="3836" customFormat="false" ht="15" hidden="false" customHeight="false" outlineLevel="0" collapsed="false">
      <c r="A3836" s="0" t="n">
        <v>46</v>
      </c>
      <c r="B3836" s="0" t="s">
        <v>62</v>
      </c>
      <c r="C3836" s="0" t="n">
        <v>2012</v>
      </c>
      <c r="D3836" s="0" t="n">
        <v>8</v>
      </c>
      <c r="E3836" s="38" t="n">
        <v>1238026</v>
      </c>
    </row>
    <row r="3837" customFormat="false" ht="15" hidden="false" customHeight="false" outlineLevel="0" collapsed="false">
      <c r="A3837" s="0" t="n">
        <v>46</v>
      </c>
      <c r="B3837" s="0" t="s">
        <v>62</v>
      </c>
      <c r="C3837" s="0" t="n">
        <v>2012</v>
      </c>
      <c r="D3837" s="0" t="n">
        <v>9</v>
      </c>
      <c r="E3837" s="38" t="n">
        <v>1311968.5</v>
      </c>
    </row>
    <row r="3838" customFormat="false" ht="15" hidden="false" customHeight="false" outlineLevel="0" collapsed="false">
      <c r="A3838" s="0" t="n">
        <v>46</v>
      </c>
      <c r="B3838" s="0" t="s">
        <v>62</v>
      </c>
      <c r="C3838" s="0" t="n">
        <v>2012</v>
      </c>
      <c r="D3838" s="0" t="n">
        <v>10</v>
      </c>
      <c r="E3838" s="38" t="n">
        <v>1361907.45</v>
      </c>
    </row>
    <row r="3839" customFormat="false" ht="15" hidden="false" customHeight="false" outlineLevel="0" collapsed="false">
      <c r="A3839" s="0" t="n">
        <v>46</v>
      </c>
      <c r="B3839" s="0" t="s">
        <v>62</v>
      </c>
      <c r="C3839" s="0" t="n">
        <v>2012</v>
      </c>
      <c r="D3839" s="0" t="n">
        <v>11</v>
      </c>
      <c r="E3839" s="38" t="n">
        <v>2131393.77</v>
      </c>
    </row>
    <row r="3840" customFormat="false" ht="15" hidden="false" customHeight="false" outlineLevel="0" collapsed="false">
      <c r="A3840" s="0" t="n">
        <v>46</v>
      </c>
      <c r="B3840" s="0" t="s">
        <v>62</v>
      </c>
      <c r="C3840" s="0" t="n">
        <v>2012</v>
      </c>
      <c r="D3840" s="0" t="n">
        <v>12</v>
      </c>
      <c r="E3840" s="38" t="n">
        <v>1322717.99</v>
      </c>
    </row>
    <row r="3841" customFormat="false" ht="15" hidden="false" customHeight="false" outlineLevel="0" collapsed="false">
      <c r="A3841" s="0" t="n">
        <v>46</v>
      </c>
      <c r="B3841" s="0" t="s">
        <v>62</v>
      </c>
      <c r="C3841" s="0" t="n">
        <v>2013</v>
      </c>
      <c r="D3841" s="0" t="n">
        <v>1</v>
      </c>
      <c r="E3841" s="38" t="n">
        <v>1402035.21</v>
      </c>
    </row>
    <row r="3842" customFormat="false" ht="15" hidden="false" customHeight="false" outlineLevel="0" collapsed="false">
      <c r="A3842" s="0" t="n">
        <v>46</v>
      </c>
      <c r="B3842" s="0" t="s">
        <v>62</v>
      </c>
      <c r="C3842" s="0" t="n">
        <v>2013</v>
      </c>
      <c r="D3842" s="0" t="n">
        <v>2</v>
      </c>
      <c r="E3842" s="38" t="n">
        <v>1508943.93</v>
      </c>
    </row>
    <row r="3843" customFormat="false" ht="15" hidden="false" customHeight="false" outlineLevel="0" collapsed="false">
      <c r="A3843" s="0" t="n">
        <v>46</v>
      </c>
      <c r="B3843" s="0" t="s">
        <v>62</v>
      </c>
      <c r="C3843" s="0" t="n">
        <v>2013</v>
      </c>
      <c r="D3843" s="0" t="n">
        <v>3</v>
      </c>
      <c r="E3843" s="38" t="n">
        <v>1497010.32</v>
      </c>
    </row>
    <row r="3844" customFormat="false" ht="15" hidden="false" customHeight="false" outlineLevel="0" collapsed="false">
      <c r="A3844" s="0" t="n">
        <v>46</v>
      </c>
      <c r="B3844" s="0" t="s">
        <v>62</v>
      </c>
      <c r="C3844" s="0" t="n">
        <v>2013</v>
      </c>
      <c r="D3844" s="0" t="n">
        <v>4</v>
      </c>
      <c r="E3844" s="38" t="n">
        <v>1622749.58</v>
      </c>
    </row>
    <row r="3845" customFormat="false" ht="15" hidden="false" customHeight="false" outlineLevel="0" collapsed="false">
      <c r="A3845" s="0" t="n">
        <v>46</v>
      </c>
      <c r="B3845" s="0" t="s">
        <v>62</v>
      </c>
      <c r="C3845" s="0" t="n">
        <v>2013</v>
      </c>
      <c r="D3845" s="0" t="n">
        <v>5</v>
      </c>
      <c r="E3845" s="38" t="n">
        <v>1693438.89</v>
      </c>
    </row>
    <row r="3846" customFormat="false" ht="15" hidden="false" customHeight="false" outlineLevel="0" collapsed="false">
      <c r="A3846" s="0" t="n">
        <v>46</v>
      </c>
      <c r="B3846" s="0" t="s">
        <v>62</v>
      </c>
      <c r="C3846" s="0" t="n">
        <v>2013</v>
      </c>
      <c r="D3846" s="0" t="n">
        <v>6</v>
      </c>
      <c r="E3846" s="38" t="n">
        <v>1610265.67</v>
      </c>
    </row>
    <row r="3847" customFormat="false" ht="15" hidden="false" customHeight="false" outlineLevel="0" collapsed="false">
      <c r="A3847" s="0" t="n">
        <v>46</v>
      </c>
      <c r="B3847" s="0" t="s">
        <v>62</v>
      </c>
      <c r="C3847" s="0" t="n">
        <v>2013</v>
      </c>
      <c r="D3847" s="0" t="n">
        <v>7</v>
      </c>
      <c r="E3847" s="38" t="n">
        <v>1449800.09</v>
      </c>
    </row>
    <row r="3848" customFormat="false" ht="15" hidden="false" customHeight="false" outlineLevel="0" collapsed="false">
      <c r="A3848" s="0" t="n">
        <v>46</v>
      </c>
      <c r="B3848" s="0" t="s">
        <v>62</v>
      </c>
      <c r="C3848" s="0" t="n">
        <v>2013</v>
      </c>
      <c r="D3848" s="0" t="n">
        <v>8</v>
      </c>
      <c r="E3848" s="38" t="n">
        <v>1278306.08</v>
      </c>
    </row>
    <row r="3849" customFormat="false" ht="15" hidden="false" customHeight="false" outlineLevel="0" collapsed="false">
      <c r="A3849" s="0" t="n">
        <v>46</v>
      </c>
      <c r="B3849" s="0" t="s">
        <v>64</v>
      </c>
      <c r="C3849" s="0" t="n">
        <v>2011</v>
      </c>
      <c r="D3849" s="0" t="n">
        <v>1</v>
      </c>
      <c r="E3849" s="38" t="n">
        <v>164788.72</v>
      </c>
    </row>
    <row r="3850" customFormat="false" ht="15" hidden="false" customHeight="false" outlineLevel="0" collapsed="false">
      <c r="A3850" s="0" t="n">
        <v>46</v>
      </c>
      <c r="B3850" s="0" t="s">
        <v>64</v>
      </c>
      <c r="C3850" s="0" t="n">
        <v>2011</v>
      </c>
      <c r="D3850" s="0" t="n">
        <v>2</v>
      </c>
      <c r="E3850" s="38" t="n">
        <v>180285.97</v>
      </c>
    </row>
    <row r="3851" customFormat="false" ht="15" hidden="false" customHeight="false" outlineLevel="0" collapsed="false">
      <c r="A3851" s="0" t="n">
        <v>46</v>
      </c>
      <c r="B3851" s="0" t="s">
        <v>64</v>
      </c>
      <c r="C3851" s="0" t="n">
        <v>2011</v>
      </c>
      <c r="D3851" s="0" t="n">
        <v>3</v>
      </c>
      <c r="E3851" s="38" t="n">
        <v>183522.37</v>
      </c>
    </row>
    <row r="3852" customFormat="false" ht="15" hidden="false" customHeight="false" outlineLevel="0" collapsed="false">
      <c r="A3852" s="0" t="n">
        <v>46</v>
      </c>
      <c r="B3852" s="0" t="s">
        <v>64</v>
      </c>
      <c r="C3852" s="0" t="n">
        <v>2011</v>
      </c>
      <c r="D3852" s="0" t="n">
        <v>4</v>
      </c>
      <c r="E3852" s="38" t="n">
        <v>193345.13</v>
      </c>
    </row>
    <row r="3853" customFormat="false" ht="15" hidden="false" customHeight="false" outlineLevel="0" collapsed="false">
      <c r="A3853" s="0" t="n">
        <v>46</v>
      </c>
      <c r="B3853" s="0" t="s">
        <v>64</v>
      </c>
      <c r="C3853" s="0" t="n">
        <v>2011</v>
      </c>
      <c r="D3853" s="0" t="n">
        <v>5</v>
      </c>
      <c r="E3853" s="38" t="n">
        <v>183967.32</v>
      </c>
    </row>
    <row r="3854" customFormat="false" ht="15" hidden="false" customHeight="false" outlineLevel="0" collapsed="false">
      <c r="A3854" s="0" t="n">
        <v>46</v>
      </c>
      <c r="B3854" s="0" t="s">
        <v>64</v>
      </c>
      <c r="C3854" s="0" t="n">
        <v>2011</v>
      </c>
      <c r="D3854" s="0" t="n">
        <v>6</v>
      </c>
      <c r="E3854" s="38" t="n">
        <v>176172</v>
      </c>
    </row>
    <row r="3855" customFormat="false" ht="15" hidden="false" customHeight="false" outlineLevel="0" collapsed="false">
      <c r="A3855" s="0" t="n">
        <v>46</v>
      </c>
      <c r="B3855" s="0" t="s">
        <v>64</v>
      </c>
      <c r="C3855" s="0" t="n">
        <v>2011</v>
      </c>
      <c r="D3855" s="0" t="n">
        <v>7</v>
      </c>
      <c r="E3855" s="38" t="n">
        <v>172691.66</v>
      </c>
    </row>
    <row r="3856" customFormat="false" ht="15" hidden="false" customHeight="false" outlineLevel="0" collapsed="false">
      <c r="A3856" s="0" t="n">
        <v>46</v>
      </c>
      <c r="B3856" s="0" t="s">
        <v>64</v>
      </c>
      <c r="C3856" s="0" t="n">
        <v>2011</v>
      </c>
      <c r="D3856" s="0" t="n">
        <v>8</v>
      </c>
      <c r="E3856" s="38" t="n">
        <v>165993.61</v>
      </c>
    </row>
    <row r="3857" customFormat="false" ht="15" hidden="false" customHeight="false" outlineLevel="0" collapsed="false">
      <c r="A3857" s="0" t="n">
        <v>46</v>
      </c>
      <c r="B3857" s="0" t="s">
        <v>64</v>
      </c>
      <c r="C3857" s="0" t="n">
        <v>2011</v>
      </c>
      <c r="D3857" s="0" t="n">
        <v>9</v>
      </c>
      <c r="E3857" s="38" t="n">
        <v>171334.06</v>
      </c>
    </row>
    <row r="3858" customFormat="false" ht="15" hidden="false" customHeight="false" outlineLevel="0" collapsed="false">
      <c r="A3858" s="0" t="n">
        <v>46</v>
      </c>
      <c r="B3858" s="0" t="s">
        <v>64</v>
      </c>
      <c r="C3858" s="0" t="n">
        <v>2011</v>
      </c>
      <c r="D3858" s="0" t="n">
        <v>10</v>
      </c>
      <c r="E3858" s="38" t="n">
        <v>155476.63</v>
      </c>
    </row>
    <row r="3859" customFormat="false" ht="15" hidden="false" customHeight="false" outlineLevel="0" collapsed="false">
      <c r="A3859" s="0" t="n">
        <v>46</v>
      </c>
      <c r="B3859" s="0" t="s">
        <v>64</v>
      </c>
      <c r="C3859" s="0" t="n">
        <v>2011</v>
      </c>
      <c r="D3859" s="0" t="n">
        <v>11</v>
      </c>
      <c r="E3859" s="38" t="n">
        <v>157167.88</v>
      </c>
    </row>
    <row r="3860" customFormat="false" ht="15" hidden="false" customHeight="false" outlineLevel="0" collapsed="false">
      <c r="A3860" s="0" t="n">
        <v>46</v>
      </c>
      <c r="B3860" s="0" t="s">
        <v>64</v>
      </c>
      <c r="C3860" s="0" t="n">
        <v>2011</v>
      </c>
      <c r="D3860" s="0" t="n">
        <v>12</v>
      </c>
      <c r="E3860" s="38" t="n">
        <v>168567.45</v>
      </c>
    </row>
    <row r="3861" customFormat="false" ht="15" hidden="false" customHeight="false" outlineLevel="0" collapsed="false">
      <c r="A3861" s="0" t="n">
        <v>46</v>
      </c>
      <c r="B3861" s="0" t="s">
        <v>64</v>
      </c>
      <c r="C3861" s="0" t="n">
        <v>2012</v>
      </c>
      <c r="D3861" s="0" t="n">
        <v>1</v>
      </c>
      <c r="E3861" s="38" t="n">
        <v>169480.42</v>
      </c>
    </row>
    <row r="3862" customFormat="false" ht="15" hidden="false" customHeight="false" outlineLevel="0" collapsed="false">
      <c r="A3862" s="0" t="n">
        <v>46</v>
      </c>
      <c r="B3862" s="0" t="s">
        <v>64</v>
      </c>
      <c r="C3862" s="0" t="n">
        <v>2012</v>
      </c>
      <c r="D3862" s="0" t="n">
        <v>2</v>
      </c>
      <c r="E3862" s="38" t="n">
        <v>191641.73</v>
      </c>
    </row>
    <row r="3863" customFormat="false" ht="15" hidden="false" customHeight="false" outlineLevel="0" collapsed="false">
      <c r="A3863" s="0" t="n">
        <v>46</v>
      </c>
      <c r="B3863" s="0" t="s">
        <v>64</v>
      </c>
      <c r="C3863" s="0" t="n">
        <v>2012</v>
      </c>
      <c r="D3863" s="0" t="n">
        <v>3</v>
      </c>
      <c r="E3863" s="38" t="n">
        <v>182682.57</v>
      </c>
    </row>
    <row r="3864" customFormat="false" ht="15" hidden="false" customHeight="false" outlineLevel="0" collapsed="false">
      <c r="A3864" s="0" t="n">
        <v>46</v>
      </c>
      <c r="B3864" s="0" t="s">
        <v>64</v>
      </c>
      <c r="C3864" s="0" t="n">
        <v>2012</v>
      </c>
      <c r="D3864" s="0" t="n">
        <v>4</v>
      </c>
      <c r="E3864" s="38" t="n">
        <v>193838.01</v>
      </c>
    </row>
    <row r="3865" customFormat="false" ht="15" hidden="false" customHeight="false" outlineLevel="0" collapsed="false">
      <c r="A3865" s="0" t="n">
        <v>46</v>
      </c>
      <c r="B3865" s="0" t="s">
        <v>64</v>
      </c>
      <c r="C3865" s="0" t="n">
        <v>2012</v>
      </c>
      <c r="D3865" s="0" t="n">
        <v>5</v>
      </c>
      <c r="E3865" s="38" t="n">
        <v>185025.38</v>
      </c>
    </row>
    <row r="3866" customFormat="false" ht="15" hidden="false" customHeight="false" outlineLevel="0" collapsed="false">
      <c r="A3866" s="0" t="n">
        <v>46</v>
      </c>
      <c r="B3866" s="0" t="s">
        <v>64</v>
      </c>
      <c r="C3866" s="0" t="n">
        <v>2012</v>
      </c>
      <c r="D3866" s="0" t="n">
        <v>6</v>
      </c>
      <c r="E3866" s="38" t="n">
        <v>171690.89</v>
      </c>
    </row>
    <row r="3867" customFormat="false" ht="15" hidden="false" customHeight="false" outlineLevel="0" collapsed="false">
      <c r="A3867" s="0" t="n">
        <v>46</v>
      </c>
      <c r="B3867" s="0" t="s">
        <v>64</v>
      </c>
      <c r="C3867" s="0" t="n">
        <v>2012</v>
      </c>
      <c r="D3867" s="0" t="n">
        <v>7</v>
      </c>
      <c r="E3867" s="38" t="n">
        <v>158405.06</v>
      </c>
    </row>
    <row r="3868" customFormat="false" ht="15" hidden="false" customHeight="false" outlineLevel="0" collapsed="false">
      <c r="A3868" s="0" t="n">
        <v>46</v>
      </c>
      <c r="B3868" s="0" t="s">
        <v>64</v>
      </c>
      <c r="C3868" s="0" t="n">
        <v>2012</v>
      </c>
      <c r="D3868" s="0" t="n">
        <v>8</v>
      </c>
      <c r="E3868" s="38" t="n">
        <v>147576.27</v>
      </c>
    </row>
    <row r="3869" customFormat="false" ht="15" hidden="false" customHeight="false" outlineLevel="0" collapsed="false">
      <c r="A3869" s="0" t="n">
        <v>46</v>
      </c>
      <c r="B3869" s="0" t="s">
        <v>64</v>
      </c>
      <c r="C3869" s="0" t="n">
        <v>2012</v>
      </c>
      <c r="D3869" s="0" t="n">
        <v>9</v>
      </c>
      <c r="E3869" s="38" t="n">
        <v>166224.47</v>
      </c>
    </row>
    <row r="3870" customFormat="false" ht="15" hidden="false" customHeight="false" outlineLevel="0" collapsed="false">
      <c r="A3870" s="0" t="n">
        <v>46</v>
      </c>
      <c r="B3870" s="0" t="s">
        <v>64</v>
      </c>
      <c r="C3870" s="0" t="n">
        <v>2012</v>
      </c>
      <c r="D3870" s="0" t="n">
        <v>10</v>
      </c>
      <c r="E3870" s="38" t="n">
        <v>150654.04</v>
      </c>
    </row>
    <row r="3871" customFormat="false" ht="15" hidden="false" customHeight="false" outlineLevel="0" collapsed="false">
      <c r="A3871" s="0" t="n">
        <v>46</v>
      </c>
      <c r="B3871" s="0" t="s">
        <v>64</v>
      </c>
      <c r="C3871" s="0" t="n">
        <v>2012</v>
      </c>
      <c r="D3871" s="0" t="n">
        <v>11</v>
      </c>
      <c r="E3871" s="38" t="n">
        <v>146457.88</v>
      </c>
    </row>
    <row r="3872" customFormat="false" ht="15" hidden="false" customHeight="false" outlineLevel="0" collapsed="false">
      <c r="A3872" s="0" t="n">
        <v>46</v>
      </c>
      <c r="B3872" s="0" t="s">
        <v>64</v>
      </c>
      <c r="C3872" s="0" t="n">
        <v>2012</v>
      </c>
      <c r="D3872" s="0" t="n">
        <v>12</v>
      </c>
      <c r="E3872" s="38" t="n">
        <v>162966.86</v>
      </c>
    </row>
    <row r="3873" customFormat="false" ht="15" hidden="false" customHeight="false" outlineLevel="0" collapsed="false">
      <c r="A3873" s="0" t="n">
        <v>46</v>
      </c>
      <c r="B3873" s="0" t="s">
        <v>64</v>
      </c>
      <c r="C3873" s="0" t="n">
        <v>2013</v>
      </c>
      <c r="D3873" s="0" t="n">
        <v>1</v>
      </c>
      <c r="E3873" s="38" t="n">
        <v>170621.87</v>
      </c>
    </row>
    <row r="3874" customFormat="false" ht="15" hidden="false" customHeight="false" outlineLevel="0" collapsed="false">
      <c r="A3874" s="0" t="n">
        <v>46</v>
      </c>
      <c r="B3874" s="0" t="s">
        <v>64</v>
      </c>
      <c r="C3874" s="0" t="n">
        <v>2013</v>
      </c>
      <c r="D3874" s="0" t="n">
        <v>2</v>
      </c>
      <c r="E3874" s="38" t="n">
        <v>182415.56</v>
      </c>
    </row>
    <row r="3875" customFormat="false" ht="15" hidden="false" customHeight="false" outlineLevel="0" collapsed="false">
      <c r="A3875" s="0" t="n">
        <v>46</v>
      </c>
      <c r="B3875" s="0" t="s">
        <v>64</v>
      </c>
      <c r="C3875" s="0" t="n">
        <v>2013</v>
      </c>
      <c r="D3875" s="0" t="n">
        <v>3</v>
      </c>
      <c r="E3875" s="38" t="n">
        <v>172861.94</v>
      </c>
    </row>
    <row r="3876" customFormat="false" ht="15" hidden="false" customHeight="false" outlineLevel="0" collapsed="false">
      <c r="A3876" s="0" t="n">
        <v>46</v>
      </c>
      <c r="B3876" s="0" t="s">
        <v>64</v>
      </c>
      <c r="C3876" s="0" t="n">
        <v>2013</v>
      </c>
      <c r="D3876" s="0" t="n">
        <v>4</v>
      </c>
      <c r="E3876" s="38" t="n">
        <v>181024.02</v>
      </c>
    </row>
    <row r="3877" customFormat="false" ht="15" hidden="false" customHeight="false" outlineLevel="0" collapsed="false">
      <c r="A3877" s="0" t="n">
        <v>46</v>
      </c>
      <c r="B3877" s="0" t="s">
        <v>64</v>
      </c>
      <c r="C3877" s="0" t="n">
        <v>2013</v>
      </c>
      <c r="D3877" s="0" t="n">
        <v>5</v>
      </c>
      <c r="E3877" s="38" t="n">
        <v>172163.58</v>
      </c>
    </row>
    <row r="3878" customFormat="false" ht="15" hidden="false" customHeight="false" outlineLevel="0" collapsed="false">
      <c r="A3878" s="0" t="n">
        <v>46</v>
      </c>
      <c r="B3878" s="0" t="s">
        <v>64</v>
      </c>
      <c r="C3878" s="0" t="n">
        <v>2013</v>
      </c>
      <c r="D3878" s="0" t="n">
        <v>6</v>
      </c>
      <c r="E3878" s="38" t="n">
        <v>166684.67</v>
      </c>
    </row>
    <row r="3879" customFormat="false" ht="15" hidden="false" customHeight="false" outlineLevel="0" collapsed="false">
      <c r="A3879" s="0" t="n">
        <v>46</v>
      </c>
      <c r="B3879" s="0" t="s">
        <v>64</v>
      </c>
      <c r="C3879" s="0" t="n">
        <v>2013</v>
      </c>
      <c r="D3879" s="0" t="n">
        <v>7</v>
      </c>
      <c r="E3879" s="38" t="n">
        <v>163004.61</v>
      </c>
    </row>
    <row r="3880" customFormat="false" ht="15" hidden="false" customHeight="false" outlineLevel="0" collapsed="false">
      <c r="A3880" s="0" t="n">
        <v>46</v>
      </c>
      <c r="B3880" s="0" t="s">
        <v>64</v>
      </c>
      <c r="C3880" s="0" t="n">
        <v>2013</v>
      </c>
      <c r="D3880" s="0" t="n">
        <v>8</v>
      </c>
      <c r="E3880" s="38" t="n">
        <v>155759.54</v>
      </c>
    </row>
    <row r="3881" customFormat="false" ht="15" hidden="false" customHeight="false" outlineLevel="0" collapsed="false">
      <c r="A3881" s="0" t="n">
        <v>47</v>
      </c>
      <c r="B3881" s="0" t="s">
        <v>60</v>
      </c>
      <c r="C3881" s="0" t="n">
        <v>2011</v>
      </c>
      <c r="D3881" s="0" t="n">
        <v>1</v>
      </c>
      <c r="E3881" s="38" t="n">
        <v>913.77</v>
      </c>
    </row>
    <row r="3882" customFormat="false" ht="15" hidden="false" customHeight="false" outlineLevel="0" collapsed="false">
      <c r="A3882" s="0" t="n">
        <v>47</v>
      </c>
      <c r="B3882" s="0" t="s">
        <v>60</v>
      </c>
      <c r="C3882" s="0" t="n">
        <v>2011</v>
      </c>
      <c r="D3882" s="0" t="n">
        <v>2</v>
      </c>
      <c r="E3882" s="38" t="n">
        <v>-176.99</v>
      </c>
    </row>
    <row r="3883" customFormat="false" ht="15" hidden="false" customHeight="false" outlineLevel="0" collapsed="false">
      <c r="A3883" s="0" t="n">
        <v>47</v>
      </c>
      <c r="B3883" s="0" t="s">
        <v>60</v>
      </c>
      <c r="C3883" s="0" t="n">
        <v>2011</v>
      </c>
      <c r="D3883" s="0" t="n">
        <v>3</v>
      </c>
      <c r="E3883" s="38" t="n">
        <v>-782.58</v>
      </c>
    </row>
    <row r="3884" customFormat="false" ht="15" hidden="false" customHeight="false" outlineLevel="0" collapsed="false">
      <c r="A3884" s="0" t="n">
        <v>47</v>
      </c>
      <c r="B3884" s="0" t="s">
        <v>60</v>
      </c>
      <c r="C3884" s="0" t="n">
        <v>2011</v>
      </c>
      <c r="D3884" s="0" t="n">
        <v>4</v>
      </c>
      <c r="E3884" s="38" t="n">
        <v>359.85</v>
      </c>
    </row>
    <row r="3885" customFormat="false" ht="15" hidden="false" customHeight="false" outlineLevel="0" collapsed="false">
      <c r="A3885" s="0" t="n">
        <v>47</v>
      </c>
      <c r="B3885" s="0" t="s">
        <v>60</v>
      </c>
      <c r="C3885" s="0" t="n">
        <v>2011</v>
      </c>
      <c r="D3885" s="0" t="n">
        <v>5</v>
      </c>
      <c r="E3885" s="38" t="n">
        <v>76</v>
      </c>
    </row>
    <row r="3886" customFormat="false" ht="15" hidden="false" customHeight="false" outlineLevel="0" collapsed="false">
      <c r="A3886" s="0" t="n">
        <v>47</v>
      </c>
      <c r="B3886" s="0" t="s">
        <v>60</v>
      </c>
      <c r="C3886" s="0" t="n">
        <v>2011</v>
      </c>
      <c r="D3886" s="0" t="n">
        <v>6</v>
      </c>
      <c r="E3886" s="38" t="n">
        <v>-1006.86</v>
      </c>
    </row>
    <row r="3887" customFormat="false" ht="15" hidden="false" customHeight="false" outlineLevel="0" collapsed="false">
      <c r="A3887" s="0" t="n">
        <v>47</v>
      </c>
      <c r="B3887" s="0" t="s">
        <v>60</v>
      </c>
      <c r="C3887" s="0" t="n">
        <v>2011</v>
      </c>
      <c r="D3887" s="0" t="n">
        <v>7</v>
      </c>
      <c r="E3887" s="38" t="n">
        <v>617.69</v>
      </c>
    </row>
    <row r="3888" customFormat="false" ht="15" hidden="false" customHeight="false" outlineLevel="0" collapsed="false">
      <c r="A3888" s="0" t="n">
        <v>47</v>
      </c>
      <c r="B3888" s="0" t="s">
        <v>60</v>
      </c>
      <c r="C3888" s="0" t="n">
        <v>2011</v>
      </c>
      <c r="D3888" s="0" t="n">
        <v>8</v>
      </c>
      <c r="E3888" s="38" t="n">
        <v>-1471</v>
      </c>
    </row>
    <row r="3889" customFormat="false" ht="15" hidden="false" customHeight="false" outlineLevel="0" collapsed="false">
      <c r="A3889" s="0" t="n">
        <v>47</v>
      </c>
      <c r="B3889" s="0" t="s">
        <v>60</v>
      </c>
      <c r="C3889" s="0" t="n">
        <v>2011</v>
      </c>
      <c r="D3889" s="0" t="n">
        <v>9</v>
      </c>
      <c r="E3889" s="38" t="n">
        <v>-1084.56</v>
      </c>
    </row>
    <row r="3890" customFormat="false" ht="15" hidden="false" customHeight="false" outlineLevel="0" collapsed="false">
      <c r="A3890" s="0" t="n">
        <v>47</v>
      </c>
      <c r="B3890" s="0" t="s">
        <v>60</v>
      </c>
      <c r="C3890" s="0" t="n">
        <v>2011</v>
      </c>
      <c r="D3890" s="0" t="n">
        <v>10</v>
      </c>
      <c r="E3890" s="38" t="n">
        <v>-510.98</v>
      </c>
    </row>
    <row r="3891" customFormat="false" ht="15" hidden="false" customHeight="false" outlineLevel="0" collapsed="false">
      <c r="A3891" s="0" t="n">
        <v>47</v>
      </c>
      <c r="B3891" s="0" t="s">
        <v>60</v>
      </c>
      <c r="C3891" s="0" t="n">
        <v>2011</v>
      </c>
      <c r="D3891" s="0" t="n">
        <v>11</v>
      </c>
      <c r="E3891" s="38" t="n">
        <v>544.7</v>
      </c>
    </row>
    <row r="3892" customFormat="false" ht="15" hidden="false" customHeight="false" outlineLevel="0" collapsed="false">
      <c r="A3892" s="0" t="n">
        <v>47</v>
      </c>
      <c r="B3892" s="0" t="s">
        <v>60</v>
      </c>
      <c r="C3892" s="0" t="n">
        <v>2011</v>
      </c>
      <c r="D3892" s="0" t="n">
        <v>12</v>
      </c>
      <c r="E3892" s="38" t="n">
        <v>944.2</v>
      </c>
    </row>
    <row r="3893" customFormat="false" ht="15" hidden="false" customHeight="false" outlineLevel="0" collapsed="false">
      <c r="A3893" s="0" t="n">
        <v>47</v>
      </c>
      <c r="B3893" s="0" t="s">
        <v>60</v>
      </c>
      <c r="C3893" s="0" t="n">
        <v>2012</v>
      </c>
      <c r="D3893" s="0" t="n">
        <v>1</v>
      </c>
      <c r="E3893" s="38" t="n">
        <v>1085.37</v>
      </c>
    </row>
    <row r="3894" customFormat="false" ht="15" hidden="false" customHeight="false" outlineLevel="0" collapsed="false">
      <c r="A3894" s="0" t="n">
        <v>47</v>
      </c>
      <c r="B3894" s="0" t="s">
        <v>60</v>
      </c>
      <c r="C3894" s="0" t="n">
        <v>2012</v>
      </c>
      <c r="D3894" s="0" t="n">
        <v>2</v>
      </c>
      <c r="E3894" s="38" t="n">
        <v>170.54</v>
      </c>
    </row>
    <row r="3895" customFormat="false" ht="15" hidden="false" customHeight="false" outlineLevel="0" collapsed="false">
      <c r="A3895" s="0" t="n">
        <v>47</v>
      </c>
      <c r="B3895" s="0" t="s">
        <v>60</v>
      </c>
      <c r="C3895" s="0" t="n">
        <v>2012</v>
      </c>
      <c r="D3895" s="0" t="n">
        <v>3</v>
      </c>
      <c r="E3895" s="38" t="n">
        <v>-331.93</v>
      </c>
    </row>
    <row r="3896" customFormat="false" ht="15" hidden="false" customHeight="false" outlineLevel="0" collapsed="false">
      <c r="A3896" s="0" t="n">
        <v>47</v>
      </c>
      <c r="B3896" s="0" t="s">
        <v>60</v>
      </c>
      <c r="C3896" s="0" t="n">
        <v>2012</v>
      </c>
      <c r="D3896" s="0" t="n">
        <v>4</v>
      </c>
      <c r="E3896" s="38" t="n">
        <v>-232.5</v>
      </c>
    </row>
    <row r="3897" customFormat="false" ht="15" hidden="false" customHeight="false" outlineLevel="0" collapsed="false">
      <c r="A3897" s="0" t="n">
        <v>47</v>
      </c>
      <c r="B3897" s="0" t="s">
        <v>60</v>
      </c>
      <c r="C3897" s="0" t="n">
        <v>2012</v>
      </c>
      <c r="D3897" s="0" t="n">
        <v>5</v>
      </c>
      <c r="E3897" s="38" t="n">
        <v>-1150.36</v>
      </c>
    </row>
    <row r="3898" customFormat="false" ht="15" hidden="false" customHeight="false" outlineLevel="0" collapsed="false">
      <c r="A3898" s="0" t="n">
        <v>47</v>
      </c>
      <c r="B3898" s="0" t="s">
        <v>60</v>
      </c>
      <c r="C3898" s="0" t="n">
        <v>2012</v>
      </c>
      <c r="D3898" s="0" t="n">
        <v>6</v>
      </c>
      <c r="E3898" s="38" t="n">
        <v>-140.86</v>
      </c>
    </row>
    <row r="3899" customFormat="false" ht="15" hidden="false" customHeight="false" outlineLevel="0" collapsed="false">
      <c r="A3899" s="0" t="n">
        <v>47</v>
      </c>
      <c r="B3899" s="0" t="s">
        <v>60</v>
      </c>
      <c r="C3899" s="0" t="n">
        <v>2012</v>
      </c>
      <c r="D3899" s="0" t="n">
        <v>7</v>
      </c>
      <c r="E3899" s="38" t="n">
        <v>461.35</v>
      </c>
    </row>
    <row r="3900" customFormat="false" ht="15" hidden="false" customHeight="false" outlineLevel="0" collapsed="false">
      <c r="A3900" s="0" t="n">
        <v>47</v>
      </c>
      <c r="B3900" s="0" t="s">
        <v>60</v>
      </c>
      <c r="C3900" s="0" t="n">
        <v>2012</v>
      </c>
      <c r="D3900" s="0" t="n">
        <v>8</v>
      </c>
      <c r="E3900" s="38" t="n">
        <v>668.5</v>
      </c>
    </row>
    <row r="3901" customFormat="false" ht="15" hidden="false" customHeight="false" outlineLevel="0" collapsed="false">
      <c r="A3901" s="0" t="n">
        <v>47</v>
      </c>
      <c r="B3901" s="0" t="s">
        <v>60</v>
      </c>
      <c r="C3901" s="0" t="n">
        <v>2012</v>
      </c>
      <c r="D3901" s="0" t="n">
        <v>9</v>
      </c>
      <c r="E3901" s="38" t="n">
        <v>-809</v>
      </c>
    </row>
    <row r="3902" customFormat="false" ht="15" hidden="false" customHeight="false" outlineLevel="0" collapsed="false">
      <c r="A3902" s="0" t="n">
        <v>47</v>
      </c>
      <c r="B3902" s="0" t="s">
        <v>60</v>
      </c>
      <c r="C3902" s="0" t="n">
        <v>2012</v>
      </c>
      <c r="D3902" s="0" t="n">
        <v>10</v>
      </c>
      <c r="E3902" s="38" t="n">
        <v>613.5</v>
      </c>
    </row>
    <row r="3903" customFormat="false" ht="15" hidden="false" customHeight="false" outlineLevel="0" collapsed="false">
      <c r="A3903" s="0" t="n">
        <v>47</v>
      </c>
      <c r="B3903" s="0" t="s">
        <v>60</v>
      </c>
      <c r="C3903" s="0" t="n">
        <v>2012</v>
      </c>
      <c r="D3903" s="0" t="n">
        <v>11</v>
      </c>
      <c r="E3903" s="38" t="n">
        <v>203.24</v>
      </c>
    </row>
    <row r="3904" customFormat="false" ht="15" hidden="false" customHeight="false" outlineLevel="0" collapsed="false">
      <c r="A3904" s="0" t="n">
        <v>47</v>
      </c>
      <c r="B3904" s="0" t="s">
        <v>60</v>
      </c>
      <c r="C3904" s="0" t="n">
        <v>2012</v>
      </c>
      <c r="D3904" s="0" t="n">
        <v>12</v>
      </c>
      <c r="E3904" s="38" t="n">
        <v>-418.29</v>
      </c>
    </row>
    <row r="3905" customFormat="false" ht="15" hidden="false" customHeight="false" outlineLevel="0" collapsed="false">
      <c r="A3905" s="0" t="n">
        <v>47</v>
      </c>
      <c r="B3905" s="0" t="s">
        <v>60</v>
      </c>
      <c r="C3905" s="0" t="n">
        <v>2013</v>
      </c>
      <c r="D3905" s="0" t="n">
        <v>1</v>
      </c>
      <c r="E3905" s="38" t="n">
        <v>2565.36</v>
      </c>
    </row>
    <row r="3906" customFormat="false" ht="15" hidden="false" customHeight="false" outlineLevel="0" collapsed="false">
      <c r="A3906" s="0" t="n">
        <v>47</v>
      </c>
      <c r="B3906" s="0" t="s">
        <v>60</v>
      </c>
      <c r="C3906" s="0" t="n">
        <v>2013</v>
      </c>
      <c r="D3906" s="0" t="n">
        <v>2</v>
      </c>
      <c r="E3906" s="38" t="n">
        <v>-385.71</v>
      </c>
    </row>
    <row r="3907" customFormat="false" ht="15" hidden="false" customHeight="false" outlineLevel="0" collapsed="false">
      <c r="A3907" s="0" t="n">
        <v>47</v>
      </c>
      <c r="B3907" s="0" t="s">
        <v>60</v>
      </c>
      <c r="C3907" s="0" t="n">
        <v>2013</v>
      </c>
      <c r="D3907" s="0" t="n">
        <v>3</v>
      </c>
      <c r="E3907" s="38" t="n">
        <v>116.79</v>
      </c>
    </row>
    <row r="3908" customFormat="false" ht="15" hidden="false" customHeight="false" outlineLevel="0" collapsed="false">
      <c r="A3908" s="0" t="n">
        <v>47</v>
      </c>
      <c r="B3908" s="0" t="s">
        <v>60</v>
      </c>
      <c r="C3908" s="0" t="n">
        <v>2013</v>
      </c>
      <c r="D3908" s="0" t="n">
        <v>4</v>
      </c>
      <c r="E3908" s="38" t="n">
        <v>23.57</v>
      </c>
    </row>
    <row r="3909" customFormat="false" ht="15" hidden="false" customHeight="false" outlineLevel="0" collapsed="false">
      <c r="A3909" s="0" t="n">
        <v>47</v>
      </c>
      <c r="B3909" s="0" t="s">
        <v>60</v>
      </c>
      <c r="C3909" s="0" t="n">
        <v>2013</v>
      </c>
      <c r="D3909" s="0" t="n">
        <v>5</v>
      </c>
      <c r="E3909" s="38" t="n">
        <v>528.14</v>
      </c>
    </row>
    <row r="3910" customFormat="false" ht="15" hidden="false" customHeight="false" outlineLevel="0" collapsed="false">
      <c r="A3910" s="0" t="n">
        <v>47</v>
      </c>
      <c r="B3910" s="0" t="s">
        <v>60</v>
      </c>
      <c r="C3910" s="0" t="n">
        <v>2013</v>
      </c>
      <c r="D3910" s="0" t="n">
        <v>6</v>
      </c>
      <c r="E3910" s="38" t="n">
        <v>110.43</v>
      </c>
    </row>
    <row r="3911" customFormat="false" ht="15" hidden="false" customHeight="false" outlineLevel="0" collapsed="false">
      <c r="A3911" s="0" t="n">
        <v>47</v>
      </c>
      <c r="B3911" s="0" t="s">
        <v>60</v>
      </c>
      <c r="C3911" s="0" t="n">
        <v>2013</v>
      </c>
      <c r="D3911" s="0" t="n">
        <v>7</v>
      </c>
      <c r="E3911" s="38" t="n">
        <v>-680.51</v>
      </c>
    </row>
    <row r="3912" customFormat="false" ht="15" hidden="false" customHeight="false" outlineLevel="0" collapsed="false">
      <c r="A3912" s="0" t="n">
        <v>47</v>
      </c>
      <c r="B3912" s="0" t="s">
        <v>60</v>
      </c>
      <c r="C3912" s="0" t="n">
        <v>2013</v>
      </c>
      <c r="D3912" s="0" t="n">
        <v>8</v>
      </c>
      <c r="E3912" s="38" t="n">
        <v>709.73</v>
      </c>
    </row>
    <row r="3913" customFormat="false" ht="15" hidden="false" customHeight="false" outlineLevel="0" collapsed="false">
      <c r="A3913" s="0" t="n">
        <v>47</v>
      </c>
      <c r="B3913" s="0" t="s">
        <v>62</v>
      </c>
      <c r="C3913" s="0" t="n">
        <v>2011</v>
      </c>
      <c r="D3913" s="0" t="n">
        <v>1</v>
      </c>
      <c r="E3913" s="38" t="n">
        <v>343.71</v>
      </c>
    </row>
    <row r="3914" customFormat="false" ht="15" hidden="false" customHeight="false" outlineLevel="0" collapsed="false">
      <c r="A3914" s="0" t="n">
        <v>47</v>
      </c>
      <c r="B3914" s="0" t="s">
        <v>62</v>
      </c>
      <c r="C3914" s="0" t="n">
        <v>2011</v>
      </c>
      <c r="D3914" s="0" t="n">
        <v>2</v>
      </c>
      <c r="E3914" s="38" t="n">
        <v>-1925.14</v>
      </c>
    </row>
    <row r="3915" customFormat="false" ht="15" hidden="false" customHeight="false" outlineLevel="0" collapsed="false">
      <c r="A3915" s="0" t="n">
        <v>47</v>
      </c>
      <c r="B3915" s="0" t="s">
        <v>62</v>
      </c>
      <c r="C3915" s="0" t="n">
        <v>2011</v>
      </c>
      <c r="D3915" s="0" t="n">
        <v>3</v>
      </c>
      <c r="E3915" s="38" t="n">
        <v>1495.03</v>
      </c>
    </row>
    <row r="3916" customFormat="false" ht="15" hidden="false" customHeight="false" outlineLevel="0" collapsed="false">
      <c r="A3916" s="0" t="n">
        <v>47</v>
      </c>
      <c r="B3916" s="0" t="s">
        <v>62</v>
      </c>
      <c r="C3916" s="0" t="n">
        <v>2011</v>
      </c>
      <c r="D3916" s="0" t="n">
        <v>4</v>
      </c>
      <c r="E3916" s="38" t="n">
        <v>177.97</v>
      </c>
    </row>
    <row r="3917" customFormat="false" ht="15" hidden="false" customHeight="false" outlineLevel="0" collapsed="false">
      <c r="A3917" s="0" t="n">
        <v>47</v>
      </c>
      <c r="B3917" s="0" t="s">
        <v>62</v>
      </c>
      <c r="C3917" s="0" t="n">
        <v>2011</v>
      </c>
      <c r="D3917" s="0" t="n">
        <v>5</v>
      </c>
      <c r="E3917" s="38" t="n">
        <v>75.95</v>
      </c>
    </row>
    <row r="3918" customFormat="false" ht="15" hidden="false" customHeight="false" outlineLevel="0" collapsed="false">
      <c r="A3918" s="0" t="n">
        <v>47</v>
      </c>
      <c r="B3918" s="0" t="s">
        <v>62</v>
      </c>
      <c r="C3918" s="0" t="n">
        <v>2011</v>
      </c>
      <c r="D3918" s="0" t="n">
        <v>6</v>
      </c>
      <c r="E3918" s="38" t="n">
        <v>-324.5</v>
      </c>
    </row>
    <row r="3919" customFormat="false" ht="15" hidden="false" customHeight="false" outlineLevel="0" collapsed="false">
      <c r="A3919" s="0" t="n">
        <v>47</v>
      </c>
      <c r="B3919" s="0" t="s">
        <v>62</v>
      </c>
      <c r="C3919" s="0" t="n">
        <v>2011</v>
      </c>
      <c r="D3919" s="0" t="n">
        <v>7</v>
      </c>
      <c r="E3919" s="38" t="n">
        <v>-239</v>
      </c>
    </row>
    <row r="3920" customFormat="false" ht="15" hidden="false" customHeight="false" outlineLevel="0" collapsed="false">
      <c r="A3920" s="0" t="n">
        <v>47</v>
      </c>
      <c r="B3920" s="0" t="s">
        <v>62</v>
      </c>
      <c r="C3920" s="0" t="n">
        <v>2011</v>
      </c>
      <c r="D3920" s="0" t="n">
        <v>8</v>
      </c>
      <c r="E3920" s="38" t="n">
        <v>360</v>
      </c>
    </row>
    <row r="3921" customFormat="false" ht="15" hidden="false" customHeight="false" outlineLevel="0" collapsed="false">
      <c r="A3921" s="0" t="n">
        <v>47</v>
      </c>
      <c r="B3921" s="0" t="s">
        <v>62</v>
      </c>
      <c r="C3921" s="0" t="n">
        <v>2011</v>
      </c>
      <c r="D3921" s="0" t="n">
        <v>9</v>
      </c>
      <c r="E3921" s="38" t="n">
        <v>-589</v>
      </c>
    </row>
    <row r="3922" customFormat="false" ht="15" hidden="false" customHeight="false" outlineLevel="0" collapsed="false">
      <c r="A3922" s="0" t="n">
        <v>47</v>
      </c>
      <c r="B3922" s="0" t="s">
        <v>62</v>
      </c>
      <c r="C3922" s="0" t="n">
        <v>2011</v>
      </c>
      <c r="D3922" s="0" t="n">
        <v>10</v>
      </c>
      <c r="E3922" s="38" t="n">
        <v>418.28</v>
      </c>
    </row>
    <row r="3923" customFormat="false" ht="15" hidden="false" customHeight="false" outlineLevel="0" collapsed="false">
      <c r="A3923" s="0" t="n">
        <v>47</v>
      </c>
      <c r="B3923" s="0" t="s">
        <v>62</v>
      </c>
      <c r="C3923" s="0" t="n">
        <v>2011</v>
      </c>
      <c r="D3923" s="0" t="n">
        <v>11</v>
      </c>
      <c r="E3923" s="38" t="n">
        <v>353.97</v>
      </c>
    </row>
    <row r="3924" customFormat="false" ht="15" hidden="false" customHeight="false" outlineLevel="0" collapsed="false">
      <c r="A3924" s="0" t="n">
        <v>47</v>
      </c>
      <c r="B3924" s="0" t="s">
        <v>62</v>
      </c>
      <c r="C3924" s="0" t="n">
        <v>2011</v>
      </c>
      <c r="D3924" s="0" t="n">
        <v>12</v>
      </c>
      <c r="E3924" s="38" t="n">
        <v>-491</v>
      </c>
    </row>
    <row r="3925" customFormat="false" ht="15" hidden="false" customHeight="false" outlineLevel="0" collapsed="false">
      <c r="A3925" s="0" t="n">
        <v>47</v>
      </c>
      <c r="B3925" s="0" t="s">
        <v>62</v>
      </c>
      <c r="C3925" s="0" t="n">
        <v>2012</v>
      </c>
      <c r="D3925" s="0" t="n">
        <v>1</v>
      </c>
      <c r="E3925" s="38" t="n">
        <v>-465.61</v>
      </c>
    </row>
    <row r="3926" customFormat="false" ht="15" hidden="false" customHeight="false" outlineLevel="0" collapsed="false">
      <c r="A3926" s="0" t="n">
        <v>47</v>
      </c>
      <c r="B3926" s="0" t="s">
        <v>62</v>
      </c>
      <c r="C3926" s="0" t="n">
        <v>2012</v>
      </c>
      <c r="D3926" s="0" t="n">
        <v>2</v>
      </c>
      <c r="E3926" s="38" t="n">
        <v>-1409.47</v>
      </c>
    </row>
    <row r="3927" customFormat="false" ht="15" hidden="false" customHeight="false" outlineLevel="0" collapsed="false">
      <c r="A3927" s="0" t="n">
        <v>47</v>
      </c>
      <c r="B3927" s="0" t="s">
        <v>62</v>
      </c>
      <c r="C3927" s="0" t="n">
        <v>2012</v>
      </c>
      <c r="D3927" s="0" t="n">
        <v>3</v>
      </c>
      <c r="E3927" s="38" t="n">
        <v>56.14</v>
      </c>
    </row>
    <row r="3928" customFormat="false" ht="15" hidden="false" customHeight="false" outlineLevel="0" collapsed="false">
      <c r="A3928" s="0" t="n">
        <v>47</v>
      </c>
      <c r="B3928" s="0" t="s">
        <v>62</v>
      </c>
      <c r="C3928" s="0" t="n">
        <v>2012</v>
      </c>
      <c r="D3928" s="0" t="n">
        <v>4</v>
      </c>
      <c r="E3928" s="38" t="n">
        <v>767.86</v>
      </c>
    </row>
    <row r="3929" customFormat="false" ht="15" hidden="false" customHeight="false" outlineLevel="0" collapsed="false">
      <c r="A3929" s="0" t="n">
        <v>47</v>
      </c>
      <c r="B3929" s="0" t="s">
        <v>62</v>
      </c>
      <c r="C3929" s="0" t="n">
        <v>2012</v>
      </c>
      <c r="D3929" s="0" t="n">
        <v>5</v>
      </c>
      <c r="E3929" s="38" t="n">
        <v>-448.93</v>
      </c>
    </row>
    <row r="3930" customFormat="false" ht="15" hidden="false" customHeight="false" outlineLevel="0" collapsed="false">
      <c r="A3930" s="0" t="n">
        <v>47</v>
      </c>
      <c r="B3930" s="0" t="s">
        <v>62</v>
      </c>
      <c r="C3930" s="0" t="n">
        <v>2012</v>
      </c>
      <c r="D3930" s="0" t="n">
        <v>6</v>
      </c>
      <c r="E3930" s="38" t="n">
        <v>-474.99</v>
      </c>
    </row>
    <row r="3931" customFormat="false" ht="15" hidden="false" customHeight="false" outlineLevel="0" collapsed="false">
      <c r="A3931" s="0" t="n">
        <v>47</v>
      </c>
      <c r="B3931" s="0" t="s">
        <v>62</v>
      </c>
      <c r="C3931" s="0" t="n">
        <v>2012</v>
      </c>
      <c r="D3931" s="0" t="n">
        <v>7</v>
      </c>
      <c r="E3931" s="38" t="n">
        <v>-3203.3</v>
      </c>
    </row>
    <row r="3932" customFormat="false" ht="15" hidden="false" customHeight="false" outlineLevel="0" collapsed="false">
      <c r="A3932" s="0" t="n">
        <v>47</v>
      </c>
      <c r="B3932" s="0" t="s">
        <v>62</v>
      </c>
      <c r="C3932" s="0" t="n">
        <v>2012</v>
      </c>
      <c r="D3932" s="0" t="n">
        <v>8</v>
      </c>
      <c r="E3932" s="38" t="n">
        <v>-402.28</v>
      </c>
    </row>
    <row r="3933" customFormat="false" ht="15" hidden="false" customHeight="false" outlineLevel="0" collapsed="false">
      <c r="A3933" s="0" t="n">
        <v>47</v>
      </c>
      <c r="B3933" s="0" t="s">
        <v>62</v>
      </c>
      <c r="C3933" s="0" t="n">
        <v>2012</v>
      </c>
      <c r="D3933" s="0" t="n">
        <v>9</v>
      </c>
      <c r="E3933" s="38" t="n">
        <v>65.65</v>
      </c>
    </row>
    <row r="3934" customFormat="false" ht="15" hidden="false" customHeight="false" outlineLevel="0" collapsed="false">
      <c r="A3934" s="0" t="n">
        <v>47</v>
      </c>
      <c r="B3934" s="0" t="s">
        <v>62</v>
      </c>
      <c r="C3934" s="0" t="n">
        <v>2012</v>
      </c>
      <c r="D3934" s="0" t="n">
        <v>10</v>
      </c>
      <c r="E3934" s="38" t="n">
        <v>506.42</v>
      </c>
    </row>
    <row r="3935" customFormat="false" ht="15" hidden="false" customHeight="false" outlineLevel="0" collapsed="false">
      <c r="A3935" s="0" t="n">
        <v>47</v>
      </c>
      <c r="B3935" s="0" t="s">
        <v>62</v>
      </c>
      <c r="C3935" s="0" t="n">
        <v>2012</v>
      </c>
      <c r="D3935" s="0" t="n">
        <v>11</v>
      </c>
      <c r="E3935" s="38" t="n">
        <v>243.55</v>
      </c>
    </row>
    <row r="3936" customFormat="false" ht="15" hidden="false" customHeight="false" outlineLevel="0" collapsed="false">
      <c r="A3936" s="0" t="n">
        <v>47</v>
      </c>
      <c r="B3936" s="0" t="s">
        <v>62</v>
      </c>
      <c r="C3936" s="0" t="n">
        <v>2012</v>
      </c>
      <c r="D3936" s="0" t="n">
        <v>12</v>
      </c>
      <c r="E3936" s="38" t="n">
        <v>210.58</v>
      </c>
    </row>
    <row r="3937" customFormat="false" ht="15" hidden="false" customHeight="false" outlineLevel="0" collapsed="false">
      <c r="A3937" s="0" t="n">
        <v>47</v>
      </c>
      <c r="B3937" s="0" t="s">
        <v>62</v>
      </c>
      <c r="C3937" s="0" t="n">
        <v>2013</v>
      </c>
      <c r="D3937" s="0" t="n">
        <v>1</v>
      </c>
      <c r="E3937" s="38" t="n">
        <v>101.63</v>
      </c>
    </row>
    <row r="3938" customFormat="false" ht="15" hidden="false" customHeight="false" outlineLevel="0" collapsed="false">
      <c r="A3938" s="0" t="n">
        <v>47</v>
      </c>
      <c r="B3938" s="0" t="s">
        <v>62</v>
      </c>
      <c r="C3938" s="0" t="n">
        <v>2013</v>
      </c>
      <c r="D3938" s="0" t="n">
        <v>2</v>
      </c>
      <c r="E3938" s="38" t="n">
        <v>-1575.28</v>
      </c>
    </row>
    <row r="3939" customFormat="false" ht="15" hidden="false" customHeight="false" outlineLevel="0" collapsed="false">
      <c r="A3939" s="0" t="n">
        <v>47</v>
      </c>
      <c r="B3939" s="0" t="s">
        <v>62</v>
      </c>
      <c r="C3939" s="0" t="n">
        <v>2013</v>
      </c>
      <c r="D3939" s="0" t="n">
        <v>3</v>
      </c>
      <c r="E3939" s="38" t="n">
        <v>-99.15</v>
      </c>
    </row>
    <row r="3940" customFormat="false" ht="15" hidden="false" customHeight="false" outlineLevel="0" collapsed="false">
      <c r="A3940" s="0" t="n">
        <v>47</v>
      </c>
      <c r="B3940" s="0" t="s">
        <v>62</v>
      </c>
      <c r="C3940" s="0" t="n">
        <v>2013</v>
      </c>
      <c r="D3940" s="0" t="n">
        <v>4</v>
      </c>
      <c r="E3940" s="38" t="n">
        <v>-547.19</v>
      </c>
    </row>
    <row r="3941" customFormat="false" ht="15" hidden="false" customHeight="false" outlineLevel="0" collapsed="false">
      <c r="A3941" s="0" t="n">
        <v>47</v>
      </c>
      <c r="B3941" s="0" t="s">
        <v>62</v>
      </c>
      <c r="C3941" s="0" t="n">
        <v>2013</v>
      </c>
      <c r="D3941" s="0" t="n">
        <v>5</v>
      </c>
      <c r="E3941" s="38" t="n">
        <v>148.31</v>
      </c>
    </row>
    <row r="3942" customFormat="false" ht="15" hidden="false" customHeight="false" outlineLevel="0" collapsed="false">
      <c r="A3942" s="0" t="n">
        <v>47</v>
      </c>
      <c r="B3942" s="0" t="s">
        <v>62</v>
      </c>
      <c r="C3942" s="0" t="n">
        <v>2013</v>
      </c>
      <c r="D3942" s="0" t="n">
        <v>6</v>
      </c>
      <c r="E3942" s="38" t="n">
        <v>1071.86</v>
      </c>
    </row>
    <row r="3943" customFormat="false" ht="15" hidden="false" customHeight="false" outlineLevel="0" collapsed="false">
      <c r="A3943" s="0" t="n">
        <v>47</v>
      </c>
      <c r="B3943" s="0" t="s">
        <v>62</v>
      </c>
      <c r="C3943" s="0" t="n">
        <v>2013</v>
      </c>
      <c r="D3943" s="0" t="n">
        <v>7</v>
      </c>
      <c r="E3943" s="38" t="n">
        <v>-32</v>
      </c>
    </row>
    <row r="3944" customFormat="false" ht="15" hidden="false" customHeight="false" outlineLevel="0" collapsed="false">
      <c r="A3944" s="0" t="n">
        <v>47</v>
      </c>
      <c r="B3944" s="0" t="s">
        <v>62</v>
      </c>
      <c r="C3944" s="0" t="n">
        <v>2013</v>
      </c>
      <c r="D3944" s="0" t="n">
        <v>8</v>
      </c>
      <c r="E3944" s="38" t="n">
        <v>-823.9</v>
      </c>
    </row>
    <row r="3945" customFormat="false" ht="15" hidden="false" customHeight="false" outlineLevel="0" collapsed="false">
      <c r="A3945" s="0" t="n">
        <v>48</v>
      </c>
      <c r="B3945" s="0" t="s">
        <v>60</v>
      </c>
      <c r="C3945" s="0" t="n">
        <v>2011</v>
      </c>
      <c r="D3945" s="0" t="n">
        <v>1</v>
      </c>
      <c r="E3945" s="38" t="n">
        <v>38180.26</v>
      </c>
    </row>
    <row r="3946" customFormat="false" ht="15" hidden="false" customHeight="false" outlineLevel="0" collapsed="false">
      <c r="A3946" s="0" t="n">
        <v>48</v>
      </c>
      <c r="B3946" s="0" t="s">
        <v>60</v>
      </c>
      <c r="C3946" s="0" t="n">
        <v>2011</v>
      </c>
      <c r="D3946" s="0" t="n">
        <v>2</v>
      </c>
      <c r="E3946" s="38" t="n">
        <v>26412.83</v>
      </c>
    </row>
    <row r="3947" customFormat="false" ht="15" hidden="false" customHeight="false" outlineLevel="0" collapsed="false">
      <c r="A3947" s="0" t="n">
        <v>48</v>
      </c>
      <c r="B3947" s="0" t="s">
        <v>60</v>
      </c>
      <c r="C3947" s="0" t="n">
        <v>2011</v>
      </c>
      <c r="D3947" s="0" t="n">
        <v>3</v>
      </c>
      <c r="E3947" s="38" t="n">
        <v>24120.94</v>
      </c>
    </row>
    <row r="3948" customFormat="false" ht="15" hidden="false" customHeight="false" outlineLevel="0" collapsed="false">
      <c r="A3948" s="0" t="n">
        <v>48</v>
      </c>
      <c r="B3948" s="0" t="s">
        <v>60</v>
      </c>
      <c r="C3948" s="0" t="n">
        <v>2011</v>
      </c>
      <c r="D3948" s="0" t="n">
        <v>4</v>
      </c>
      <c r="E3948" s="38" t="n">
        <v>18478.86</v>
      </c>
    </row>
    <row r="3949" customFormat="false" ht="15" hidden="false" customHeight="false" outlineLevel="0" collapsed="false">
      <c r="A3949" s="0" t="n">
        <v>48</v>
      </c>
      <c r="B3949" s="0" t="s">
        <v>60</v>
      </c>
      <c r="C3949" s="0" t="n">
        <v>2011</v>
      </c>
      <c r="D3949" s="0" t="n">
        <v>5</v>
      </c>
      <c r="E3949" s="38" t="n">
        <v>26114.55</v>
      </c>
    </row>
    <row r="3950" customFormat="false" ht="15" hidden="false" customHeight="false" outlineLevel="0" collapsed="false">
      <c r="A3950" s="0" t="n">
        <v>48</v>
      </c>
      <c r="B3950" s="0" t="s">
        <v>60</v>
      </c>
      <c r="C3950" s="0" t="n">
        <v>2011</v>
      </c>
      <c r="D3950" s="0" t="n">
        <v>6</v>
      </c>
      <c r="E3950" s="38" t="n">
        <v>22664.12</v>
      </c>
    </row>
    <row r="3951" customFormat="false" ht="15" hidden="false" customHeight="false" outlineLevel="0" collapsed="false">
      <c r="A3951" s="0" t="n">
        <v>48</v>
      </c>
      <c r="B3951" s="0" t="s">
        <v>60</v>
      </c>
      <c r="C3951" s="0" t="n">
        <v>2011</v>
      </c>
      <c r="D3951" s="0" t="n">
        <v>7</v>
      </c>
      <c r="E3951" s="38" t="n">
        <v>28461.3</v>
      </c>
    </row>
    <row r="3952" customFormat="false" ht="15" hidden="false" customHeight="false" outlineLevel="0" collapsed="false">
      <c r="A3952" s="0" t="n">
        <v>48</v>
      </c>
      <c r="B3952" s="0" t="s">
        <v>60</v>
      </c>
      <c r="C3952" s="0" t="n">
        <v>2011</v>
      </c>
      <c r="D3952" s="0" t="n">
        <v>8</v>
      </c>
      <c r="E3952" s="38" t="n">
        <v>43732.29</v>
      </c>
    </row>
    <row r="3953" customFormat="false" ht="15" hidden="false" customHeight="false" outlineLevel="0" collapsed="false">
      <c r="A3953" s="0" t="n">
        <v>48</v>
      </c>
      <c r="B3953" s="0" t="s">
        <v>60</v>
      </c>
      <c r="C3953" s="0" t="n">
        <v>2011</v>
      </c>
      <c r="D3953" s="0" t="n">
        <v>9</v>
      </c>
      <c r="E3953" s="38" t="n">
        <v>43306.09</v>
      </c>
    </row>
    <row r="3954" customFormat="false" ht="15" hidden="false" customHeight="false" outlineLevel="0" collapsed="false">
      <c r="A3954" s="0" t="n">
        <v>48</v>
      </c>
      <c r="B3954" s="0" t="s">
        <v>60</v>
      </c>
      <c r="C3954" s="0" t="n">
        <v>2011</v>
      </c>
      <c r="D3954" s="0" t="n">
        <v>10</v>
      </c>
      <c r="E3954" s="38" t="n">
        <v>55362.14</v>
      </c>
    </row>
    <row r="3955" customFormat="false" ht="15" hidden="false" customHeight="false" outlineLevel="0" collapsed="false">
      <c r="A3955" s="0" t="n">
        <v>48</v>
      </c>
      <c r="B3955" s="0" t="s">
        <v>60</v>
      </c>
      <c r="C3955" s="0" t="n">
        <v>2011</v>
      </c>
      <c r="D3955" s="0" t="n">
        <v>11</v>
      </c>
      <c r="E3955" s="38" t="n">
        <v>86246.98</v>
      </c>
    </row>
    <row r="3956" customFormat="false" ht="15" hidden="false" customHeight="false" outlineLevel="0" collapsed="false">
      <c r="A3956" s="0" t="n">
        <v>48</v>
      </c>
      <c r="B3956" s="0" t="s">
        <v>60</v>
      </c>
      <c r="C3956" s="0" t="n">
        <v>2011</v>
      </c>
      <c r="D3956" s="0" t="n">
        <v>12</v>
      </c>
      <c r="E3956" s="38" t="n">
        <v>25693.09</v>
      </c>
    </row>
    <row r="3957" customFormat="false" ht="15" hidden="false" customHeight="false" outlineLevel="0" collapsed="false">
      <c r="A3957" s="0" t="n">
        <v>48</v>
      </c>
      <c r="B3957" s="0" t="s">
        <v>60</v>
      </c>
      <c r="C3957" s="0" t="n">
        <v>2012</v>
      </c>
      <c r="D3957" s="0" t="n">
        <v>1</v>
      </c>
      <c r="E3957" s="38" t="n">
        <v>40388.99</v>
      </c>
    </row>
    <row r="3958" customFormat="false" ht="15" hidden="false" customHeight="false" outlineLevel="0" collapsed="false">
      <c r="A3958" s="0" t="n">
        <v>48</v>
      </c>
      <c r="B3958" s="0" t="s">
        <v>60</v>
      </c>
      <c r="C3958" s="0" t="n">
        <v>2012</v>
      </c>
      <c r="D3958" s="0" t="n">
        <v>2</v>
      </c>
      <c r="E3958" s="38" t="n">
        <v>40727.84</v>
      </c>
    </row>
    <row r="3959" customFormat="false" ht="15" hidden="false" customHeight="false" outlineLevel="0" collapsed="false">
      <c r="A3959" s="0" t="n">
        <v>48</v>
      </c>
      <c r="B3959" s="0" t="s">
        <v>60</v>
      </c>
      <c r="C3959" s="0" t="n">
        <v>2012</v>
      </c>
      <c r="D3959" s="0" t="n">
        <v>3</v>
      </c>
      <c r="E3959" s="38" t="n">
        <v>29536.58</v>
      </c>
    </row>
    <row r="3960" customFormat="false" ht="15" hidden="false" customHeight="false" outlineLevel="0" collapsed="false">
      <c r="A3960" s="0" t="n">
        <v>48</v>
      </c>
      <c r="B3960" s="0" t="s">
        <v>60</v>
      </c>
      <c r="C3960" s="0" t="n">
        <v>2012</v>
      </c>
      <c r="D3960" s="0" t="n">
        <v>4</v>
      </c>
      <c r="E3960" s="38" t="n">
        <v>32143.24</v>
      </c>
    </row>
    <row r="3961" customFormat="false" ht="15" hidden="false" customHeight="false" outlineLevel="0" collapsed="false">
      <c r="A3961" s="0" t="n">
        <v>48</v>
      </c>
      <c r="B3961" s="0" t="s">
        <v>60</v>
      </c>
      <c r="C3961" s="0" t="n">
        <v>2012</v>
      </c>
      <c r="D3961" s="0" t="n">
        <v>5</v>
      </c>
      <c r="E3961" s="38" t="n">
        <v>21805.6</v>
      </c>
    </row>
    <row r="3962" customFormat="false" ht="15" hidden="false" customHeight="false" outlineLevel="0" collapsed="false">
      <c r="A3962" s="0" t="n">
        <v>48</v>
      </c>
      <c r="B3962" s="0" t="s">
        <v>60</v>
      </c>
      <c r="C3962" s="0" t="n">
        <v>2012</v>
      </c>
      <c r="D3962" s="0" t="n">
        <v>6</v>
      </c>
      <c r="E3962" s="38" t="n">
        <v>18655</v>
      </c>
    </row>
    <row r="3963" customFormat="false" ht="15" hidden="false" customHeight="false" outlineLevel="0" collapsed="false">
      <c r="A3963" s="0" t="n">
        <v>48</v>
      </c>
      <c r="B3963" s="0" t="s">
        <v>60</v>
      </c>
      <c r="C3963" s="0" t="n">
        <v>2012</v>
      </c>
      <c r="D3963" s="0" t="n">
        <v>7</v>
      </c>
      <c r="E3963" s="38" t="n">
        <v>39228.56</v>
      </c>
    </row>
    <row r="3964" customFormat="false" ht="15" hidden="false" customHeight="false" outlineLevel="0" collapsed="false">
      <c r="A3964" s="0" t="n">
        <v>48</v>
      </c>
      <c r="B3964" s="0" t="s">
        <v>60</v>
      </c>
      <c r="C3964" s="0" t="n">
        <v>2012</v>
      </c>
      <c r="D3964" s="0" t="n">
        <v>8</v>
      </c>
      <c r="E3964" s="38" t="n">
        <v>53470.7</v>
      </c>
    </row>
    <row r="3965" customFormat="false" ht="15" hidden="false" customHeight="false" outlineLevel="0" collapsed="false">
      <c r="A3965" s="0" t="n">
        <v>48</v>
      </c>
      <c r="B3965" s="0" t="s">
        <v>60</v>
      </c>
      <c r="C3965" s="0" t="n">
        <v>2012</v>
      </c>
      <c r="D3965" s="0" t="n">
        <v>9</v>
      </c>
      <c r="E3965" s="38" t="n">
        <v>64476.68</v>
      </c>
    </row>
    <row r="3966" customFormat="false" ht="15" hidden="false" customHeight="false" outlineLevel="0" collapsed="false">
      <c r="A3966" s="0" t="n">
        <v>48</v>
      </c>
      <c r="B3966" s="0" t="s">
        <v>60</v>
      </c>
      <c r="C3966" s="0" t="n">
        <v>2012</v>
      </c>
      <c r="D3966" s="0" t="n">
        <v>10</v>
      </c>
      <c r="E3966" s="38" t="n">
        <v>93813.51</v>
      </c>
    </row>
    <row r="3967" customFormat="false" ht="15" hidden="false" customHeight="false" outlineLevel="0" collapsed="false">
      <c r="A3967" s="0" t="n">
        <v>48</v>
      </c>
      <c r="B3967" s="0" t="s">
        <v>60</v>
      </c>
      <c r="C3967" s="0" t="n">
        <v>2012</v>
      </c>
      <c r="D3967" s="0" t="n">
        <v>11</v>
      </c>
      <c r="E3967" s="38" t="n">
        <v>117308.12</v>
      </c>
    </row>
    <row r="3968" customFormat="false" ht="15" hidden="false" customHeight="false" outlineLevel="0" collapsed="false">
      <c r="A3968" s="0" t="n">
        <v>48</v>
      </c>
      <c r="B3968" s="0" t="s">
        <v>60</v>
      </c>
      <c r="C3968" s="0" t="n">
        <v>2012</v>
      </c>
      <c r="D3968" s="0" t="n">
        <v>12</v>
      </c>
      <c r="E3968" s="38" t="n">
        <v>44468.63</v>
      </c>
    </row>
    <row r="3969" customFormat="false" ht="15" hidden="false" customHeight="false" outlineLevel="0" collapsed="false">
      <c r="A3969" s="0" t="n">
        <v>48</v>
      </c>
      <c r="B3969" s="0" t="s">
        <v>60</v>
      </c>
      <c r="C3969" s="0" t="n">
        <v>2013</v>
      </c>
      <c r="D3969" s="0" t="n">
        <v>1</v>
      </c>
      <c r="E3969" s="38" t="n">
        <v>74612.01</v>
      </c>
    </row>
    <row r="3970" customFormat="false" ht="15" hidden="false" customHeight="false" outlineLevel="0" collapsed="false">
      <c r="A3970" s="0" t="n">
        <v>48</v>
      </c>
      <c r="B3970" s="0" t="s">
        <v>60</v>
      </c>
      <c r="C3970" s="0" t="n">
        <v>2013</v>
      </c>
      <c r="D3970" s="0" t="n">
        <v>2</v>
      </c>
      <c r="E3970" s="38" t="n">
        <v>69632.03</v>
      </c>
    </row>
    <row r="3971" customFormat="false" ht="15" hidden="false" customHeight="false" outlineLevel="0" collapsed="false">
      <c r="A3971" s="0" t="n">
        <v>48</v>
      </c>
      <c r="B3971" s="0" t="s">
        <v>60</v>
      </c>
      <c r="C3971" s="0" t="n">
        <v>2013</v>
      </c>
      <c r="D3971" s="0" t="n">
        <v>3</v>
      </c>
      <c r="E3971" s="38" t="n">
        <v>57147.41</v>
      </c>
    </row>
    <row r="3972" customFormat="false" ht="15" hidden="false" customHeight="false" outlineLevel="0" collapsed="false">
      <c r="A3972" s="0" t="n">
        <v>48</v>
      </c>
      <c r="B3972" s="0" t="s">
        <v>60</v>
      </c>
      <c r="C3972" s="0" t="n">
        <v>2013</v>
      </c>
      <c r="D3972" s="0" t="n">
        <v>4</v>
      </c>
      <c r="E3972" s="38" t="n">
        <v>43465.69</v>
      </c>
    </row>
    <row r="3973" customFormat="false" ht="15" hidden="false" customHeight="false" outlineLevel="0" collapsed="false">
      <c r="A3973" s="0" t="n">
        <v>48</v>
      </c>
      <c r="B3973" s="0" t="s">
        <v>60</v>
      </c>
      <c r="C3973" s="0" t="n">
        <v>2013</v>
      </c>
      <c r="D3973" s="0" t="n">
        <v>5</v>
      </c>
      <c r="E3973" s="38" t="n">
        <v>44510.01</v>
      </c>
    </row>
    <row r="3974" customFormat="false" ht="15" hidden="false" customHeight="false" outlineLevel="0" collapsed="false">
      <c r="A3974" s="0" t="n">
        <v>48</v>
      </c>
      <c r="B3974" s="0" t="s">
        <v>60</v>
      </c>
      <c r="C3974" s="0" t="n">
        <v>2013</v>
      </c>
      <c r="D3974" s="0" t="n">
        <v>6</v>
      </c>
      <c r="E3974" s="38" t="n">
        <v>47448.98</v>
      </c>
    </row>
    <row r="3975" customFormat="false" ht="15" hidden="false" customHeight="false" outlineLevel="0" collapsed="false">
      <c r="A3975" s="0" t="n">
        <v>48</v>
      </c>
      <c r="B3975" s="0" t="s">
        <v>60</v>
      </c>
      <c r="C3975" s="0" t="n">
        <v>2013</v>
      </c>
      <c r="D3975" s="0" t="n">
        <v>7</v>
      </c>
      <c r="E3975" s="38" t="n">
        <v>61477.28</v>
      </c>
    </row>
    <row r="3976" customFormat="false" ht="15" hidden="false" customHeight="false" outlineLevel="0" collapsed="false">
      <c r="A3976" s="0" t="n">
        <v>48</v>
      </c>
      <c r="B3976" s="0" t="s">
        <v>60</v>
      </c>
      <c r="C3976" s="0" t="n">
        <v>2013</v>
      </c>
      <c r="D3976" s="0" t="n">
        <v>8</v>
      </c>
      <c r="E3976" s="38" t="n">
        <v>110015.58</v>
      </c>
    </row>
    <row r="3977" customFormat="false" ht="15" hidden="false" customHeight="false" outlineLevel="0" collapsed="false">
      <c r="A3977" s="0" t="n">
        <v>48</v>
      </c>
      <c r="B3977" s="0" t="s">
        <v>62</v>
      </c>
      <c r="C3977" s="0" t="n">
        <v>2011</v>
      </c>
      <c r="D3977" s="0" t="n">
        <v>1</v>
      </c>
      <c r="E3977" s="38" t="n">
        <v>12977.21</v>
      </c>
    </row>
    <row r="3978" customFormat="false" ht="15" hidden="false" customHeight="false" outlineLevel="0" collapsed="false">
      <c r="A3978" s="0" t="n">
        <v>48</v>
      </c>
      <c r="B3978" s="0" t="s">
        <v>62</v>
      </c>
      <c r="C3978" s="0" t="n">
        <v>2011</v>
      </c>
      <c r="D3978" s="0" t="n">
        <v>2</v>
      </c>
      <c r="E3978" s="38" t="n">
        <v>13109.83</v>
      </c>
    </row>
    <row r="3979" customFormat="false" ht="15" hidden="false" customHeight="false" outlineLevel="0" collapsed="false">
      <c r="A3979" s="0" t="n">
        <v>48</v>
      </c>
      <c r="B3979" s="0" t="s">
        <v>62</v>
      </c>
      <c r="C3979" s="0" t="n">
        <v>2011</v>
      </c>
      <c r="D3979" s="0" t="n">
        <v>3</v>
      </c>
      <c r="E3979" s="38" t="n">
        <v>9904.57</v>
      </c>
    </row>
    <row r="3980" customFormat="false" ht="15" hidden="false" customHeight="false" outlineLevel="0" collapsed="false">
      <c r="A3980" s="0" t="n">
        <v>48</v>
      </c>
      <c r="B3980" s="0" t="s">
        <v>62</v>
      </c>
      <c r="C3980" s="0" t="n">
        <v>2011</v>
      </c>
      <c r="D3980" s="0" t="n">
        <v>4</v>
      </c>
      <c r="E3980" s="38" t="n">
        <v>9527.53</v>
      </c>
    </row>
    <row r="3981" customFormat="false" ht="15" hidden="false" customHeight="false" outlineLevel="0" collapsed="false">
      <c r="A3981" s="0" t="n">
        <v>48</v>
      </c>
      <c r="B3981" s="0" t="s">
        <v>62</v>
      </c>
      <c r="C3981" s="0" t="n">
        <v>2011</v>
      </c>
      <c r="D3981" s="0" t="n">
        <v>5</v>
      </c>
      <c r="E3981" s="38" t="n">
        <v>8392.43</v>
      </c>
    </row>
    <row r="3982" customFormat="false" ht="15" hidden="false" customHeight="false" outlineLevel="0" collapsed="false">
      <c r="A3982" s="0" t="n">
        <v>48</v>
      </c>
      <c r="B3982" s="0" t="s">
        <v>62</v>
      </c>
      <c r="C3982" s="0" t="n">
        <v>2011</v>
      </c>
      <c r="D3982" s="0" t="n">
        <v>6</v>
      </c>
      <c r="E3982" s="38" t="n">
        <v>11402.14</v>
      </c>
    </row>
    <row r="3983" customFormat="false" ht="15" hidden="false" customHeight="false" outlineLevel="0" collapsed="false">
      <c r="A3983" s="0" t="n">
        <v>48</v>
      </c>
      <c r="B3983" s="0" t="s">
        <v>62</v>
      </c>
      <c r="C3983" s="0" t="n">
        <v>2011</v>
      </c>
      <c r="D3983" s="0" t="n">
        <v>7</v>
      </c>
      <c r="E3983" s="38" t="n">
        <v>12697.58</v>
      </c>
    </row>
    <row r="3984" customFormat="false" ht="15" hidden="false" customHeight="false" outlineLevel="0" collapsed="false">
      <c r="A3984" s="0" t="n">
        <v>48</v>
      </c>
      <c r="B3984" s="0" t="s">
        <v>62</v>
      </c>
      <c r="C3984" s="0" t="n">
        <v>2011</v>
      </c>
      <c r="D3984" s="0" t="n">
        <v>8</v>
      </c>
      <c r="E3984" s="38" t="n">
        <v>15856.44</v>
      </c>
    </row>
    <row r="3985" customFormat="false" ht="15" hidden="false" customHeight="false" outlineLevel="0" collapsed="false">
      <c r="A3985" s="0" t="n">
        <v>48</v>
      </c>
      <c r="B3985" s="0" t="s">
        <v>62</v>
      </c>
      <c r="C3985" s="0" t="n">
        <v>2011</v>
      </c>
      <c r="D3985" s="0" t="n">
        <v>9</v>
      </c>
      <c r="E3985" s="38" t="n">
        <v>18194.33</v>
      </c>
    </row>
    <row r="3986" customFormat="false" ht="15" hidden="false" customHeight="false" outlineLevel="0" collapsed="false">
      <c r="A3986" s="0" t="n">
        <v>48</v>
      </c>
      <c r="B3986" s="0" t="s">
        <v>62</v>
      </c>
      <c r="C3986" s="0" t="n">
        <v>2011</v>
      </c>
      <c r="D3986" s="0" t="n">
        <v>10</v>
      </c>
      <c r="E3986" s="38" t="n">
        <v>16779.47</v>
      </c>
    </row>
    <row r="3987" customFormat="false" ht="15" hidden="false" customHeight="false" outlineLevel="0" collapsed="false">
      <c r="A3987" s="0" t="n">
        <v>48</v>
      </c>
      <c r="B3987" s="0" t="s">
        <v>62</v>
      </c>
      <c r="C3987" s="0" t="n">
        <v>2011</v>
      </c>
      <c r="D3987" s="0" t="n">
        <v>11</v>
      </c>
      <c r="E3987" s="38" t="n">
        <v>22899.09</v>
      </c>
    </row>
    <row r="3988" customFormat="false" ht="15" hidden="false" customHeight="false" outlineLevel="0" collapsed="false">
      <c r="A3988" s="0" t="n">
        <v>48</v>
      </c>
      <c r="B3988" s="0" t="s">
        <v>62</v>
      </c>
      <c r="C3988" s="0" t="n">
        <v>2011</v>
      </c>
      <c r="D3988" s="0" t="n">
        <v>12</v>
      </c>
      <c r="E3988" s="38" t="n">
        <v>11118.51</v>
      </c>
    </row>
    <row r="3989" customFormat="false" ht="15" hidden="false" customHeight="false" outlineLevel="0" collapsed="false">
      <c r="A3989" s="0" t="n">
        <v>48</v>
      </c>
      <c r="B3989" s="0" t="s">
        <v>62</v>
      </c>
      <c r="C3989" s="0" t="n">
        <v>2012</v>
      </c>
      <c r="D3989" s="0" t="n">
        <v>1</v>
      </c>
      <c r="E3989" s="38" t="n">
        <v>10849.71</v>
      </c>
    </row>
    <row r="3990" customFormat="false" ht="15" hidden="false" customHeight="false" outlineLevel="0" collapsed="false">
      <c r="A3990" s="0" t="n">
        <v>48</v>
      </c>
      <c r="B3990" s="0" t="s">
        <v>62</v>
      </c>
      <c r="C3990" s="0" t="n">
        <v>2012</v>
      </c>
      <c r="D3990" s="0" t="n">
        <v>2</v>
      </c>
      <c r="E3990" s="38" t="n">
        <v>13012.86</v>
      </c>
    </row>
    <row r="3991" customFormat="false" ht="15" hidden="false" customHeight="false" outlineLevel="0" collapsed="false">
      <c r="A3991" s="0" t="n">
        <v>48</v>
      </c>
      <c r="B3991" s="0" t="s">
        <v>62</v>
      </c>
      <c r="C3991" s="0" t="n">
        <v>2012</v>
      </c>
      <c r="D3991" s="0" t="n">
        <v>3</v>
      </c>
      <c r="E3991" s="38" t="n">
        <v>10602.01</v>
      </c>
    </row>
    <row r="3992" customFormat="false" ht="15" hidden="false" customHeight="false" outlineLevel="0" collapsed="false">
      <c r="A3992" s="0" t="n">
        <v>48</v>
      </c>
      <c r="B3992" s="0" t="s">
        <v>62</v>
      </c>
      <c r="C3992" s="0" t="n">
        <v>2012</v>
      </c>
      <c r="D3992" s="0" t="n">
        <v>4</v>
      </c>
      <c r="E3992" s="38" t="n">
        <v>13421.44</v>
      </c>
    </row>
    <row r="3993" customFormat="false" ht="15" hidden="false" customHeight="false" outlineLevel="0" collapsed="false">
      <c r="A3993" s="0" t="n">
        <v>48</v>
      </c>
      <c r="B3993" s="0" t="s">
        <v>62</v>
      </c>
      <c r="C3993" s="0" t="n">
        <v>2012</v>
      </c>
      <c r="D3993" s="0" t="n">
        <v>5</v>
      </c>
      <c r="E3993" s="38" t="n">
        <v>11895.13</v>
      </c>
    </row>
    <row r="3994" customFormat="false" ht="15" hidden="false" customHeight="false" outlineLevel="0" collapsed="false">
      <c r="A3994" s="0" t="n">
        <v>48</v>
      </c>
      <c r="B3994" s="0" t="s">
        <v>62</v>
      </c>
      <c r="C3994" s="0" t="n">
        <v>2012</v>
      </c>
      <c r="D3994" s="0" t="n">
        <v>6</v>
      </c>
      <c r="E3994" s="38" t="n">
        <v>10389.56</v>
      </c>
    </row>
    <row r="3995" customFormat="false" ht="15" hidden="false" customHeight="false" outlineLevel="0" collapsed="false">
      <c r="A3995" s="0" t="n">
        <v>48</v>
      </c>
      <c r="B3995" s="0" t="s">
        <v>62</v>
      </c>
      <c r="C3995" s="0" t="n">
        <v>2012</v>
      </c>
      <c r="D3995" s="0" t="n">
        <v>7</v>
      </c>
      <c r="E3995" s="38" t="n">
        <v>15268.43</v>
      </c>
    </row>
    <row r="3996" customFormat="false" ht="15" hidden="false" customHeight="false" outlineLevel="0" collapsed="false">
      <c r="A3996" s="0" t="n">
        <v>48</v>
      </c>
      <c r="B3996" s="0" t="s">
        <v>62</v>
      </c>
      <c r="C3996" s="0" t="n">
        <v>2012</v>
      </c>
      <c r="D3996" s="0" t="n">
        <v>8</v>
      </c>
      <c r="E3996" s="38" t="n">
        <v>17736.29</v>
      </c>
    </row>
    <row r="3997" customFormat="false" ht="15" hidden="false" customHeight="false" outlineLevel="0" collapsed="false">
      <c r="A3997" s="0" t="n">
        <v>48</v>
      </c>
      <c r="B3997" s="0" t="s">
        <v>62</v>
      </c>
      <c r="C3997" s="0" t="n">
        <v>2012</v>
      </c>
      <c r="D3997" s="0" t="n">
        <v>9</v>
      </c>
      <c r="E3997" s="38" t="n">
        <v>26189.69</v>
      </c>
    </row>
    <row r="3998" customFormat="false" ht="15" hidden="false" customHeight="false" outlineLevel="0" collapsed="false">
      <c r="A3998" s="0" t="n">
        <v>48</v>
      </c>
      <c r="B3998" s="0" t="s">
        <v>62</v>
      </c>
      <c r="C3998" s="0" t="n">
        <v>2012</v>
      </c>
      <c r="D3998" s="0" t="n">
        <v>10</v>
      </c>
      <c r="E3998" s="38" t="n">
        <v>31672.28</v>
      </c>
    </row>
    <row r="3999" customFormat="false" ht="15" hidden="false" customHeight="false" outlineLevel="0" collapsed="false">
      <c r="A3999" s="0" t="n">
        <v>48</v>
      </c>
      <c r="B3999" s="0" t="s">
        <v>62</v>
      </c>
      <c r="C3999" s="0" t="n">
        <v>2012</v>
      </c>
      <c r="D3999" s="0" t="n">
        <v>11</v>
      </c>
      <c r="E3999" s="38" t="n">
        <v>39400.59</v>
      </c>
    </row>
    <row r="4000" customFormat="false" ht="15" hidden="false" customHeight="false" outlineLevel="0" collapsed="false">
      <c r="A4000" s="0" t="n">
        <v>48</v>
      </c>
      <c r="B4000" s="0" t="s">
        <v>62</v>
      </c>
      <c r="C4000" s="0" t="n">
        <v>2012</v>
      </c>
      <c r="D4000" s="0" t="n">
        <v>12</v>
      </c>
      <c r="E4000" s="38" t="n">
        <v>16902.11</v>
      </c>
    </row>
    <row r="4001" customFormat="false" ht="15" hidden="false" customHeight="false" outlineLevel="0" collapsed="false">
      <c r="A4001" s="0" t="n">
        <v>48</v>
      </c>
      <c r="B4001" s="0" t="s">
        <v>62</v>
      </c>
      <c r="C4001" s="0" t="n">
        <v>2013</v>
      </c>
      <c r="D4001" s="0" t="n">
        <v>1</v>
      </c>
      <c r="E4001" s="38" t="n">
        <v>17416.15</v>
      </c>
    </row>
    <row r="4002" customFormat="false" ht="15" hidden="false" customHeight="false" outlineLevel="0" collapsed="false">
      <c r="A4002" s="0" t="n">
        <v>48</v>
      </c>
      <c r="B4002" s="0" t="s">
        <v>62</v>
      </c>
      <c r="C4002" s="0" t="n">
        <v>2013</v>
      </c>
      <c r="D4002" s="0" t="n">
        <v>2</v>
      </c>
      <c r="E4002" s="38" t="n">
        <v>33739</v>
      </c>
    </row>
    <row r="4003" customFormat="false" ht="15" hidden="false" customHeight="false" outlineLevel="0" collapsed="false">
      <c r="A4003" s="0" t="n">
        <v>48</v>
      </c>
      <c r="B4003" s="0" t="s">
        <v>62</v>
      </c>
      <c r="C4003" s="0" t="n">
        <v>2013</v>
      </c>
      <c r="D4003" s="0" t="n">
        <v>3</v>
      </c>
      <c r="E4003" s="38" t="n">
        <v>25998.85</v>
      </c>
    </row>
    <row r="4004" customFormat="false" ht="15" hidden="false" customHeight="false" outlineLevel="0" collapsed="false">
      <c r="A4004" s="0" t="n">
        <v>48</v>
      </c>
      <c r="B4004" s="0" t="s">
        <v>62</v>
      </c>
      <c r="C4004" s="0" t="n">
        <v>2013</v>
      </c>
      <c r="D4004" s="0" t="n">
        <v>4</v>
      </c>
      <c r="E4004" s="38" t="n">
        <v>31642.29</v>
      </c>
    </row>
    <row r="4005" customFormat="false" ht="15" hidden="false" customHeight="false" outlineLevel="0" collapsed="false">
      <c r="A4005" s="0" t="n">
        <v>48</v>
      </c>
      <c r="B4005" s="0" t="s">
        <v>62</v>
      </c>
      <c r="C4005" s="0" t="n">
        <v>2013</v>
      </c>
      <c r="D4005" s="0" t="n">
        <v>5</v>
      </c>
      <c r="E4005" s="38" t="n">
        <v>21758.86</v>
      </c>
    </row>
    <row r="4006" customFormat="false" ht="15" hidden="false" customHeight="false" outlineLevel="0" collapsed="false">
      <c r="A4006" s="0" t="n">
        <v>48</v>
      </c>
      <c r="B4006" s="0" t="s">
        <v>62</v>
      </c>
      <c r="C4006" s="0" t="n">
        <v>2013</v>
      </c>
      <c r="D4006" s="0" t="n">
        <v>6</v>
      </c>
      <c r="E4006" s="38" t="n">
        <v>36749.35</v>
      </c>
    </row>
    <row r="4007" customFormat="false" ht="15" hidden="false" customHeight="false" outlineLevel="0" collapsed="false">
      <c r="A4007" s="0" t="n">
        <v>48</v>
      </c>
      <c r="B4007" s="0" t="s">
        <v>62</v>
      </c>
      <c r="C4007" s="0" t="n">
        <v>2013</v>
      </c>
      <c r="D4007" s="0" t="n">
        <v>7</v>
      </c>
      <c r="E4007" s="38" t="n">
        <v>40677.34</v>
      </c>
    </row>
    <row r="4008" customFormat="false" ht="15" hidden="false" customHeight="false" outlineLevel="0" collapsed="false">
      <c r="A4008" s="0" t="n">
        <v>48</v>
      </c>
      <c r="B4008" s="0" t="s">
        <v>62</v>
      </c>
      <c r="C4008" s="0" t="n">
        <v>2013</v>
      </c>
      <c r="D4008" s="0" t="n">
        <v>8</v>
      </c>
      <c r="E4008" s="38" t="n">
        <v>52835.86</v>
      </c>
    </row>
    <row r="4009" customFormat="false" ht="15" hidden="false" customHeight="false" outlineLevel="0" collapsed="false">
      <c r="A4009" s="0" t="n">
        <v>49</v>
      </c>
      <c r="B4009" s="0" t="s">
        <v>60</v>
      </c>
      <c r="C4009" s="0" t="n">
        <v>2011</v>
      </c>
      <c r="D4009" s="0" t="n">
        <v>1</v>
      </c>
      <c r="E4009" s="38" t="n">
        <v>811837.88</v>
      </c>
    </row>
    <row r="4010" customFormat="false" ht="15" hidden="false" customHeight="false" outlineLevel="0" collapsed="false">
      <c r="A4010" s="0" t="n">
        <v>49</v>
      </c>
      <c r="B4010" s="0" t="s">
        <v>60</v>
      </c>
      <c r="C4010" s="0" t="n">
        <v>2011</v>
      </c>
      <c r="D4010" s="0" t="n">
        <v>2</v>
      </c>
      <c r="E4010" s="38" t="n">
        <v>848061.41</v>
      </c>
    </row>
    <row r="4011" customFormat="false" ht="15" hidden="false" customHeight="false" outlineLevel="0" collapsed="false">
      <c r="A4011" s="0" t="n">
        <v>49</v>
      </c>
      <c r="B4011" s="0" t="s">
        <v>60</v>
      </c>
      <c r="C4011" s="0" t="n">
        <v>2011</v>
      </c>
      <c r="D4011" s="0" t="n">
        <v>3</v>
      </c>
      <c r="E4011" s="38" t="n">
        <v>700251.97</v>
      </c>
    </row>
    <row r="4012" customFormat="false" ht="15" hidden="false" customHeight="false" outlineLevel="0" collapsed="false">
      <c r="A4012" s="0" t="n">
        <v>49</v>
      </c>
      <c r="B4012" s="0" t="s">
        <v>60</v>
      </c>
      <c r="C4012" s="0" t="n">
        <v>2011</v>
      </c>
      <c r="D4012" s="0" t="n">
        <v>4</v>
      </c>
      <c r="E4012" s="38" t="n">
        <v>709174.74</v>
      </c>
    </row>
    <row r="4013" customFormat="false" ht="15" hidden="false" customHeight="false" outlineLevel="0" collapsed="false">
      <c r="A4013" s="0" t="n">
        <v>49</v>
      </c>
      <c r="B4013" s="0" t="s">
        <v>60</v>
      </c>
      <c r="C4013" s="0" t="n">
        <v>2011</v>
      </c>
      <c r="D4013" s="0" t="n">
        <v>5</v>
      </c>
      <c r="E4013" s="38" t="n">
        <v>675531.37</v>
      </c>
    </row>
    <row r="4014" customFormat="false" ht="15" hidden="false" customHeight="false" outlineLevel="0" collapsed="false">
      <c r="A4014" s="0" t="n">
        <v>49</v>
      </c>
      <c r="B4014" s="0" t="s">
        <v>60</v>
      </c>
      <c r="C4014" s="0" t="n">
        <v>2011</v>
      </c>
      <c r="D4014" s="0" t="n">
        <v>6</v>
      </c>
      <c r="E4014" s="38" t="n">
        <v>724849.78</v>
      </c>
    </row>
    <row r="4015" customFormat="false" ht="15" hidden="false" customHeight="false" outlineLevel="0" collapsed="false">
      <c r="A4015" s="0" t="n">
        <v>49</v>
      </c>
      <c r="B4015" s="0" t="s">
        <v>60</v>
      </c>
      <c r="C4015" s="0" t="n">
        <v>2011</v>
      </c>
      <c r="D4015" s="0" t="n">
        <v>7</v>
      </c>
      <c r="E4015" s="38" t="n">
        <v>782646.67</v>
      </c>
    </row>
    <row r="4016" customFormat="false" ht="15" hidden="false" customHeight="false" outlineLevel="0" collapsed="false">
      <c r="A4016" s="0" t="n">
        <v>49</v>
      </c>
      <c r="B4016" s="0" t="s">
        <v>60</v>
      </c>
      <c r="C4016" s="0" t="n">
        <v>2011</v>
      </c>
      <c r="D4016" s="0" t="n">
        <v>8</v>
      </c>
      <c r="E4016" s="38" t="n">
        <v>679390.43</v>
      </c>
    </row>
    <row r="4017" customFormat="false" ht="15" hidden="false" customHeight="false" outlineLevel="0" collapsed="false">
      <c r="A4017" s="0" t="n">
        <v>49</v>
      </c>
      <c r="B4017" s="0" t="s">
        <v>60</v>
      </c>
      <c r="C4017" s="0" t="n">
        <v>2011</v>
      </c>
      <c r="D4017" s="0" t="n">
        <v>9</v>
      </c>
      <c r="E4017" s="38" t="n">
        <v>654891.08</v>
      </c>
    </row>
    <row r="4018" customFormat="false" ht="15" hidden="false" customHeight="false" outlineLevel="0" collapsed="false">
      <c r="A4018" s="0" t="n">
        <v>49</v>
      </c>
      <c r="B4018" s="0" t="s">
        <v>60</v>
      </c>
      <c r="C4018" s="0" t="n">
        <v>2011</v>
      </c>
      <c r="D4018" s="0" t="n">
        <v>10</v>
      </c>
      <c r="E4018" s="38" t="n">
        <v>628648.34</v>
      </c>
    </row>
    <row r="4019" customFormat="false" ht="15" hidden="false" customHeight="false" outlineLevel="0" collapsed="false">
      <c r="A4019" s="0" t="n">
        <v>49</v>
      </c>
      <c r="B4019" s="0" t="s">
        <v>60</v>
      </c>
      <c r="C4019" s="0" t="n">
        <v>2011</v>
      </c>
      <c r="D4019" s="0" t="n">
        <v>11</v>
      </c>
      <c r="E4019" s="38" t="n">
        <v>638897.35</v>
      </c>
    </row>
    <row r="4020" customFormat="false" ht="15" hidden="false" customHeight="false" outlineLevel="0" collapsed="false">
      <c r="A4020" s="0" t="n">
        <v>49</v>
      </c>
      <c r="B4020" s="0" t="s">
        <v>60</v>
      </c>
      <c r="C4020" s="0" t="n">
        <v>2011</v>
      </c>
      <c r="D4020" s="0" t="n">
        <v>12</v>
      </c>
      <c r="E4020" s="38" t="n">
        <v>717247.11</v>
      </c>
    </row>
    <row r="4021" customFormat="false" ht="15" hidden="false" customHeight="false" outlineLevel="0" collapsed="false">
      <c r="A4021" s="0" t="n">
        <v>49</v>
      </c>
      <c r="B4021" s="0" t="s">
        <v>60</v>
      </c>
      <c r="C4021" s="0" t="n">
        <v>2012</v>
      </c>
      <c r="D4021" s="0" t="n">
        <v>1</v>
      </c>
      <c r="E4021" s="38" t="n">
        <v>783822.7</v>
      </c>
    </row>
    <row r="4022" customFormat="false" ht="15" hidden="false" customHeight="false" outlineLevel="0" collapsed="false">
      <c r="A4022" s="0" t="n">
        <v>49</v>
      </c>
      <c r="B4022" s="0" t="s">
        <v>60</v>
      </c>
      <c r="C4022" s="0" t="n">
        <v>2012</v>
      </c>
      <c r="D4022" s="0" t="n">
        <v>2</v>
      </c>
      <c r="E4022" s="38" t="n">
        <v>872799.08</v>
      </c>
    </row>
    <row r="4023" customFormat="false" ht="15" hidden="false" customHeight="false" outlineLevel="0" collapsed="false">
      <c r="A4023" s="0" t="n">
        <v>49</v>
      </c>
      <c r="B4023" s="0" t="s">
        <v>60</v>
      </c>
      <c r="C4023" s="0" t="n">
        <v>2012</v>
      </c>
      <c r="D4023" s="0" t="n">
        <v>3</v>
      </c>
      <c r="E4023" s="38" t="n">
        <v>704305.94</v>
      </c>
    </row>
    <row r="4024" customFormat="false" ht="15" hidden="false" customHeight="false" outlineLevel="0" collapsed="false">
      <c r="A4024" s="0" t="n">
        <v>49</v>
      </c>
      <c r="B4024" s="0" t="s">
        <v>60</v>
      </c>
      <c r="C4024" s="0" t="n">
        <v>2012</v>
      </c>
      <c r="D4024" s="0" t="n">
        <v>4</v>
      </c>
      <c r="E4024" s="38" t="n">
        <v>734327.46</v>
      </c>
    </row>
    <row r="4025" customFormat="false" ht="15" hidden="false" customHeight="false" outlineLevel="0" collapsed="false">
      <c r="A4025" s="0" t="n">
        <v>49</v>
      </c>
      <c r="B4025" s="0" t="s">
        <v>60</v>
      </c>
      <c r="C4025" s="0" t="n">
        <v>2012</v>
      </c>
      <c r="D4025" s="0" t="n">
        <v>5</v>
      </c>
      <c r="E4025" s="38" t="n">
        <v>709346.48</v>
      </c>
    </row>
    <row r="4026" customFormat="false" ht="15" hidden="false" customHeight="false" outlineLevel="0" collapsed="false">
      <c r="A4026" s="0" t="n">
        <v>49</v>
      </c>
      <c r="B4026" s="0" t="s">
        <v>60</v>
      </c>
      <c r="C4026" s="0" t="n">
        <v>2012</v>
      </c>
      <c r="D4026" s="0" t="n">
        <v>6</v>
      </c>
      <c r="E4026" s="38" t="n">
        <v>733675.52</v>
      </c>
    </row>
    <row r="4027" customFormat="false" ht="15" hidden="false" customHeight="false" outlineLevel="0" collapsed="false">
      <c r="A4027" s="0" t="n">
        <v>49</v>
      </c>
      <c r="B4027" s="0" t="s">
        <v>60</v>
      </c>
      <c r="C4027" s="0" t="n">
        <v>2012</v>
      </c>
      <c r="D4027" s="0" t="n">
        <v>7</v>
      </c>
      <c r="E4027" s="38" t="n">
        <v>806182.12</v>
      </c>
    </row>
    <row r="4028" customFormat="false" ht="15" hidden="false" customHeight="false" outlineLevel="0" collapsed="false">
      <c r="A4028" s="0" t="n">
        <v>49</v>
      </c>
      <c r="B4028" s="0" t="s">
        <v>60</v>
      </c>
      <c r="C4028" s="0" t="n">
        <v>2012</v>
      </c>
      <c r="D4028" s="0" t="n">
        <v>8</v>
      </c>
      <c r="E4028" s="38" t="n">
        <v>692412.25</v>
      </c>
    </row>
    <row r="4029" customFormat="false" ht="15" hidden="false" customHeight="false" outlineLevel="0" collapsed="false">
      <c r="A4029" s="0" t="n">
        <v>49</v>
      </c>
      <c r="B4029" s="0" t="s">
        <v>60</v>
      </c>
      <c r="C4029" s="0" t="n">
        <v>2012</v>
      </c>
      <c r="D4029" s="0" t="n">
        <v>9</v>
      </c>
      <c r="E4029" s="38" t="n">
        <v>686117.09</v>
      </c>
    </row>
    <row r="4030" customFormat="false" ht="15" hidden="false" customHeight="false" outlineLevel="0" collapsed="false">
      <c r="A4030" s="0" t="n">
        <v>49</v>
      </c>
      <c r="B4030" s="0" t="s">
        <v>60</v>
      </c>
      <c r="C4030" s="0" t="n">
        <v>2012</v>
      </c>
      <c r="D4030" s="0" t="n">
        <v>10</v>
      </c>
      <c r="E4030" s="38" t="n">
        <v>602994.6</v>
      </c>
    </row>
    <row r="4031" customFormat="false" ht="15" hidden="false" customHeight="false" outlineLevel="0" collapsed="false">
      <c r="A4031" s="0" t="n">
        <v>49</v>
      </c>
      <c r="B4031" s="0" t="s">
        <v>60</v>
      </c>
      <c r="C4031" s="0" t="n">
        <v>2012</v>
      </c>
      <c r="D4031" s="0" t="n">
        <v>11</v>
      </c>
      <c r="E4031" s="38" t="n">
        <v>657443.47</v>
      </c>
    </row>
    <row r="4032" customFormat="false" ht="15" hidden="false" customHeight="false" outlineLevel="0" collapsed="false">
      <c r="A4032" s="0" t="n">
        <v>49</v>
      </c>
      <c r="B4032" s="0" t="s">
        <v>60</v>
      </c>
      <c r="C4032" s="0" t="n">
        <v>2012</v>
      </c>
      <c r="D4032" s="0" t="n">
        <v>12</v>
      </c>
      <c r="E4032" s="38" t="n">
        <v>762010.25</v>
      </c>
    </row>
    <row r="4033" customFormat="false" ht="15" hidden="false" customHeight="false" outlineLevel="0" collapsed="false">
      <c r="A4033" s="0" t="n">
        <v>49</v>
      </c>
      <c r="B4033" s="0" t="s">
        <v>60</v>
      </c>
      <c r="C4033" s="0" t="n">
        <v>2013</v>
      </c>
      <c r="D4033" s="0" t="n">
        <v>1</v>
      </c>
      <c r="E4033" s="38" t="n">
        <v>831089.47</v>
      </c>
    </row>
    <row r="4034" customFormat="false" ht="15" hidden="false" customHeight="false" outlineLevel="0" collapsed="false">
      <c r="A4034" s="0" t="n">
        <v>49</v>
      </c>
      <c r="B4034" s="0" t="s">
        <v>60</v>
      </c>
      <c r="C4034" s="0" t="n">
        <v>2013</v>
      </c>
      <c r="D4034" s="0" t="n">
        <v>2</v>
      </c>
      <c r="E4034" s="38" t="n">
        <v>858859.51</v>
      </c>
    </row>
    <row r="4035" customFormat="false" ht="15" hidden="false" customHeight="false" outlineLevel="0" collapsed="false">
      <c r="A4035" s="0" t="n">
        <v>49</v>
      </c>
      <c r="B4035" s="0" t="s">
        <v>60</v>
      </c>
      <c r="C4035" s="0" t="n">
        <v>2013</v>
      </c>
      <c r="D4035" s="0" t="n">
        <v>3</v>
      </c>
      <c r="E4035" s="38" t="n">
        <v>740017.54</v>
      </c>
    </row>
    <row r="4036" customFormat="false" ht="15" hidden="false" customHeight="false" outlineLevel="0" collapsed="false">
      <c r="A4036" s="0" t="n">
        <v>49</v>
      </c>
      <c r="B4036" s="0" t="s">
        <v>60</v>
      </c>
      <c r="C4036" s="0" t="n">
        <v>2013</v>
      </c>
      <c r="D4036" s="0" t="n">
        <v>4</v>
      </c>
      <c r="E4036" s="38" t="n">
        <v>715821.56</v>
      </c>
    </row>
    <row r="4037" customFormat="false" ht="15" hidden="false" customHeight="false" outlineLevel="0" collapsed="false">
      <c r="A4037" s="0" t="n">
        <v>49</v>
      </c>
      <c r="B4037" s="0" t="s">
        <v>60</v>
      </c>
      <c r="C4037" s="0" t="n">
        <v>2013</v>
      </c>
      <c r="D4037" s="0" t="n">
        <v>5</v>
      </c>
      <c r="E4037" s="38" t="n">
        <v>698847.66</v>
      </c>
    </row>
    <row r="4038" customFormat="false" ht="15" hidden="false" customHeight="false" outlineLevel="0" collapsed="false">
      <c r="A4038" s="0" t="n">
        <v>49</v>
      </c>
      <c r="B4038" s="0" t="s">
        <v>60</v>
      </c>
      <c r="C4038" s="0" t="n">
        <v>2013</v>
      </c>
      <c r="D4038" s="0" t="n">
        <v>6</v>
      </c>
      <c r="E4038" s="38" t="n">
        <v>734017.03</v>
      </c>
    </row>
    <row r="4039" customFormat="false" ht="15" hidden="false" customHeight="false" outlineLevel="0" collapsed="false">
      <c r="A4039" s="0" t="n">
        <v>49</v>
      </c>
      <c r="B4039" s="0" t="s">
        <v>60</v>
      </c>
      <c r="C4039" s="0" t="n">
        <v>2013</v>
      </c>
      <c r="D4039" s="0" t="n">
        <v>7</v>
      </c>
      <c r="E4039" s="38" t="n">
        <v>807773.34</v>
      </c>
    </row>
    <row r="4040" customFormat="false" ht="15" hidden="false" customHeight="false" outlineLevel="0" collapsed="false">
      <c r="A4040" s="0" t="n">
        <v>49</v>
      </c>
      <c r="B4040" s="0" t="s">
        <v>60</v>
      </c>
      <c r="C4040" s="0" t="n">
        <v>2013</v>
      </c>
      <c r="D4040" s="0" t="n">
        <v>8</v>
      </c>
      <c r="E4040" s="38" t="n">
        <v>670724.46</v>
      </c>
    </row>
    <row r="4041" customFormat="false" ht="15" hidden="false" customHeight="false" outlineLevel="0" collapsed="false">
      <c r="A4041" s="0" t="n">
        <v>49</v>
      </c>
      <c r="B4041" s="0" t="s">
        <v>62</v>
      </c>
      <c r="C4041" s="0" t="n">
        <v>2011</v>
      </c>
      <c r="D4041" s="0" t="n">
        <v>1</v>
      </c>
      <c r="E4041" s="38" t="n">
        <v>417809.97</v>
      </c>
    </row>
    <row r="4042" customFormat="false" ht="15" hidden="false" customHeight="false" outlineLevel="0" collapsed="false">
      <c r="A4042" s="0" t="n">
        <v>49</v>
      </c>
      <c r="B4042" s="0" t="s">
        <v>62</v>
      </c>
      <c r="C4042" s="0" t="n">
        <v>2011</v>
      </c>
      <c r="D4042" s="0" t="n">
        <v>2</v>
      </c>
      <c r="E4042" s="38" t="n">
        <v>462756.66</v>
      </c>
    </row>
    <row r="4043" customFormat="false" ht="15" hidden="false" customHeight="false" outlineLevel="0" collapsed="false">
      <c r="A4043" s="0" t="n">
        <v>49</v>
      </c>
      <c r="B4043" s="0" t="s">
        <v>62</v>
      </c>
      <c r="C4043" s="0" t="n">
        <v>2011</v>
      </c>
      <c r="D4043" s="0" t="n">
        <v>3</v>
      </c>
      <c r="E4043" s="38" t="n">
        <v>377711.83</v>
      </c>
    </row>
    <row r="4044" customFormat="false" ht="15" hidden="false" customHeight="false" outlineLevel="0" collapsed="false">
      <c r="A4044" s="0" t="n">
        <v>49</v>
      </c>
      <c r="B4044" s="0" t="s">
        <v>62</v>
      </c>
      <c r="C4044" s="0" t="n">
        <v>2011</v>
      </c>
      <c r="D4044" s="0" t="n">
        <v>4</v>
      </c>
      <c r="E4044" s="38" t="n">
        <v>378537.94</v>
      </c>
    </row>
    <row r="4045" customFormat="false" ht="15" hidden="false" customHeight="false" outlineLevel="0" collapsed="false">
      <c r="A4045" s="0" t="n">
        <v>49</v>
      </c>
      <c r="B4045" s="0" t="s">
        <v>62</v>
      </c>
      <c r="C4045" s="0" t="n">
        <v>2011</v>
      </c>
      <c r="D4045" s="0" t="n">
        <v>5</v>
      </c>
      <c r="E4045" s="38" t="n">
        <v>348859.41</v>
      </c>
    </row>
    <row r="4046" customFormat="false" ht="15" hidden="false" customHeight="false" outlineLevel="0" collapsed="false">
      <c r="A4046" s="0" t="n">
        <v>49</v>
      </c>
      <c r="B4046" s="0" t="s">
        <v>62</v>
      </c>
      <c r="C4046" s="0" t="n">
        <v>2011</v>
      </c>
      <c r="D4046" s="0" t="n">
        <v>6</v>
      </c>
      <c r="E4046" s="38" t="n">
        <v>371591.47</v>
      </c>
    </row>
    <row r="4047" customFormat="false" ht="15" hidden="false" customHeight="false" outlineLevel="0" collapsed="false">
      <c r="A4047" s="0" t="n">
        <v>49</v>
      </c>
      <c r="B4047" s="0" t="s">
        <v>62</v>
      </c>
      <c r="C4047" s="0" t="n">
        <v>2011</v>
      </c>
      <c r="D4047" s="0" t="n">
        <v>7</v>
      </c>
      <c r="E4047" s="38" t="n">
        <v>405965.91</v>
      </c>
    </row>
    <row r="4048" customFormat="false" ht="15" hidden="false" customHeight="false" outlineLevel="0" collapsed="false">
      <c r="A4048" s="0" t="n">
        <v>49</v>
      </c>
      <c r="B4048" s="0" t="s">
        <v>62</v>
      </c>
      <c r="C4048" s="0" t="n">
        <v>2011</v>
      </c>
      <c r="D4048" s="0" t="n">
        <v>8</v>
      </c>
      <c r="E4048" s="38" t="n">
        <v>332778.1</v>
      </c>
    </row>
    <row r="4049" customFormat="false" ht="15" hidden="false" customHeight="false" outlineLevel="0" collapsed="false">
      <c r="A4049" s="0" t="n">
        <v>49</v>
      </c>
      <c r="B4049" s="0" t="s">
        <v>62</v>
      </c>
      <c r="C4049" s="0" t="n">
        <v>2011</v>
      </c>
      <c r="D4049" s="0" t="n">
        <v>9</v>
      </c>
      <c r="E4049" s="38" t="n">
        <v>348058.27</v>
      </c>
    </row>
    <row r="4050" customFormat="false" ht="15" hidden="false" customHeight="false" outlineLevel="0" collapsed="false">
      <c r="A4050" s="0" t="n">
        <v>49</v>
      </c>
      <c r="B4050" s="0" t="s">
        <v>62</v>
      </c>
      <c r="C4050" s="0" t="n">
        <v>2011</v>
      </c>
      <c r="D4050" s="0" t="n">
        <v>10</v>
      </c>
      <c r="E4050" s="38" t="n">
        <v>299786.96</v>
      </c>
    </row>
    <row r="4051" customFormat="false" ht="15" hidden="false" customHeight="false" outlineLevel="0" collapsed="false">
      <c r="A4051" s="0" t="n">
        <v>49</v>
      </c>
      <c r="B4051" s="0" t="s">
        <v>62</v>
      </c>
      <c r="C4051" s="0" t="n">
        <v>2011</v>
      </c>
      <c r="D4051" s="0" t="n">
        <v>11</v>
      </c>
      <c r="E4051" s="38" t="n">
        <v>335199.71</v>
      </c>
    </row>
    <row r="4052" customFormat="false" ht="15" hidden="false" customHeight="false" outlineLevel="0" collapsed="false">
      <c r="A4052" s="0" t="n">
        <v>49</v>
      </c>
      <c r="B4052" s="0" t="s">
        <v>62</v>
      </c>
      <c r="C4052" s="0" t="n">
        <v>2011</v>
      </c>
      <c r="D4052" s="0" t="n">
        <v>12</v>
      </c>
      <c r="E4052" s="38" t="n">
        <v>368280.25</v>
      </c>
    </row>
    <row r="4053" customFormat="false" ht="15" hidden="false" customHeight="false" outlineLevel="0" collapsed="false">
      <c r="A4053" s="0" t="n">
        <v>49</v>
      </c>
      <c r="B4053" s="0" t="s">
        <v>62</v>
      </c>
      <c r="C4053" s="0" t="n">
        <v>2012</v>
      </c>
      <c r="D4053" s="0" t="n">
        <v>1</v>
      </c>
      <c r="E4053" s="38" t="n">
        <v>386017.55</v>
      </c>
    </row>
    <row r="4054" customFormat="false" ht="15" hidden="false" customHeight="false" outlineLevel="0" collapsed="false">
      <c r="A4054" s="0" t="n">
        <v>49</v>
      </c>
      <c r="B4054" s="0" t="s">
        <v>62</v>
      </c>
      <c r="C4054" s="0" t="n">
        <v>2012</v>
      </c>
      <c r="D4054" s="0" t="n">
        <v>2</v>
      </c>
      <c r="E4054" s="38" t="n">
        <v>453170.72</v>
      </c>
    </row>
    <row r="4055" customFormat="false" ht="15" hidden="false" customHeight="false" outlineLevel="0" collapsed="false">
      <c r="A4055" s="0" t="n">
        <v>49</v>
      </c>
      <c r="B4055" s="0" t="s">
        <v>62</v>
      </c>
      <c r="C4055" s="0" t="n">
        <v>2012</v>
      </c>
      <c r="D4055" s="0" t="n">
        <v>3</v>
      </c>
      <c r="E4055" s="38" t="n">
        <v>400182.26</v>
      </c>
    </row>
    <row r="4056" customFormat="false" ht="15" hidden="false" customHeight="false" outlineLevel="0" collapsed="false">
      <c r="A4056" s="0" t="n">
        <v>49</v>
      </c>
      <c r="B4056" s="0" t="s">
        <v>62</v>
      </c>
      <c r="C4056" s="0" t="n">
        <v>2012</v>
      </c>
      <c r="D4056" s="0" t="n">
        <v>4</v>
      </c>
      <c r="E4056" s="38" t="n">
        <v>360075.38</v>
      </c>
    </row>
    <row r="4057" customFormat="false" ht="15" hidden="false" customHeight="false" outlineLevel="0" collapsed="false">
      <c r="A4057" s="0" t="n">
        <v>49</v>
      </c>
      <c r="B4057" s="0" t="s">
        <v>62</v>
      </c>
      <c r="C4057" s="0" t="n">
        <v>2012</v>
      </c>
      <c r="D4057" s="0" t="n">
        <v>5</v>
      </c>
      <c r="E4057" s="38" t="n">
        <v>384423.7</v>
      </c>
    </row>
    <row r="4058" customFormat="false" ht="15" hidden="false" customHeight="false" outlineLevel="0" collapsed="false">
      <c r="A4058" s="0" t="n">
        <v>49</v>
      </c>
      <c r="B4058" s="0" t="s">
        <v>62</v>
      </c>
      <c r="C4058" s="0" t="n">
        <v>2012</v>
      </c>
      <c r="D4058" s="0" t="n">
        <v>6</v>
      </c>
      <c r="E4058" s="38" t="n">
        <v>372496.01</v>
      </c>
    </row>
    <row r="4059" customFormat="false" ht="15" hidden="false" customHeight="false" outlineLevel="0" collapsed="false">
      <c r="A4059" s="0" t="n">
        <v>49</v>
      </c>
      <c r="B4059" s="0" t="s">
        <v>62</v>
      </c>
      <c r="C4059" s="0" t="n">
        <v>2012</v>
      </c>
      <c r="D4059" s="0" t="n">
        <v>7</v>
      </c>
      <c r="E4059" s="38" t="n">
        <v>414675.33</v>
      </c>
    </row>
    <row r="4060" customFormat="false" ht="15" hidden="false" customHeight="false" outlineLevel="0" collapsed="false">
      <c r="A4060" s="0" t="n">
        <v>49</v>
      </c>
      <c r="B4060" s="0" t="s">
        <v>62</v>
      </c>
      <c r="C4060" s="0" t="n">
        <v>2012</v>
      </c>
      <c r="D4060" s="0" t="n">
        <v>8</v>
      </c>
      <c r="E4060" s="38" t="n">
        <v>349207.5</v>
      </c>
    </row>
    <row r="4061" customFormat="false" ht="15" hidden="false" customHeight="false" outlineLevel="0" collapsed="false">
      <c r="A4061" s="0" t="n">
        <v>49</v>
      </c>
      <c r="B4061" s="0" t="s">
        <v>62</v>
      </c>
      <c r="C4061" s="0" t="n">
        <v>2012</v>
      </c>
      <c r="D4061" s="0" t="n">
        <v>9</v>
      </c>
      <c r="E4061" s="38" t="n">
        <v>379148.81</v>
      </c>
    </row>
    <row r="4062" customFormat="false" ht="15" hidden="false" customHeight="false" outlineLevel="0" collapsed="false">
      <c r="A4062" s="0" t="n">
        <v>49</v>
      </c>
      <c r="B4062" s="0" t="s">
        <v>62</v>
      </c>
      <c r="C4062" s="0" t="n">
        <v>2012</v>
      </c>
      <c r="D4062" s="0" t="n">
        <v>10</v>
      </c>
      <c r="E4062" s="38" t="n">
        <v>325857.46</v>
      </c>
    </row>
    <row r="4063" customFormat="false" ht="15" hidden="false" customHeight="false" outlineLevel="0" collapsed="false">
      <c r="A4063" s="0" t="n">
        <v>49</v>
      </c>
      <c r="B4063" s="0" t="s">
        <v>62</v>
      </c>
      <c r="C4063" s="0" t="n">
        <v>2012</v>
      </c>
      <c r="D4063" s="0" t="n">
        <v>11</v>
      </c>
      <c r="E4063" s="38" t="n">
        <v>370003.87</v>
      </c>
    </row>
    <row r="4064" customFormat="false" ht="15" hidden="false" customHeight="false" outlineLevel="0" collapsed="false">
      <c r="A4064" s="0" t="n">
        <v>49</v>
      </c>
      <c r="B4064" s="0" t="s">
        <v>62</v>
      </c>
      <c r="C4064" s="0" t="n">
        <v>2012</v>
      </c>
      <c r="D4064" s="0" t="n">
        <v>12</v>
      </c>
      <c r="E4064" s="38" t="n">
        <v>392898.12</v>
      </c>
    </row>
    <row r="4065" customFormat="false" ht="15" hidden="false" customHeight="false" outlineLevel="0" collapsed="false">
      <c r="A4065" s="0" t="n">
        <v>49</v>
      </c>
      <c r="B4065" s="0" t="s">
        <v>62</v>
      </c>
      <c r="C4065" s="0" t="n">
        <v>2013</v>
      </c>
      <c r="D4065" s="0" t="n">
        <v>1</v>
      </c>
      <c r="E4065" s="38" t="n">
        <v>414042.69</v>
      </c>
    </row>
    <row r="4066" customFormat="false" ht="15" hidden="false" customHeight="false" outlineLevel="0" collapsed="false">
      <c r="A4066" s="0" t="n">
        <v>49</v>
      </c>
      <c r="B4066" s="0" t="s">
        <v>62</v>
      </c>
      <c r="C4066" s="0" t="n">
        <v>2013</v>
      </c>
      <c r="D4066" s="0" t="n">
        <v>2</v>
      </c>
      <c r="E4066" s="38" t="n">
        <v>430813.61</v>
      </c>
    </row>
    <row r="4067" customFormat="false" ht="15" hidden="false" customHeight="false" outlineLevel="0" collapsed="false">
      <c r="A4067" s="0" t="n">
        <v>49</v>
      </c>
      <c r="B4067" s="0" t="s">
        <v>62</v>
      </c>
      <c r="C4067" s="0" t="n">
        <v>2013</v>
      </c>
      <c r="D4067" s="0" t="n">
        <v>3</v>
      </c>
      <c r="E4067" s="38" t="n">
        <v>380568.91</v>
      </c>
    </row>
    <row r="4068" customFormat="false" ht="15" hidden="false" customHeight="false" outlineLevel="0" collapsed="false">
      <c r="A4068" s="0" t="n">
        <v>49</v>
      </c>
      <c r="B4068" s="0" t="s">
        <v>62</v>
      </c>
      <c r="C4068" s="0" t="n">
        <v>2013</v>
      </c>
      <c r="D4068" s="0" t="n">
        <v>4</v>
      </c>
      <c r="E4068" s="38" t="n">
        <v>364064.04</v>
      </c>
    </row>
    <row r="4069" customFormat="false" ht="15" hidden="false" customHeight="false" outlineLevel="0" collapsed="false">
      <c r="A4069" s="0" t="n">
        <v>49</v>
      </c>
      <c r="B4069" s="0" t="s">
        <v>62</v>
      </c>
      <c r="C4069" s="0" t="n">
        <v>2013</v>
      </c>
      <c r="D4069" s="0" t="n">
        <v>5</v>
      </c>
      <c r="E4069" s="38" t="n">
        <v>358605.93</v>
      </c>
    </row>
    <row r="4070" customFormat="false" ht="15" hidden="false" customHeight="false" outlineLevel="0" collapsed="false">
      <c r="A4070" s="0" t="n">
        <v>49</v>
      </c>
      <c r="B4070" s="0" t="s">
        <v>62</v>
      </c>
      <c r="C4070" s="0" t="n">
        <v>2013</v>
      </c>
      <c r="D4070" s="0" t="n">
        <v>6</v>
      </c>
      <c r="E4070" s="38" t="n">
        <v>378776.99</v>
      </c>
    </row>
    <row r="4071" customFormat="false" ht="15" hidden="false" customHeight="false" outlineLevel="0" collapsed="false">
      <c r="A4071" s="0" t="n">
        <v>49</v>
      </c>
      <c r="B4071" s="0" t="s">
        <v>62</v>
      </c>
      <c r="C4071" s="0" t="n">
        <v>2013</v>
      </c>
      <c r="D4071" s="0" t="n">
        <v>7</v>
      </c>
      <c r="E4071" s="38" t="n">
        <v>428682.76</v>
      </c>
    </row>
    <row r="4072" customFormat="false" ht="15" hidden="false" customHeight="false" outlineLevel="0" collapsed="false">
      <c r="A4072" s="0" t="n">
        <v>49</v>
      </c>
      <c r="B4072" s="0" t="s">
        <v>62</v>
      </c>
      <c r="C4072" s="0" t="n">
        <v>2013</v>
      </c>
      <c r="D4072" s="0" t="n">
        <v>8</v>
      </c>
      <c r="E4072" s="38" t="n">
        <v>355760.89</v>
      </c>
    </row>
    <row r="4073" customFormat="false" ht="15" hidden="false" customHeight="false" outlineLevel="0" collapsed="false">
      <c r="A4073" s="0" t="n">
        <v>49</v>
      </c>
      <c r="B4073" s="0" t="s">
        <v>64</v>
      </c>
      <c r="C4073" s="0" t="n">
        <v>2011</v>
      </c>
      <c r="D4073" s="0" t="n">
        <v>6</v>
      </c>
      <c r="E4073" s="38" t="n">
        <v>-2.43</v>
      </c>
    </row>
    <row r="4074" customFormat="false" ht="15" hidden="false" customHeight="false" outlineLevel="0" collapsed="false">
      <c r="A4074" s="0" t="n">
        <v>49</v>
      </c>
      <c r="B4074" s="0" t="s">
        <v>64</v>
      </c>
      <c r="C4074" s="0" t="n">
        <v>2011</v>
      </c>
      <c r="D4074" s="0" t="n">
        <v>7</v>
      </c>
      <c r="E4074" s="38" t="n">
        <v>-14.57</v>
      </c>
    </row>
    <row r="4075" customFormat="false" ht="15" hidden="false" customHeight="false" outlineLevel="0" collapsed="false">
      <c r="A4075" s="0" t="n">
        <v>49</v>
      </c>
      <c r="B4075" s="0" t="s">
        <v>64</v>
      </c>
      <c r="C4075" s="0" t="n">
        <v>2011</v>
      </c>
      <c r="D4075" s="0" t="n">
        <v>10</v>
      </c>
      <c r="E4075" s="38" t="n">
        <v>1.7</v>
      </c>
    </row>
    <row r="4076" customFormat="false" ht="15" hidden="false" customHeight="false" outlineLevel="0" collapsed="false">
      <c r="A4076" s="0" t="n">
        <v>49</v>
      </c>
      <c r="B4076" s="0" t="s">
        <v>64</v>
      </c>
      <c r="C4076" s="0" t="n">
        <v>2011</v>
      </c>
      <c r="D4076" s="0" t="n">
        <v>11</v>
      </c>
      <c r="E4076" s="38" t="n">
        <v>1.27</v>
      </c>
    </row>
    <row r="4077" customFormat="false" ht="15" hidden="false" customHeight="false" outlineLevel="0" collapsed="false">
      <c r="A4077" s="0" t="n">
        <v>49</v>
      </c>
      <c r="B4077" s="0" t="s">
        <v>64</v>
      </c>
      <c r="C4077" s="0" t="n">
        <v>2012</v>
      </c>
      <c r="D4077" s="0" t="n">
        <v>1</v>
      </c>
      <c r="E4077" s="38" t="n">
        <v>177.35</v>
      </c>
    </row>
    <row r="4078" customFormat="false" ht="15" hidden="false" customHeight="false" outlineLevel="0" collapsed="false">
      <c r="A4078" s="0" t="n">
        <v>49</v>
      </c>
      <c r="B4078" s="0" t="s">
        <v>64</v>
      </c>
      <c r="C4078" s="0" t="n">
        <v>2012</v>
      </c>
      <c r="D4078" s="0" t="n">
        <v>7</v>
      </c>
      <c r="E4078" s="38" t="n">
        <v>-2.12</v>
      </c>
    </row>
    <row r="4079" customFormat="false" ht="15" hidden="false" customHeight="false" outlineLevel="0" collapsed="false">
      <c r="A4079" s="0" t="n">
        <v>49</v>
      </c>
      <c r="B4079" s="0" t="s">
        <v>64</v>
      </c>
      <c r="C4079" s="0" t="n">
        <v>2012</v>
      </c>
      <c r="D4079" s="0" t="n">
        <v>8</v>
      </c>
      <c r="E4079" s="38" t="n">
        <v>2.12</v>
      </c>
    </row>
    <row r="4080" customFormat="false" ht="15" hidden="false" customHeight="false" outlineLevel="0" collapsed="false">
      <c r="A4080" s="0" t="n">
        <v>49</v>
      </c>
      <c r="B4080" s="0" t="s">
        <v>64</v>
      </c>
      <c r="C4080" s="0" t="n">
        <v>2012</v>
      </c>
      <c r="D4080" s="0" t="n">
        <v>10</v>
      </c>
      <c r="E4080" s="38" t="n">
        <v>4.24</v>
      </c>
    </row>
    <row r="4081" customFormat="false" ht="15" hidden="false" customHeight="false" outlineLevel="0" collapsed="false">
      <c r="A4081" s="0" t="n">
        <v>49</v>
      </c>
      <c r="B4081" s="0" t="s">
        <v>64</v>
      </c>
      <c r="C4081" s="0" t="n">
        <v>2012</v>
      </c>
      <c r="D4081" s="0" t="n">
        <v>11</v>
      </c>
      <c r="E4081" s="38" t="n">
        <v>87.82</v>
      </c>
    </row>
    <row r="4082" customFormat="false" ht="15" hidden="false" customHeight="false" outlineLevel="0" collapsed="false">
      <c r="A4082" s="0" t="n">
        <v>49</v>
      </c>
      <c r="B4082" s="0" t="s">
        <v>64</v>
      </c>
      <c r="C4082" s="0" t="n">
        <v>2012</v>
      </c>
      <c r="D4082" s="0" t="n">
        <v>12</v>
      </c>
      <c r="E4082" s="38" t="n">
        <v>103.1</v>
      </c>
    </row>
    <row r="4083" customFormat="false" ht="15" hidden="false" customHeight="false" outlineLevel="0" collapsed="false">
      <c r="A4083" s="0" t="n">
        <v>49</v>
      </c>
      <c r="B4083" s="0" t="s">
        <v>64</v>
      </c>
      <c r="C4083" s="0" t="n">
        <v>2013</v>
      </c>
      <c r="D4083" s="0" t="n">
        <v>1</v>
      </c>
      <c r="E4083" s="38" t="n">
        <v>251.38</v>
      </c>
    </row>
    <row r="4084" customFormat="false" ht="15" hidden="false" customHeight="false" outlineLevel="0" collapsed="false">
      <c r="A4084" s="0" t="n">
        <v>49</v>
      </c>
      <c r="B4084" s="0" t="s">
        <v>64</v>
      </c>
      <c r="C4084" s="0" t="n">
        <v>2013</v>
      </c>
      <c r="D4084" s="0" t="n">
        <v>2</v>
      </c>
      <c r="E4084" s="38" t="n">
        <v>298.75</v>
      </c>
    </row>
    <row r="4085" customFormat="false" ht="15" hidden="false" customHeight="false" outlineLevel="0" collapsed="false">
      <c r="A4085" s="0" t="n">
        <v>49</v>
      </c>
      <c r="B4085" s="0" t="s">
        <v>64</v>
      </c>
      <c r="C4085" s="0" t="n">
        <v>2013</v>
      </c>
      <c r="D4085" s="0" t="n">
        <v>3</v>
      </c>
      <c r="E4085" s="38" t="n">
        <v>280.95</v>
      </c>
    </row>
    <row r="4086" customFormat="false" ht="15" hidden="false" customHeight="false" outlineLevel="0" collapsed="false">
      <c r="A4086" s="0" t="n">
        <v>49</v>
      </c>
      <c r="B4086" s="0" t="s">
        <v>64</v>
      </c>
      <c r="C4086" s="0" t="n">
        <v>2013</v>
      </c>
      <c r="D4086" s="0" t="n">
        <v>4</v>
      </c>
      <c r="E4086" s="38" t="n">
        <v>257.62</v>
      </c>
    </row>
    <row r="4087" customFormat="false" ht="15" hidden="false" customHeight="false" outlineLevel="0" collapsed="false">
      <c r="A4087" s="0" t="n">
        <v>49</v>
      </c>
      <c r="B4087" s="0" t="s">
        <v>64</v>
      </c>
      <c r="C4087" s="0" t="n">
        <v>2013</v>
      </c>
      <c r="D4087" s="0" t="n">
        <v>5</v>
      </c>
      <c r="E4087" s="38" t="n">
        <v>277.55</v>
      </c>
    </row>
    <row r="4088" customFormat="false" ht="15" hidden="false" customHeight="false" outlineLevel="0" collapsed="false">
      <c r="A4088" s="0" t="n">
        <v>49</v>
      </c>
      <c r="B4088" s="0" t="s">
        <v>64</v>
      </c>
      <c r="C4088" s="0" t="n">
        <v>2013</v>
      </c>
      <c r="D4088" s="0" t="n">
        <v>6</v>
      </c>
      <c r="E4088" s="38" t="n">
        <v>369.55</v>
      </c>
    </row>
    <row r="4089" customFormat="false" ht="15" hidden="false" customHeight="false" outlineLevel="0" collapsed="false">
      <c r="A4089" s="0" t="n">
        <v>49</v>
      </c>
      <c r="B4089" s="0" t="s">
        <v>64</v>
      </c>
      <c r="C4089" s="0" t="n">
        <v>2013</v>
      </c>
      <c r="D4089" s="0" t="n">
        <v>7</v>
      </c>
      <c r="E4089" s="38" t="n">
        <v>320.26</v>
      </c>
    </row>
    <row r="4090" customFormat="false" ht="15" hidden="false" customHeight="false" outlineLevel="0" collapsed="false">
      <c r="A4090" s="0" t="n">
        <v>49</v>
      </c>
      <c r="B4090" s="0" t="s">
        <v>64</v>
      </c>
      <c r="C4090" s="0" t="n">
        <v>2013</v>
      </c>
      <c r="D4090" s="0" t="n">
        <v>8</v>
      </c>
      <c r="E4090" s="38" t="n">
        <v>300.42</v>
      </c>
    </row>
    <row r="4091" customFormat="false" ht="15" hidden="false" customHeight="false" outlineLevel="0" collapsed="false">
      <c r="A4091" s="0" t="n">
        <v>50</v>
      </c>
      <c r="B4091" s="0" t="s">
        <v>60</v>
      </c>
      <c r="C4091" s="0" t="n">
        <v>2011</v>
      </c>
      <c r="D4091" s="0" t="n">
        <v>1</v>
      </c>
      <c r="E4091" s="38" t="n">
        <v>59925.25</v>
      </c>
    </row>
    <row r="4092" customFormat="false" ht="15" hidden="false" customHeight="false" outlineLevel="0" collapsed="false">
      <c r="A4092" s="0" t="n">
        <v>50</v>
      </c>
      <c r="B4092" s="0" t="s">
        <v>60</v>
      </c>
      <c r="C4092" s="0" t="n">
        <v>2011</v>
      </c>
      <c r="D4092" s="0" t="n">
        <v>2</v>
      </c>
      <c r="E4092" s="38" t="n">
        <v>73051.84</v>
      </c>
    </row>
    <row r="4093" customFormat="false" ht="15" hidden="false" customHeight="false" outlineLevel="0" collapsed="false">
      <c r="A4093" s="0" t="n">
        <v>50</v>
      </c>
      <c r="B4093" s="0" t="s">
        <v>60</v>
      </c>
      <c r="C4093" s="0" t="n">
        <v>2011</v>
      </c>
      <c r="D4093" s="0" t="n">
        <v>3</v>
      </c>
      <c r="E4093" s="38" t="n">
        <v>57217.3</v>
      </c>
    </row>
    <row r="4094" customFormat="false" ht="15" hidden="false" customHeight="false" outlineLevel="0" collapsed="false">
      <c r="A4094" s="0" t="n">
        <v>50</v>
      </c>
      <c r="B4094" s="0" t="s">
        <v>60</v>
      </c>
      <c r="C4094" s="0" t="n">
        <v>2011</v>
      </c>
      <c r="D4094" s="0" t="n">
        <v>4</v>
      </c>
      <c r="E4094" s="38" t="n">
        <v>55283.97</v>
      </c>
    </row>
    <row r="4095" customFormat="false" ht="15" hidden="false" customHeight="false" outlineLevel="0" collapsed="false">
      <c r="A4095" s="0" t="n">
        <v>50</v>
      </c>
      <c r="B4095" s="0" t="s">
        <v>60</v>
      </c>
      <c r="C4095" s="0" t="n">
        <v>2011</v>
      </c>
      <c r="D4095" s="0" t="n">
        <v>5</v>
      </c>
      <c r="E4095" s="38" t="n">
        <v>52820.31</v>
      </c>
    </row>
    <row r="4096" customFormat="false" ht="15" hidden="false" customHeight="false" outlineLevel="0" collapsed="false">
      <c r="A4096" s="0" t="n">
        <v>50</v>
      </c>
      <c r="B4096" s="0" t="s">
        <v>60</v>
      </c>
      <c r="C4096" s="0" t="n">
        <v>2011</v>
      </c>
      <c r="D4096" s="0" t="n">
        <v>6</v>
      </c>
      <c r="E4096" s="38" t="n">
        <v>60146.4</v>
      </c>
    </row>
    <row r="4097" customFormat="false" ht="15" hidden="false" customHeight="false" outlineLevel="0" collapsed="false">
      <c r="A4097" s="0" t="n">
        <v>50</v>
      </c>
      <c r="B4097" s="0" t="s">
        <v>60</v>
      </c>
      <c r="C4097" s="0" t="n">
        <v>2011</v>
      </c>
      <c r="D4097" s="0" t="n">
        <v>7</v>
      </c>
      <c r="E4097" s="38" t="n">
        <v>65075.72</v>
      </c>
    </row>
    <row r="4098" customFormat="false" ht="15" hidden="false" customHeight="false" outlineLevel="0" collapsed="false">
      <c r="A4098" s="0" t="n">
        <v>50</v>
      </c>
      <c r="B4098" s="0" t="s">
        <v>60</v>
      </c>
      <c r="C4098" s="0" t="n">
        <v>2011</v>
      </c>
      <c r="D4098" s="0" t="n">
        <v>8</v>
      </c>
      <c r="E4098" s="38" t="n">
        <v>52529.07</v>
      </c>
    </row>
    <row r="4099" customFormat="false" ht="15" hidden="false" customHeight="false" outlineLevel="0" collapsed="false">
      <c r="A4099" s="0" t="n">
        <v>50</v>
      </c>
      <c r="B4099" s="0" t="s">
        <v>60</v>
      </c>
      <c r="C4099" s="0" t="n">
        <v>2011</v>
      </c>
      <c r="D4099" s="0" t="n">
        <v>9</v>
      </c>
      <c r="E4099" s="38" t="n">
        <v>57731.11</v>
      </c>
    </row>
    <row r="4100" customFormat="false" ht="15" hidden="false" customHeight="false" outlineLevel="0" collapsed="false">
      <c r="A4100" s="0" t="n">
        <v>50</v>
      </c>
      <c r="B4100" s="0" t="s">
        <v>60</v>
      </c>
      <c r="C4100" s="0" t="n">
        <v>2011</v>
      </c>
      <c r="D4100" s="0" t="n">
        <v>10</v>
      </c>
      <c r="E4100" s="38" t="n">
        <v>49289.49</v>
      </c>
    </row>
    <row r="4101" customFormat="false" ht="15" hidden="false" customHeight="false" outlineLevel="0" collapsed="false">
      <c r="A4101" s="0" t="n">
        <v>50</v>
      </c>
      <c r="B4101" s="0" t="s">
        <v>60</v>
      </c>
      <c r="C4101" s="0" t="n">
        <v>2011</v>
      </c>
      <c r="D4101" s="0" t="n">
        <v>11</v>
      </c>
      <c r="E4101" s="38" t="n">
        <v>49251.3</v>
      </c>
    </row>
    <row r="4102" customFormat="false" ht="15" hidden="false" customHeight="false" outlineLevel="0" collapsed="false">
      <c r="A4102" s="0" t="n">
        <v>50</v>
      </c>
      <c r="B4102" s="0" t="s">
        <v>60</v>
      </c>
      <c r="C4102" s="0" t="n">
        <v>2011</v>
      </c>
      <c r="D4102" s="0" t="n">
        <v>12</v>
      </c>
      <c r="E4102" s="38" t="n">
        <v>54514.66</v>
      </c>
    </row>
    <row r="4103" customFormat="false" ht="15" hidden="false" customHeight="false" outlineLevel="0" collapsed="false">
      <c r="A4103" s="0" t="n">
        <v>50</v>
      </c>
      <c r="B4103" s="0" t="s">
        <v>60</v>
      </c>
      <c r="C4103" s="0" t="n">
        <v>2012</v>
      </c>
      <c r="D4103" s="0" t="n">
        <v>1</v>
      </c>
      <c r="E4103" s="38" t="n">
        <v>60800.58</v>
      </c>
    </row>
    <row r="4104" customFormat="false" ht="15" hidden="false" customHeight="false" outlineLevel="0" collapsed="false">
      <c r="A4104" s="0" t="n">
        <v>50</v>
      </c>
      <c r="B4104" s="0" t="s">
        <v>60</v>
      </c>
      <c r="C4104" s="0" t="n">
        <v>2012</v>
      </c>
      <c r="D4104" s="0" t="n">
        <v>2</v>
      </c>
      <c r="E4104" s="38" t="n">
        <v>65962.34</v>
      </c>
    </row>
    <row r="4105" customFormat="false" ht="15" hidden="false" customHeight="false" outlineLevel="0" collapsed="false">
      <c r="A4105" s="0" t="n">
        <v>50</v>
      </c>
      <c r="B4105" s="0" t="s">
        <v>60</v>
      </c>
      <c r="C4105" s="0" t="n">
        <v>2012</v>
      </c>
      <c r="D4105" s="0" t="n">
        <v>3</v>
      </c>
      <c r="E4105" s="38" t="n">
        <v>56119.41</v>
      </c>
    </row>
    <row r="4106" customFormat="false" ht="15" hidden="false" customHeight="false" outlineLevel="0" collapsed="false">
      <c r="A4106" s="0" t="n">
        <v>50</v>
      </c>
      <c r="B4106" s="0" t="s">
        <v>60</v>
      </c>
      <c r="C4106" s="0" t="n">
        <v>2012</v>
      </c>
      <c r="D4106" s="0" t="n">
        <v>4</v>
      </c>
      <c r="E4106" s="38" t="n">
        <v>54934.05</v>
      </c>
    </row>
    <row r="4107" customFormat="false" ht="15" hidden="false" customHeight="false" outlineLevel="0" collapsed="false">
      <c r="A4107" s="0" t="n">
        <v>50</v>
      </c>
      <c r="B4107" s="0" t="s">
        <v>60</v>
      </c>
      <c r="C4107" s="0" t="n">
        <v>2012</v>
      </c>
      <c r="D4107" s="0" t="n">
        <v>5</v>
      </c>
      <c r="E4107" s="38" t="n">
        <v>50049.39</v>
      </c>
    </row>
    <row r="4108" customFormat="false" ht="15" hidden="false" customHeight="false" outlineLevel="0" collapsed="false">
      <c r="A4108" s="0" t="n">
        <v>50</v>
      </c>
      <c r="B4108" s="0" t="s">
        <v>60</v>
      </c>
      <c r="C4108" s="0" t="n">
        <v>2012</v>
      </c>
      <c r="D4108" s="0" t="n">
        <v>6</v>
      </c>
      <c r="E4108" s="38" t="n">
        <v>49216.14</v>
      </c>
    </row>
    <row r="4109" customFormat="false" ht="15" hidden="false" customHeight="false" outlineLevel="0" collapsed="false">
      <c r="A4109" s="0" t="n">
        <v>50</v>
      </c>
      <c r="B4109" s="0" t="s">
        <v>60</v>
      </c>
      <c r="C4109" s="0" t="n">
        <v>2012</v>
      </c>
      <c r="D4109" s="0" t="n">
        <v>7</v>
      </c>
      <c r="E4109" s="38" t="n">
        <v>58304.88</v>
      </c>
    </row>
    <row r="4110" customFormat="false" ht="15" hidden="false" customHeight="false" outlineLevel="0" collapsed="false">
      <c r="A4110" s="0" t="n">
        <v>50</v>
      </c>
      <c r="B4110" s="0" t="s">
        <v>60</v>
      </c>
      <c r="C4110" s="0" t="n">
        <v>2012</v>
      </c>
      <c r="D4110" s="0" t="n">
        <v>8</v>
      </c>
      <c r="E4110" s="38" t="n">
        <v>53546.01</v>
      </c>
    </row>
    <row r="4111" customFormat="false" ht="15" hidden="false" customHeight="false" outlineLevel="0" collapsed="false">
      <c r="A4111" s="0" t="n">
        <v>50</v>
      </c>
      <c r="B4111" s="0" t="s">
        <v>60</v>
      </c>
      <c r="C4111" s="0" t="n">
        <v>2012</v>
      </c>
      <c r="D4111" s="0" t="n">
        <v>9</v>
      </c>
      <c r="E4111" s="38" t="n">
        <v>51305.7</v>
      </c>
    </row>
    <row r="4112" customFormat="false" ht="15" hidden="false" customHeight="false" outlineLevel="0" collapsed="false">
      <c r="A4112" s="0" t="n">
        <v>50</v>
      </c>
      <c r="B4112" s="0" t="s">
        <v>60</v>
      </c>
      <c r="C4112" s="0" t="n">
        <v>2012</v>
      </c>
      <c r="D4112" s="0" t="n">
        <v>10</v>
      </c>
      <c r="E4112" s="38" t="n">
        <v>44404.09</v>
      </c>
    </row>
    <row r="4113" customFormat="false" ht="15" hidden="false" customHeight="false" outlineLevel="0" collapsed="false">
      <c r="A4113" s="0" t="n">
        <v>50</v>
      </c>
      <c r="B4113" s="0" t="s">
        <v>60</v>
      </c>
      <c r="C4113" s="0" t="n">
        <v>2012</v>
      </c>
      <c r="D4113" s="0" t="n">
        <v>11</v>
      </c>
      <c r="E4113" s="38" t="n">
        <v>46414.04</v>
      </c>
    </row>
    <row r="4114" customFormat="false" ht="15" hidden="false" customHeight="false" outlineLevel="0" collapsed="false">
      <c r="A4114" s="0" t="n">
        <v>50</v>
      </c>
      <c r="B4114" s="0" t="s">
        <v>60</v>
      </c>
      <c r="C4114" s="0" t="n">
        <v>2012</v>
      </c>
      <c r="D4114" s="0" t="n">
        <v>12</v>
      </c>
      <c r="E4114" s="38" t="n">
        <v>55407.39</v>
      </c>
    </row>
    <row r="4115" customFormat="false" ht="15" hidden="false" customHeight="false" outlineLevel="0" collapsed="false">
      <c r="A4115" s="0" t="n">
        <v>50</v>
      </c>
      <c r="B4115" s="0" t="s">
        <v>60</v>
      </c>
      <c r="C4115" s="0" t="n">
        <v>2013</v>
      </c>
      <c r="D4115" s="0" t="n">
        <v>1</v>
      </c>
      <c r="E4115" s="38" t="n">
        <v>58224.91</v>
      </c>
    </row>
    <row r="4116" customFormat="false" ht="15" hidden="false" customHeight="false" outlineLevel="0" collapsed="false">
      <c r="A4116" s="0" t="n">
        <v>50</v>
      </c>
      <c r="B4116" s="0" t="s">
        <v>60</v>
      </c>
      <c r="C4116" s="0" t="n">
        <v>2013</v>
      </c>
      <c r="D4116" s="0" t="n">
        <v>2</v>
      </c>
      <c r="E4116" s="38" t="n">
        <v>62095.52</v>
      </c>
    </row>
    <row r="4117" customFormat="false" ht="15" hidden="false" customHeight="false" outlineLevel="0" collapsed="false">
      <c r="A4117" s="0" t="n">
        <v>50</v>
      </c>
      <c r="B4117" s="0" t="s">
        <v>60</v>
      </c>
      <c r="C4117" s="0" t="n">
        <v>2013</v>
      </c>
      <c r="D4117" s="0" t="n">
        <v>3</v>
      </c>
      <c r="E4117" s="38" t="n">
        <v>53025.54</v>
      </c>
    </row>
    <row r="4118" customFormat="false" ht="15" hidden="false" customHeight="false" outlineLevel="0" collapsed="false">
      <c r="A4118" s="0" t="n">
        <v>50</v>
      </c>
      <c r="B4118" s="0" t="s">
        <v>60</v>
      </c>
      <c r="C4118" s="0" t="n">
        <v>2013</v>
      </c>
      <c r="D4118" s="0" t="n">
        <v>4</v>
      </c>
      <c r="E4118" s="38" t="n">
        <v>53225.45</v>
      </c>
    </row>
    <row r="4119" customFormat="false" ht="15" hidden="false" customHeight="false" outlineLevel="0" collapsed="false">
      <c r="A4119" s="0" t="n">
        <v>50</v>
      </c>
      <c r="B4119" s="0" t="s">
        <v>60</v>
      </c>
      <c r="C4119" s="0" t="n">
        <v>2013</v>
      </c>
      <c r="D4119" s="0" t="n">
        <v>5</v>
      </c>
      <c r="E4119" s="38" t="n">
        <v>51710.15</v>
      </c>
    </row>
    <row r="4120" customFormat="false" ht="15" hidden="false" customHeight="false" outlineLevel="0" collapsed="false">
      <c r="A4120" s="0" t="n">
        <v>50</v>
      </c>
      <c r="B4120" s="0" t="s">
        <v>60</v>
      </c>
      <c r="C4120" s="0" t="n">
        <v>2013</v>
      </c>
      <c r="D4120" s="0" t="n">
        <v>6</v>
      </c>
      <c r="E4120" s="38" t="n">
        <v>51583.05</v>
      </c>
    </row>
    <row r="4121" customFormat="false" ht="15" hidden="false" customHeight="false" outlineLevel="0" collapsed="false">
      <c r="A4121" s="0" t="n">
        <v>50</v>
      </c>
      <c r="B4121" s="0" t="s">
        <v>60</v>
      </c>
      <c r="C4121" s="0" t="n">
        <v>2013</v>
      </c>
      <c r="D4121" s="0" t="n">
        <v>7</v>
      </c>
      <c r="E4121" s="38" t="n">
        <v>59226.87</v>
      </c>
    </row>
    <row r="4122" customFormat="false" ht="15" hidden="false" customHeight="false" outlineLevel="0" collapsed="false">
      <c r="A4122" s="0" t="n">
        <v>50</v>
      </c>
      <c r="B4122" s="0" t="s">
        <v>60</v>
      </c>
      <c r="C4122" s="0" t="n">
        <v>2013</v>
      </c>
      <c r="D4122" s="0" t="n">
        <v>8</v>
      </c>
      <c r="E4122" s="38" t="n">
        <v>45112.05</v>
      </c>
    </row>
    <row r="4123" customFormat="false" ht="15" hidden="false" customHeight="false" outlineLevel="0" collapsed="false">
      <c r="A4123" s="0" t="n">
        <v>50</v>
      </c>
      <c r="B4123" s="0" t="s">
        <v>62</v>
      </c>
      <c r="C4123" s="0" t="n">
        <v>2011</v>
      </c>
      <c r="D4123" s="0" t="n">
        <v>1</v>
      </c>
      <c r="E4123" s="38" t="n">
        <v>67688.57</v>
      </c>
    </row>
    <row r="4124" customFormat="false" ht="15" hidden="false" customHeight="false" outlineLevel="0" collapsed="false">
      <c r="A4124" s="0" t="n">
        <v>50</v>
      </c>
      <c r="B4124" s="0" t="s">
        <v>62</v>
      </c>
      <c r="C4124" s="0" t="n">
        <v>2011</v>
      </c>
      <c r="D4124" s="0" t="n">
        <v>2</v>
      </c>
      <c r="E4124" s="38" t="n">
        <v>79215.61</v>
      </c>
    </row>
    <row r="4125" customFormat="false" ht="15" hidden="false" customHeight="false" outlineLevel="0" collapsed="false">
      <c r="A4125" s="0" t="n">
        <v>50</v>
      </c>
      <c r="B4125" s="0" t="s">
        <v>62</v>
      </c>
      <c r="C4125" s="0" t="n">
        <v>2011</v>
      </c>
      <c r="D4125" s="0" t="n">
        <v>3</v>
      </c>
      <c r="E4125" s="38" t="n">
        <v>65416.56</v>
      </c>
    </row>
    <row r="4126" customFormat="false" ht="15" hidden="false" customHeight="false" outlineLevel="0" collapsed="false">
      <c r="A4126" s="0" t="n">
        <v>50</v>
      </c>
      <c r="B4126" s="0" t="s">
        <v>62</v>
      </c>
      <c r="C4126" s="0" t="n">
        <v>2011</v>
      </c>
      <c r="D4126" s="0" t="n">
        <v>4</v>
      </c>
      <c r="E4126" s="38" t="n">
        <v>63387.29</v>
      </c>
    </row>
    <row r="4127" customFormat="false" ht="15" hidden="false" customHeight="false" outlineLevel="0" collapsed="false">
      <c r="A4127" s="0" t="n">
        <v>50</v>
      </c>
      <c r="B4127" s="0" t="s">
        <v>62</v>
      </c>
      <c r="C4127" s="0" t="n">
        <v>2011</v>
      </c>
      <c r="D4127" s="0" t="n">
        <v>5</v>
      </c>
      <c r="E4127" s="38" t="n">
        <v>65660.14</v>
      </c>
    </row>
    <row r="4128" customFormat="false" ht="15" hidden="false" customHeight="false" outlineLevel="0" collapsed="false">
      <c r="A4128" s="0" t="n">
        <v>50</v>
      </c>
      <c r="B4128" s="0" t="s">
        <v>62</v>
      </c>
      <c r="C4128" s="0" t="n">
        <v>2011</v>
      </c>
      <c r="D4128" s="0" t="n">
        <v>6</v>
      </c>
      <c r="E4128" s="38" t="n">
        <v>67686.21</v>
      </c>
    </row>
    <row r="4129" customFormat="false" ht="15" hidden="false" customHeight="false" outlineLevel="0" collapsed="false">
      <c r="A4129" s="0" t="n">
        <v>50</v>
      </c>
      <c r="B4129" s="0" t="s">
        <v>62</v>
      </c>
      <c r="C4129" s="0" t="n">
        <v>2011</v>
      </c>
      <c r="D4129" s="0" t="n">
        <v>7</v>
      </c>
      <c r="E4129" s="38" t="n">
        <v>73757.21</v>
      </c>
    </row>
    <row r="4130" customFormat="false" ht="15" hidden="false" customHeight="false" outlineLevel="0" collapsed="false">
      <c r="A4130" s="0" t="n">
        <v>50</v>
      </c>
      <c r="B4130" s="0" t="s">
        <v>62</v>
      </c>
      <c r="C4130" s="0" t="n">
        <v>2011</v>
      </c>
      <c r="D4130" s="0" t="n">
        <v>8</v>
      </c>
      <c r="E4130" s="38" t="n">
        <v>62297.14</v>
      </c>
    </row>
    <row r="4131" customFormat="false" ht="15" hidden="false" customHeight="false" outlineLevel="0" collapsed="false">
      <c r="A4131" s="0" t="n">
        <v>50</v>
      </c>
      <c r="B4131" s="0" t="s">
        <v>62</v>
      </c>
      <c r="C4131" s="0" t="n">
        <v>2011</v>
      </c>
      <c r="D4131" s="0" t="n">
        <v>9</v>
      </c>
      <c r="E4131" s="38" t="n">
        <v>63288.4</v>
      </c>
    </row>
    <row r="4132" customFormat="false" ht="15" hidden="false" customHeight="false" outlineLevel="0" collapsed="false">
      <c r="A4132" s="0" t="n">
        <v>50</v>
      </c>
      <c r="B4132" s="0" t="s">
        <v>62</v>
      </c>
      <c r="C4132" s="0" t="n">
        <v>2011</v>
      </c>
      <c r="D4132" s="0" t="n">
        <v>10</v>
      </c>
      <c r="E4132" s="38" t="n">
        <v>58179.41</v>
      </c>
    </row>
    <row r="4133" customFormat="false" ht="15" hidden="false" customHeight="false" outlineLevel="0" collapsed="false">
      <c r="A4133" s="0" t="n">
        <v>50</v>
      </c>
      <c r="B4133" s="0" t="s">
        <v>62</v>
      </c>
      <c r="C4133" s="0" t="n">
        <v>2011</v>
      </c>
      <c r="D4133" s="0" t="n">
        <v>11</v>
      </c>
      <c r="E4133" s="38" t="n">
        <v>55884.01</v>
      </c>
    </row>
    <row r="4134" customFormat="false" ht="15" hidden="false" customHeight="false" outlineLevel="0" collapsed="false">
      <c r="A4134" s="0" t="n">
        <v>50</v>
      </c>
      <c r="B4134" s="0" t="s">
        <v>62</v>
      </c>
      <c r="C4134" s="0" t="n">
        <v>2011</v>
      </c>
      <c r="D4134" s="0" t="n">
        <v>12</v>
      </c>
      <c r="E4134" s="38" t="n">
        <v>66646.64</v>
      </c>
    </row>
    <row r="4135" customFormat="false" ht="15" hidden="false" customHeight="false" outlineLevel="0" collapsed="false">
      <c r="A4135" s="0" t="n">
        <v>50</v>
      </c>
      <c r="B4135" s="0" t="s">
        <v>62</v>
      </c>
      <c r="C4135" s="0" t="n">
        <v>2012</v>
      </c>
      <c r="D4135" s="0" t="n">
        <v>1</v>
      </c>
      <c r="E4135" s="38" t="n">
        <v>69080.78</v>
      </c>
    </row>
    <row r="4136" customFormat="false" ht="15" hidden="false" customHeight="false" outlineLevel="0" collapsed="false">
      <c r="A4136" s="0" t="n">
        <v>50</v>
      </c>
      <c r="B4136" s="0" t="s">
        <v>62</v>
      </c>
      <c r="C4136" s="0" t="n">
        <v>2012</v>
      </c>
      <c r="D4136" s="0" t="n">
        <v>2</v>
      </c>
      <c r="E4136" s="38" t="n">
        <v>75646.64</v>
      </c>
    </row>
    <row r="4137" customFormat="false" ht="15" hidden="false" customHeight="false" outlineLevel="0" collapsed="false">
      <c r="A4137" s="0" t="n">
        <v>50</v>
      </c>
      <c r="B4137" s="0" t="s">
        <v>62</v>
      </c>
      <c r="C4137" s="0" t="n">
        <v>2012</v>
      </c>
      <c r="D4137" s="0" t="n">
        <v>3</v>
      </c>
      <c r="E4137" s="38" t="n">
        <v>68245.2</v>
      </c>
    </row>
    <row r="4138" customFormat="false" ht="15" hidden="false" customHeight="false" outlineLevel="0" collapsed="false">
      <c r="A4138" s="0" t="n">
        <v>50</v>
      </c>
      <c r="B4138" s="0" t="s">
        <v>62</v>
      </c>
      <c r="C4138" s="0" t="n">
        <v>2012</v>
      </c>
      <c r="D4138" s="0" t="n">
        <v>4</v>
      </c>
      <c r="E4138" s="38" t="n">
        <v>68382.53</v>
      </c>
    </row>
    <row r="4139" customFormat="false" ht="15" hidden="false" customHeight="false" outlineLevel="0" collapsed="false">
      <c r="A4139" s="0" t="n">
        <v>50</v>
      </c>
      <c r="B4139" s="0" t="s">
        <v>62</v>
      </c>
      <c r="C4139" s="0" t="n">
        <v>2012</v>
      </c>
      <c r="D4139" s="0" t="n">
        <v>5</v>
      </c>
      <c r="E4139" s="38" t="n">
        <v>71529.36</v>
      </c>
    </row>
    <row r="4140" customFormat="false" ht="15" hidden="false" customHeight="false" outlineLevel="0" collapsed="false">
      <c r="A4140" s="0" t="n">
        <v>50</v>
      </c>
      <c r="B4140" s="0" t="s">
        <v>62</v>
      </c>
      <c r="C4140" s="0" t="n">
        <v>2012</v>
      </c>
      <c r="D4140" s="0" t="n">
        <v>6</v>
      </c>
      <c r="E4140" s="38" t="n">
        <v>75399.72</v>
      </c>
    </row>
    <row r="4141" customFormat="false" ht="15" hidden="false" customHeight="false" outlineLevel="0" collapsed="false">
      <c r="A4141" s="0" t="n">
        <v>50</v>
      </c>
      <c r="B4141" s="0" t="s">
        <v>62</v>
      </c>
      <c r="C4141" s="0" t="n">
        <v>2012</v>
      </c>
      <c r="D4141" s="0" t="n">
        <v>7</v>
      </c>
      <c r="E4141" s="38" t="n">
        <v>82705</v>
      </c>
    </row>
    <row r="4142" customFormat="false" ht="15" hidden="false" customHeight="false" outlineLevel="0" collapsed="false">
      <c r="A4142" s="0" t="n">
        <v>50</v>
      </c>
      <c r="B4142" s="0" t="s">
        <v>62</v>
      </c>
      <c r="C4142" s="0" t="n">
        <v>2012</v>
      </c>
      <c r="D4142" s="0" t="n">
        <v>8</v>
      </c>
      <c r="E4142" s="38" t="n">
        <v>70375.42</v>
      </c>
    </row>
    <row r="4143" customFormat="false" ht="15" hidden="false" customHeight="false" outlineLevel="0" collapsed="false">
      <c r="A4143" s="0" t="n">
        <v>50</v>
      </c>
      <c r="B4143" s="0" t="s">
        <v>62</v>
      </c>
      <c r="C4143" s="0" t="n">
        <v>2012</v>
      </c>
      <c r="D4143" s="0" t="n">
        <v>9</v>
      </c>
      <c r="E4143" s="38" t="n">
        <v>72942</v>
      </c>
    </row>
    <row r="4144" customFormat="false" ht="15" hidden="false" customHeight="false" outlineLevel="0" collapsed="false">
      <c r="A4144" s="0" t="n">
        <v>50</v>
      </c>
      <c r="B4144" s="0" t="s">
        <v>62</v>
      </c>
      <c r="C4144" s="0" t="n">
        <v>2012</v>
      </c>
      <c r="D4144" s="0" t="n">
        <v>10</v>
      </c>
      <c r="E4144" s="38" t="n">
        <v>65615.07</v>
      </c>
    </row>
    <row r="4145" customFormat="false" ht="15" hidden="false" customHeight="false" outlineLevel="0" collapsed="false">
      <c r="A4145" s="0" t="n">
        <v>50</v>
      </c>
      <c r="B4145" s="0" t="s">
        <v>62</v>
      </c>
      <c r="C4145" s="0" t="n">
        <v>2012</v>
      </c>
      <c r="D4145" s="0" t="n">
        <v>11</v>
      </c>
      <c r="E4145" s="38" t="n">
        <v>70338.5</v>
      </c>
    </row>
    <row r="4146" customFormat="false" ht="15" hidden="false" customHeight="false" outlineLevel="0" collapsed="false">
      <c r="A4146" s="0" t="n">
        <v>50</v>
      </c>
      <c r="B4146" s="0" t="s">
        <v>62</v>
      </c>
      <c r="C4146" s="0" t="n">
        <v>2012</v>
      </c>
      <c r="D4146" s="0" t="n">
        <v>12</v>
      </c>
      <c r="E4146" s="38" t="n">
        <v>75352.08</v>
      </c>
    </row>
    <row r="4147" customFormat="false" ht="15" hidden="false" customHeight="false" outlineLevel="0" collapsed="false">
      <c r="A4147" s="0" t="n">
        <v>50</v>
      </c>
      <c r="B4147" s="0" t="s">
        <v>62</v>
      </c>
      <c r="C4147" s="0" t="n">
        <v>2013</v>
      </c>
      <c r="D4147" s="0" t="n">
        <v>1</v>
      </c>
      <c r="E4147" s="38" t="n">
        <v>80402.55</v>
      </c>
    </row>
    <row r="4148" customFormat="false" ht="15" hidden="false" customHeight="false" outlineLevel="0" collapsed="false">
      <c r="A4148" s="0" t="n">
        <v>50</v>
      </c>
      <c r="B4148" s="0" t="s">
        <v>62</v>
      </c>
      <c r="C4148" s="0" t="n">
        <v>2013</v>
      </c>
      <c r="D4148" s="0" t="n">
        <v>2</v>
      </c>
      <c r="E4148" s="38" t="n">
        <v>82249.28</v>
      </c>
    </row>
    <row r="4149" customFormat="false" ht="15" hidden="false" customHeight="false" outlineLevel="0" collapsed="false">
      <c r="A4149" s="0" t="n">
        <v>50</v>
      </c>
      <c r="B4149" s="0" t="s">
        <v>62</v>
      </c>
      <c r="C4149" s="0" t="n">
        <v>2013</v>
      </c>
      <c r="D4149" s="0" t="n">
        <v>3</v>
      </c>
      <c r="E4149" s="38" t="n">
        <v>70726</v>
      </c>
    </row>
    <row r="4150" customFormat="false" ht="15" hidden="false" customHeight="false" outlineLevel="0" collapsed="false">
      <c r="A4150" s="0" t="n">
        <v>50</v>
      </c>
      <c r="B4150" s="0" t="s">
        <v>62</v>
      </c>
      <c r="C4150" s="0" t="n">
        <v>2013</v>
      </c>
      <c r="D4150" s="0" t="n">
        <v>4</v>
      </c>
      <c r="E4150" s="38" t="n">
        <v>71224.43</v>
      </c>
    </row>
    <row r="4151" customFormat="false" ht="15" hidden="false" customHeight="false" outlineLevel="0" collapsed="false">
      <c r="A4151" s="0" t="n">
        <v>50</v>
      </c>
      <c r="B4151" s="0" t="s">
        <v>62</v>
      </c>
      <c r="C4151" s="0" t="n">
        <v>2013</v>
      </c>
      <c r="D4151" s="0" t="n">
        <v>5</v>
      </c>
      <c r="E4151" s="38" t="n">
        <v>73587.85</v>
      </c>
    </row>
    <row r="4152" customFormat="false" ht="15" hidden="false" customHeight="false" outlineLevel="0" collapsed="false">
      <c r="A4152" s="0" t="n">
        <v>50</v>
      </c>
      <c r="B4152" s="0" t="s">
        <v>62</v>
      </c>
      <c r="C4152" s="0" t="n">
        <v>2013</v>
      </c>
      <c r="D4152" s="0" t="n">
        <v>6</v>
      </c>
      <c r="E4152" s="38" t="n">
        <v>79245.37</v>
      </c>
    </row>
    <row r="4153" customFormat="false" ht="15" hidden="false" customHeight="false" outlineLevel="0" collapsed="false">
      <c r="A4153" s="0" t="n">
        <v>50</v>
      </c>
      <c r="B4153" s="0" t="s">
        <v>62</v>
      </c>
      <c r="C4153" s="0" t="n">
        <v>2013</v>
      </c>
      <c r="D4153" s="0" t="n">
        <v>7</v>
      </c>
      <c r="E4153" s="38" t="n">
        <v>87627</v>
      </c>
    </row>
    <row r="4154" customFormat="false" ht="15" hidden="false" customHeight="false" outlineLevel="0" collapsed="false">
      <c r="A4154" s="0" t="n">
        <v>50</v>
      </c>
      <c r="B4154" s="0" t="s">
        <v>62</v>
      </c>
      <c r="C4154" s="0" t="n">
        <v>2013</v>
      </c>
      <c r="D4154" s="0" t="n">
        <v>8</v>
      </c>
      <c r="E4154" s="38" t="n">
        <v>72739.64</v>
      </c>
    </row>
    <row r="4155" customFormat="false" ht="15" hidden="false" customHeight="false" outlineLevel="0" collapsed="false">
      <c r="A4155" s="0" t="n">
        <v>51</v>
      </c>
      <c r="B4155" s="0" t="s">
        <v>60</v>
      </c>
      <c r="C4155" s="0" t="n">
        <v>2011</v>
      </c>
      <c r="D4155" s="0" t="n">
        <v>1</v>
      </c>
      <c r="E4155" s="38" t="n">
        <v>1874.84</v>
      </c>
    </row>
    <row r="4156" customFormat="false" ht="15" hidden="false" customHeight="false" outlineLevel="0" collapsed="false">
      <c r="A4156" s="0" t="n">
        <v>51</v>
      </c>
      <c r="B4156" s="0" t="s">
        <v>60</v>
      </c>
      <c r="C4156" s="0" t="n">
        <v>2011</v>
      </c>
      <c r="D4156" s="0" t="n">
        <v>2</v>
      </c>
      <c r="E4156" s="38" t="n">
        <v>1438.04</v>
      </c>
    </row>
    <row r="4157" customFormat="false" ht="15" hidden="false" customHeight="false" outlineLevel="0" collapsed="false">
      <c r="A4157" s="0" t="n">
        <v>51</v>
      </c>
      <c r="B4157" s="0" t="s">
        <v>60</v>
      </c>
      <c r="C4157" s="0" t="n">
        <v>2011</v>
      </c>
      <c r="D4157" s="0" t="n">
        <v>3</v>
      </c>
      <c r="E4157" s="38" t="n">
        <v>1856.31</v>
      </c>
    </row>
    <row r="4158" customFormat="false" ht="15" hidden="false" customHeight="false" outlineLevel="0" collapsed="false">
      <c r="A4158" s="0" t="n">
        <v>51</v>
      </c>
      <c r="B4158" s="0" t="s">
        <v>60</v>
      </c>
      <c r="C4158" s="0" t="n">
        <v>2011</v>
      </c>
      <c r="D4158" s="0" t="n">
        <v>4</v>
      </c>
      <c r="E4158" s="38" t="n">
        <v>1994.65</v>
      </c>
    </row>
    <row r="4159" customFormat="false" ht="15" hidden="false" customHeight="false" outlineLevel="0" collapsed="false">
      <c r="A4159" s="0" t="n">
        <v>51</v>
      </c>
      <c r="B4159" s="0" t="s">
        <v>60</v>
      </c>
      <c r="C4159" s="0" t="n">
        <v>2011</v>
      </c>
      <c r="D4159" s="0" t="n">
        <v>5</v>
      </c>
      <c r="E4159" s="38" t="n">
        <v>1966.55</v>
      </c>
    </row>
    <row r="4160" customFormat="false" ht="15" hidden="false" customHeight="false" outlineLevel="0" collapsed="false">
      <c r="A4160" s="0" t="n">
        <v>51</v>
      </c>
      <c r="B4160" s="0" t="s">
        <v>60</v>
      </c>
      <c r="C4160" s="0" t="n">
        <v>2011</v>
      </c>
      <c r="D4160" s="0" t="n">
        <v>6</v>
      </c>
      <c r="E4160" s="38" t="n">
        <v>1452.04</v>
      </c>
    </row>
    <row r="4161" customFormat="false" ht="15" hidden="false" customHeight="false" outlineLevel="0" collapsed="false">
      <c r="A4161" s="0" t="n">
        <v>51</v>
      </c>
      <c r="B4161" s="0" t="s">
        <v>60</v>
      </c>
      <c r="C4161" s="0" t="n">
        <v>2011</v>
      </c>
      <c r="D4161" s="0" t="n">
        <v>7</v>
      </c>
      <c r="E4161" s="38" t="n">
        <v>990.01</v>
      </c>
    </row>
    <row r="4162" customFormat="false" ht="15" hidden="false" customHeight="false" outlineLevel="0" collapsed="false">
      <c r="A4162" s="0" t="n">
        <v>51</v>
      </c>
      <c r="B4162" s="0" t="s">
        <v>60</v>
      </c>
      <c r="C4162" s="0" t="n">
        <v>2011</v>
      </c>
      <c r="D4162" s="0" t="n">
        <v>8</v>
      </c>
      <c r="E4162" s="38" t="n">
        <v>430.55</v>
      </c>
    </row>
    <row r="4163" customFormat="false" ht="15" hidden="false" customHeight="false" outlineLevel="0" collapsed="false">
      <c r="A4163" s="0" t="n">
        <v>51</v>
      </c>
      <c r="B4163" s="0" t="s">
        <v>60</v>
      </c>
      <c r="C4163" s="0" t="n">
        <v>2011</v>
      </c>
      <c r="D4163" s="0" t="n">
        <v>9</v>
      </c>
      <c r="E4163" s="38" t="n">
        <v>319.37</v>
      </c>
    </row>
    <row r="4164" customFormat="false" ht="15" hidden="false" customHeight="false" outlineLevel="0" collapsed="false">
      <c r="A4164" s="0" t="n">
        <v>51</v>
      </c>
      <c r="B4164" s="0" t="s">
        <v>60</v>
      </c>
      <c r="C4164" s="0" t="n">
        <v>2011</v>
      </c>
      <c r="D4164" s="0" t="n">
        <v>10</v>
      </c>
      <c r="E4164" s="38" t="n">
        <v>418.24</v>
      </c>
    </row>
    <row r="4165" customFormat="false" ht="15" hidden="false" customHeight="false" outlineLevel="0" collapsed="false">
      <c r="A4165" s="0" t="n">
        <v>51</v>
      </c>
      <c r="B4165" s="0" t="s">
        <v>60</v>
      </c>
      <c r="C4165" s="0" t="n">
        <v>2011</v>
      </c>
      <c r="D4165" s="0" t="n">
        <v>11</v>
      </c>
      <c r="E4165" s="38" t="n">
        <v>1761.57</v>
      </c>
    </row>
    <row r="4166" customFormat="false" ht="15" hidden="false" customHeight="false" outlineLevel="0" collapsed="false">
      <c r="A4166" s="0" t="n">
        <v>51</v>
      </c>
      <c r="B4166" s="0" t="s">
        <v>60</v>
      </c>
      <c r="C4166" s="0" t="n">
        <v>2011</v>
      </c>
      <c r="D4166" s="0" t="n">
        <v>12</v>
      </c>
      <c r="E4166" s="38" t="n">
        <v>782.32</v>
      </c>
    </row>
    <row r="4167" customFormat="false" ht="15" hidden="false" customHeight="false" outlineLevel="0" collapsed="false">
      <c r="A4167" s="0" t="n">
        <v>51</v>
      </c>
      <c r="B4167" s="0" t="s">
        <v>60</v>
      </c>
      <c r="C4167" s="0" t="n">
        <v>2012</v>
      </c>
      <c r="D4167" s="0" t="n">
        <v>1</v>
      </c>
      <c r="E4167" s="38" t="n">
        <v>169.75</v>
      </c>
    </row>
    <row r="4168" customFormat="false" ht="15" hidden="false" customHeight="false" outlineLevel="0" collapsed="false">
      <c r="A4168" s="0" t="n">
        <v>51</v>
      </c>
      <c r="B4168" s="0" t="s">
        <v>60</v>
      </c>
      <c r="C4168" s="0" t="n">
        <v>2012</v>
      </c>
      <c r="D4168" s="0" t="n">
        <v>2</v>
      </c>
      <c r="E4168" s="38" t="n">
        <v>161.3</v>
      </c>
    </row>
    <row r="4169" customFormat="false" ht="15" hidden="false" customHeight="false" outlineLevel="0" collapsed="false">
      <c r="A4169" s="0" t="n">
        <v>51</v>
      </c>
      <c r="B4169" s="0" t="s">
        <v>60</v>
      </c>
      <c r="C4169" s="0" t="n">
        <v>2012</v>
      </c>
      <c r="D4169" s="0" t="n">
        <v>3</v>
      </c>
      <c r="E4169" s="38" t="n">
        <v>294.19</v>
      </c>
    </row>
    <row r="4170" customFormat="false" ht="15" hidden="false" customHeight="false" outlineLevel="0" collapsed="false">
      <c r="A4170" s="0" t="n">
        <v>51</v>
      </c>
      <c r="B4170" s="0" t="s">
        <v>60</v>
      </c>
      <c r="C4170" s="0" t="n">
        <v>2012</v>
      </c>
      <c r="D4170" s="0" t="n">
        <v>4</v>
      </c>
      <c r="E4170" s="38" t="n">
        <v>231.92</v>
      </c>
    </row>
    <row r="4171" customFormat="false" ht="15" hidden="false" customHeight="false" outlineLevel="0" collapsed="false">
      <c r="A4171" s="0" t="n">
        <v>51</v>
      </c>
      <c r="B4171" s="0" t="s">
        <v>60</v>
      </c>
      <c r="C4171" s="0" t="n">
        <v>2012</v>
      </c>
      <c r="D4171" s="0" t="n">
        <v>5</v>
      </c>
      <c r="E4171" s="38" t="n">
        <v>304.32</v>
      </c>
    </row>
    <row r="4172" customFormat="false" ht="15" hidden="false" customHeight="false" outlineLevel="0" collapsed="false">
      <c r="A4172" s="0" t="n">
        <v>51</v>
      </c>
      <c r="B4172" s="0" t="s">
        <v>60</v>
      </c>
      <c r="C4172" s="0" t="n">
        <v>2012</v>
      </c>
      <c r="D4172" s="0" t="n">
        <v>6</v>
      </c>
      <c r="E4172" s="38" t="n">
        <v>344.73</v>
      </c>
    </row>
    <row r="4173" customFormat="false" ht="15" hidden="false" customHeight="false" outlineLevel="0" collapsed="false">
      <c r="A4173" s="0" t="n">
        <v>51</v>
      </c>
      <c r="B4173" s="0" t="s">
        <v>60</v>
      </c>
      <c r="C4173" s="0" t="n">
        <v>2012</v>
      </c>
      <c r="D4173" s="0" t="n">
        <v>7</v>
      </c>
      <c r="E4173" s="38" t="n">
        <v>236.99</v>
      </c>
    </row>
    <row r="4174" customFormat="false" ht="15" hidden="false" customHeight="false" outlineLevel="0" collapsed="false">
      <c r="A4174" s="0" t="n">
        <v>51</v>
      </c>
      <c r="B4174" s="0" t="s">
        <v>60</v>
      </c>
      <c r="C4174" s="0" t="n">
        <v>2012</v>
      </c>
      <c r="D4174" s="0" t="n">
        <v>8</v>
      </c>
      <c r="E4174" s="38" t="n">
        <v>38.19</v>
      </c>
    </row>
    <row r="4175" customFormat="false" ht="15" hidden="false" customHeight="false" outlineLevel="0" collapsed="false">
      <c r="A4175" s="0" t="n">
        <v>51</v>
      </c>
      <c r="B4175" s="0" t="s">
        <v>60</v>
      </c>
      <c r="C4175" s="0" t="n">
        <v>2012</v>
      </c>
      <c r="D4175" s="0" t="n">
        <v>9</v>
      </c>
      <c r="E4175" s="38" t="n">
        <v>13.84</v>
      </c>
    </row>
    <row r="4176" customFormat="false" ht="15" hidden="false" customHeight="false" outlineLevel="0" collapsed="false">
      <c r="A4176" s="0" t="n">
        <v>51</v>
      </c>
      <c r="B4176" s="0" t="s">
        <v>60</v>
      </c>
      <c r="C4176" s="0" t="n">
        <v>2012</v>
      </c>
      <c r="D4176" s="0" t="n">
        <v>10</v>
      </c>
      <c r="E4176" s="38" t="n">
        <v>0.43</v>
      </c>
    </row>
    <row r="4177" customFormat="false" ht="15" hidden="false" customHeight="false" outlineLevel="0" collapsed="false">
      <c r="A4177" s="0" t="n">
        <v>51</v>
      </c>
      <c r="B4177" s="0" t="s">
        <v>60</v>
      </c>
      <c r="C4177" s="0" t="n">
        <v>2012</v>
      </c>
      <c r="D4177" s="0" t="n">
        <v>11</v>
      </c>
      <c r="E4177" s="38" t="n">
        <v>24.34</v>
      </c>
    </row>
    <row r="4178" customFormat="false" ht="15" hidden="false" customHeight="false" outlineLevel="0" collapsed="false">
      <c r="A4178" s="0" t="n">
        <v>51</v>
      </c>
      <c r="B4178" s="0" t="s">
        <v>60</v>
      </c>
      <c r="C4178" s="0" t="n">
        <v>2012</v>
      </c>
      <c r="D4178" s="0" t="n">
        <v>12</v>
      </c>
      <c r="E4178" s="38" t="n">
        <v>14.46</v>
      </c>
    </row>
    <row r="4179" customFormat="false" ht="15" hidden="false" customHeight="false" outlineLevel="0" collapsed="false">
      <c r="A4179" s="0" t="n">
        <v>51</v>
      </c>
      <c r="B4179" s="0" t="s">
        <v>60</v>
      </c>
      <c r="C4179" s="0" t="n">
        <v>2013</v>
      </c>
      <c r="D4179" s="0" t="n">
        <v>2</v>
      </c>
      <c r="E4179" s="38" t="n">
        <v>23.06</v>
      </c>
    </row>
    <row r="4180" customFormat="false" ht="15" hidden="false" customHeight="false" outlineLevel="0" collapsed="false">
      <c r="A4180" s="0" t="n">
        <v>51</v>
      </c>
      <c r="B4180" s="0" t="s">
        <v>60</v>
      </c>
      <c r="C4180" s="0" t="n">
        <v>2013</v>
      </c>
      <c r="D4180" s="0" t="n">
        <v>3</v>
      </c>
      <c r="E4180" s="38" t="n">
        <v>52.01</v>
      </c>
    </row>
    <row r="4181" customFormat="false" ht="15" hidden="false" customHeight="false" outlineLevel="0" collapsed="false">
      <c r="A4181" s="0" t="n">
        <v>51</v>
      </c>
      <c r="B4181" s="0" t="s">
        <v>60</v>
      </c>
      <c r="C4181" s="0" t="n">
        <v>2013</v>
      </c>
      <c r="D4181" s="0" t="n">
        <v>4</v>
      </c>
      <c r="E4181" s="38" t="n">
        <v>111.15</v>
      </c>
    </row>
    <row r="4182" customFormat="false" ht="15" hidden="false" customHeight="false" outlineLevel="0" collapsed="false">
      <c r="A4182" s="0" t="n">
        <v>51</v>
      </c>
      <c r="B4182" s="0" t="s">
        <v>60</v>
      </c>
      <c r="C4182" s="0" t="n">
        <v>2013</v>
      </c>
      <c r="D4182" s="0" t="n">
        <v>5</v>
      </c>
      <c r="E4182" s="38" t="n">
        <v>140.93</v>
      </c>
    </row>
    <row r="4183" customFormat="false" ht="15" hidden="false" customHeight="false" outlineLevel="0" collapsed="false">
      <c r="A4183" s="0" t="n">
        <v>51</v>
      </c>
      <c r="B4183" s="0" t="s">
        <v>60</v>
      </c>
      <c r="C4183" s="0" t="n">
        <v>2013</v>
      </c>
      <c r="D4183" s="0" t="n">
        <v>6</v>
      </c>
      <c r="E4183" s="38" t="n">
        <v>83.22</v>
      </c>
    </row>
    <row r="4184" customFormat="false" ht="15" hidden="false" customHeight="false" outlineLevel="0" collapsed="false">
      <c r="A4184" s="0" t="n">
        <v>51</v>
      </c>
      <c r="B4184" s="0" t="s">
        <v>60</v>
      </c>
      <c r="C4184" s="0" t="n">
        <v>2013</v>
      </c>
      <c r="D4184" s="0" t="n">
        <v>7</v>
      </c>
      <c r="E4184" s="38" t="n">
        <v>16.95</v>
      </c>
    </row>
    <row r="4185" customFormat="false" ht="15" hidden="false" customHeight="false" outlineLevel="0" collapsed="false">
      <c r="A4185" s="0" t="n">
        <v>51</v>
      </c>
      <c r="B4185" s="0" t="s">
        <v>60</v>
      </c>
      <c r="C4185" s="0" t="n">
        <v>2013</v>
      </c>
      <c r="D4185" s="0" t="n">
        <v>8</v>
      </c>
      <c r="E4185" s="38" t="n">
        <v>-148.76</v>
      </c>
    </row>
    <row r="4186" customFormat="false" ht="15" hidden="false" customHeight="false" outlineLevel="0" collapsed="false">
      <c r="A4186" s="0" t="n">
        <v>51</v>
      </c>
      <c r="B4186" s="0" t="s">
        <v>62</v>
      </c>
      <c r="C4186" s="0" t="n">
        <v>2011</v>
      </c>
      <c r="D4186" s="0" t="n">
        <v>1</v>
      </c>
      <c r="E4186" s="38" t="n">
        <v>1350.47</v>
      </c>
    </row>
    <row r="4187" customFormat="false" ht="15" hidden="false" customHeight="false" outlineLevel="0" collapsed="false">
      <c r="A4187" s="0" t="n">
        <v>51</v>
      </c>
      <c r="B4187" s="0" t="s">
        <v>62</v>
      </c>
      <c r="C4187" s="0" t="n">
        <v>2011</v>
      </c>
      <c r="D4187" s="0" t="n">
        <v>2</v>
      </c>
      <c r="E4187" s="38" t="n">
        <v>1053.73</v>
      </c>
    </row>
    <row r="4188" customFormat="false" ht="15" hidden="false" customHeight="false" outlineLevel="0" collapsed="false">
      <c r="A4188" s="0" t="n">
        <v>51</v>
      </c>
      <c r="B4188" s="0" t="s">
        <v>62</v>
      </c>
      <c r="C4188" s="0" t="n">
        <v>2011</v>
      </c>
      <c r="D4188" s="0" t="n">
        <v>3</v>
      </c>
      <c r="E4188" s="38" t="n">
        <v>852.16</v>
      </c>
    </row>
    <row r="4189" customFormat="false" ht="15" hidden="false" customHeight="false" outlineLevel="0" collapsed="false">
      <c r="A4189" s="0" t="n">
        <v>51</v>
      </c>
      <c r="B4189" s="0" t="s">
        <v>62</v>
      </c>
      <c r="C4189" s="0" t="n">
        <v>2011</v>
      </c>
      <c r="D4189" s="0" t="n">
        <v>4</v>
      </c>
      <c r="E4189" s="38" t="n">
        <v>1227.44</v>
      </c>
    </row>
    <row r="4190" customFormat="false" ht="15" hidden="false" customHeight="false" outlineLevel="0" collapsed="false">
      <c r="A4190" s="0" t="n">
        <v>51</v>
      </c>
      <c r="B4190" s="0" t="s">
        <v>62</v>
      </c>
      <c r="C4190" s="0" t="n">
        <v>2011</v>
      </c>
      <c r="D4190" s="0" t="n">
        <v>5</v>
      </c>
      <c r="E4190" s="38" t="n">
        <v>1550.97</v>
      </c>
    </row>
    <row r="4191" customFormat="false" ht="15" hidden="false" customHeight="false" outlineLevel="0" collapsed="false">
      <c r="A4191" s="0" t="n">
        <v>51</v>
      </c>
      <c r="B4191" s="0" t="s">
        <v>62</v>
      </c>
      <c r="C4191" s="0" t="n">
        <v>2011</v>
      </c>
      <c r="D4191" s="0" t="n">
        <v>6</v>
      </c>
      <c r="E4191" s="38" t="n">
        <v>1075.8</v>
      </c>
    </row>
    <row r="4192" customFormat="false" ht="15" hidden="false" customHeight="false" outlineLevel="0" collapsed="false">
      <c r="A4192" s="0" t="n">
        <v>51</v>
      </c>
      <c r="B4192" s="0" t="s">
        <v>62</v>
      </c>
      <c r="C4192" s="0" t="n">
        <v>2011</v>
      </c>
      <c r="D4192" s="0" t="n">
        <v>7</v>
      </c>
      <c r="E4192" s="38" t="n">
        <v>976.35</v>
      </c>
    </row>
    <row r="4193" customFormat="false" ht="15" hidden="false" customHeight="false" outlineLevel="0" collapsed="false">
      <c r="A4193" s="0" t="n">
        <v>51</v>
      </c>
      <c r="B4193" s="0" t="s">
        <v>62</v>
      </c>
      <c r="C4193" s="0" t="n">
        <v>2011</v>
      </c>
      <c r="D4193" s="0" t="n">
        <v>8</v>
      </c>
      <c r="E4193" s="38" t="n">
        <v>550.11</v>
      </c>
    </row>
    <row r="4194" customFormat="false" ht="15" hidden="false" customHeight="false" outlineLevel="0" collapsed="false">
      <c r="A4194" s="0" t="n">
        <v>51</v>
      </c>
      <c r="B4194" s="0" t="s">
        <v>62</v>
      </c>
      <c r="C4194" s="0" t="n">
        <v>2011</v>
      </c>
      <c r="D4194" s="0" t="n">
        <v>9</v>
      </c>
      <c r="E4194" s="38" t="n">
        <v>242.77</v>
      </c>
    </row>
    <row r="4195" customFormat="false" ht="15" hidden="false" customHeight="false" outlineLevel="0" collapsed="false">
      <c r="A4195" s="0" t="n">
        <v>51</v>
      </c>
      <c r="B4195" s="0" t="s">
        <v>62</v>
      </c>
      <c r="C4195" s="0" t="n">
        <v>2011</v>
      </c>
      <c r="D4195" s="0" t="n">
        <v>10</v>
      </c>
      <c r="E4195" s="38" t="n">
        <v>272.09</v>
      </c>
    </row>
    <row r="4196" customFormat="false" ht="15" hidden="false" customHeight="false" outlineLevel="0" collapsed="false">
      <c r="A4196" s="0" t="n">
        <v>51</v>
      </c>
      <c r="B4196" s="0" t="s">
        <v>62</v>
      </c>
      <c r="C4196" s="0" t="n">
        <v>2011</v>
      </c>
      <c r="D4196" s="0" t="n">
        <v>11</v>
      </c>
      <c r="E4196" s="38" t="n">
        <v>545.96</v>
      </c>
    </row>
    <row r="4197" customFormat="false" ht="15" hidden="false" customHeight="false" outlineLevel="0" collapsed="false">
      <c r="A4197" s="0" t="n">
        <v>51</v>
      </c>
      <c r="B4197" s="0" t="s">
        <v>62</v>
      </c>
      <c r="C4197" s="0" t="n">
        <v>2011</v>
      </c>
      <c r="D4197" s="0" t="n">
        <v>12</v>
      </c>
      <c r="E4197" s="38" t="n">
        <v>74.4</v>
      </c>
    </row>
    <row r="4198" customFormat="false" ht="15" hidden="false" customHeight="false" outlineLevel="0" collapsed="false">
      <c r="A4198" s="0" t="n">
        <v>51</v>
      </c>
      <c r="B4198" s="0" t="s">
        <v>62</v>
      </c>
      <c r="C4198" s="0" t="n">
        <v>2012</v>
      </c>
      <c r="D4198" s="0" t="n">
        <v>1</v>
      </c>
      <c r="E4198" s="38" t="n">
        <v>26.23</v>
      </c>
    </row>
    <row r="4199" customFormat="false" ht="15" hidden="false" customHeight="false" outlineLevel="0" collapsed="false">
      <c r="A4199" s="0" t="n">
        <v>51</v>
      </c>
      <c r="B4199" s="0" t="s">
        <v>62</v>
      </c>
      <c r="C4199" s="0" t="n">
        <v>2012</v>
      </c>
      <c r="D4199" s="0" t="n">
        <v>2</v>
      </c>
      <c r="E4199" s="38" t="n">
        <v>159.44</v>
      </c>
    </row>
    <row r="4200" customFormat="false" ht="15" hidden="false" customHeight="false" outlineLevel="0" collapsed="false">
      <c r="A4200" s="0" t="n">
        <v>51</v>
      </c>
      <c r="B4200" s="0" t="s">
        <v>62</v>
      </c>
      <c r="C4200" s="0" t="n">
        <v>2012</v>
      </c>
      <c r="D4200" s="0" t="n">
        <v>3</v>
      </c>
      <c r="E4200" s="38" t="n">
        <v>181.09</v>
      </c>
    </row>
    <row r="4201" customFormat="false" ht="15" hidden="false" customHeight="false" outlineLevel="0" collapsed="false">
      <c r="A4201" s="0" t="n">
        <v>51</v>
      </c>
      <c r="B4201" s="0" t="s">
        <v>62</v>
      </c>
      <c r="C4201" s="0" t="n">
        <v>2012</v>
      </c>
      <c r="D4201" s="0" t="n">
        <v>4</v>
      </c>
      <c r="E4201" s="38" t="n">
        <v>325.55</v>
      </c>
    </row>
    <row r="4202" customFormat="false" ht="15" hidden="false" customHeight="false" outlineLevel="0" collapsed="false">
      <c r="A4202" s="0" t="n">
        <v>51</v>
      </c>
      <c r="B4202" s="0" t="s">
        <v>62</v>
      </c>
      <c r="C4202" s="0" t="n">
        <v>2012</v>
      </c>
      <c r="D4202" s="0" t="n">
        <v>5</v>
      </c>
      <c r="E4202" s="38" t="n">
        <v>603.31</v>
      </c>
    </row>
    <row r="4203" customFormat="false" ht="15" hidden="false" customHeight="false" outlineLevel="0" collapsed="false">
      <c r="A4203" s="0" t="n">
        <v>51</v>
      </c>
      <c r="B4203" s="0" t="s">
        <v>62</v>
      </c>
      <c r="C4203" s="0" t="n">
        <v>2012</v>
      </c>
      <c r="D4203" s="0" t="n">
        <v>6</v>
      </c>
      <c r="E4203" s="38" t="n">
        <v>708.94</v>
      </c>
    </row>
    <row r="4204" customFormat="false" ht="15" hidden="false" customHeight="false" outlineLevel="0" collapsed="false">
      <c r="A4204" s="0" t="n">
        <v>51</v>
      </c>
      <c r="B4204" s="0" t="s">
        <v>62</v>
      </c>
      <c r="C4204" s="0" t="n">
        <v>2012</v>
      </c>
      <c r="D4204" s="0" t="n">
        <v>7</v>
      </c>
      <c r="E4204" s="38" t="n">
        <v>574.12</v>
      </c>
    </row>
    <row r="4205" customFormat="false" ht="15" hidden="false" customHeight="false" outlineLevel="0" collapsed="false">
      <c r="A4205" s="0" t="n">
        <v>51</v>
      </c>
      <c r="B4205" s="0" t="s">
        <v>62</v>
      </c>
      <c r="C4205" s="0" t="n">
        <v>2012</v>
      </c>
      <c r="D4205" s="0" t="n">
        <v>8</v>
      </c>
      <c r="E4205" s="38" t="n">
        <v>297.9</v>
      </c>
    </row>
    <row r="4206" customFormat="false" ht="15" hidden="false" customHeight="false" outlineLevel="0" collapsed="false">
      <c r="A4206" s="0" t="n">
        <v>51</v>
      </c>
      <c r="B4206" s="0" t="s">
        <v>62</v>
      </c>
      <c r="C4206" s="0" t="n">
        <v>2012</v>
      </c>
      <c r="D4206" s="0" t="n">
        <v>9</v>
      </c>
      <c r="E4206" s="38" t="n">
        <v>50.21</v>
      </c>
    </row>
    <row r="4207" customFormat="false" ht="15" hidden="false" customHeight="false" outlineLevel="0" collapsed="false">
      <c r="A4207" s="0" t="n">
        <v>51</v>
      </c>
      <c r="B4207" s="0" t="s">
        <v>62</v>
      </c>
      <c r="C4207" s="0" t="n">
        <v>2012</v>
      </c>
      <c r="D4207" s="0" t="n">
        <v>10</v>
      </c>
      <c r="E4207" s="38" t="n">
        <v>54.5</v>
      </c>
    </row>
    <row r="4208" customFormat="false" ht="15" hidden="false" customHeight="false" outlineLevel="0" collapsed="false">
      <c r="A4208" s="0" t="n">
        <v>51</v>
      </c>
      <c r="B4208" s="0" t="s">
        <v>62</v>
      </c>
      <c r="C4208" s="0" t="n">
        <v>2012</v>
      </c>
      <c r="D4208" s="0" t="n">
        <v>11</v>
      </c>
      <c r="E4208" s="38" t="n">
        <v>184.16</v>
      </c>
    </row>
    <row r="4209" customFormat="false" ht="15" hidden="false" customHeight="false" outlineLevel="0" collapsed="false">
      <c r="A4209" s="0" t="n">
        <v>51</v>
      </c>
      <c r="B4209" s="0" t="s">
        <v>62</v>
      </c>
      <c r="C4209" s="0" t="n">
        <v>2012</v>
      </c>
      <c r="D4209" s="0" t="n">
        <v>12</v>
      </c>
      <c r="E4209" s="38" t="n">
        <v>0.96</v>
      </c>
    </row>
    <row r="4210" customFormat="false" ht="15" hidden="false" customHeight="false" outlineLevel="0" collapsed="false">
      <c r="A4210" s="0" t="n">
        <v>51</v>
      </c>
      <c r="B4210" s="0" t="s">
        <v>62</v>
      </c>
      <c r="C4210" s="0" t="n">
        <v>2013</v>
      </c>
      <c r="D4210" s="0" t="n">
        <v>2</v>
      </c>
      <c r="E4210" s="38" t="n">
        <v>1.18</v>
      </c>
    </row>
    <row r="4211" customFormat="false" ht="15" hidden="false" customHeight="false" outlineLevel="0" collapsed="false">
      <c r="A4211" s="0" t="n">
        <v>51</v>
      </c>
      <c r="B4211" s="0" t="s">
        <v>62</v>
      </c>
      <c r="C4211" s="0" t="n">
        <v>2013</v>
      </c>
      <c r="D4211" s="0" t="n">
        <v>3</v>
      </c>
      <c r="E4211" s="38" t="n">
        <v>5.72</v>
      </c>
    </row>
    <row r="4212" customFormat="false" ht="15" hidden="false" customHeight="false" outlineLevel="0" collapsed="false">
      <c r="A4212" s="0" t="n">
        <v>51</v>
      </c>
      <c r="B4212" s="0" t="s">
        <v>62</v>
      </c>
      <c r="C4212" s="0" t="n">
        <v>2013</v>
      </c>
      <c r="D4212" s="0" t="n">
        <v>4</v>
      </c>
      <c r="E4212" s="38" t="n">
        <v>18.06</v>
      </c>
    </row>
    <row r="4213" customFormat="false" ht="15" hidden="false" customHeight="false" outlineLevel="0" collapsed="false">
      <c r="A4213" s="0" t="n">
        <v>51</v>
      </c>
      <c r="B4213" s="0" t="s">
        <v>62</v>
      </c>
      <c r="C4213" s="0" t="n">
        <v>2013</v>
      </c>
      <c r="D4213" s="0" t="n">
        <v>5</v>
      </c>
      <c r="E4213" s="38" t="n">
        <v>0.85</v>
      </c>
    </row>
    <row r="4214" customFormat="false" ht="15" hidden="false" customHeight="false" outlineLevel="0" collapsed="false">
      <c r="A4214" s="0" t="n">
        <v>51</v>
      </c>
      <c r="B4214" s="0" t="s">
        <v>62</v>
      </c>
      <c r="C4214" s="0" t="n">
        <v>2013</v>
      </c>
      <c r="D4214" s="0" t="n">
        <v>6</v>
      </c>
      <c r="E4214" s="38" t="n">
        <v>9.92</v>
      </c>
    </row>
    <row r="4215" customFormat="false" ht="15" hidden="false" customHeight="false" outlineLevel="0" collapsed="false">
      <c r="A4215" s="0" t="n">
        <v>51</v>
      </c>
      <c r="B4215" s="0" t="s">
        <v>62</v>
      </c>
      <c r="C4215" s="0" t="n">
        <v>2013</v>
      </c>
      <c r="D4215" s="0" t="n">
        <v>7</v>
      </c>
      <c r="E4215" s="38" t="n">
        <v>-2.37</v>
      </c>
    </row>
    <row r="4216" customFormat="false" ht="15" hidden="false" customHeight="false" outlineLevel="0" collapsed="false">
      <c r="A4216" s="0" t="n">
        <v>52</v>
      </c>
      <c r="B4216" s="0" t="s">
        <v>60</v>
      </c>
      <c r="C4216" s="0" t="n">
        <v>2011</v>
      </c>
      <c r="D4216" s="0" t="n">
        <v>1</v>
      </c>
      <c r="E4216" s="38" t="n">
        <v>218471.27</v>
      </c>
    </row>
    <row r="4217" customFormat="false" ht="15" hidden="false" customHeight="false" outlineLevel="0" collapsed="false">
      <c r="A4217" s="0" t="n">
        <v>52</v>
      </c>
      <c r="B4217" s="0" t="s">
        <v>60</v>
      </c>
      <c r="C4217" s="0" t="n">
        <v>2011</v>
      </c>
      <c r="D4217" s="0" t="n">
        <v>2</v>
      </c>
      <c r="E4217" s="38" t="n">
        <v>237872.4</v>
      </c>
    </row>
    <row r="4218" customFormat="false" ht="15" hidden="false" customHeight="false" outlineLevel="0" collapsed="false">
      <c r="A4218" s="0" t="n">
        <v>52</v>
      </c>
      <c r="B4218" s="0" t="s">
        <v>60</v>
      </c>
      <c r="C4218" s="0" t="n">
        <v>2011</v>
      </c>
      <c r="D4218" s="0" t="n">
        <v>3</v>
      </c>
      <c r="E4218" s="38" t="n">
        <v>212271.25</v>
      </c>
    </row>
    <row r="4219" customFormat="false" ht="15" hidden="false" customHeight="false" outlineLevel="0" collapsed="false">
      <c r="A4219" s="0" t="n">
        <v>52</v>
      </c>
      <c r="B4219" s="0" t="s">
        <v>60</v>
      </c>
      <c r="C4219" s="0" t="n">
        <v>2011</v>
      </c>
      <c r="D4219" s="0" t="n">
        <v>4</v>
      </c>
      <c r="E4219" s="38" t="n">
        <v>239465.87</v>
      </c>
    </row>
    <row r="4220" customFormat="false" ht="15" hidden="false" customHeight="false" outlineLevel="0" collapsed="false">
      <c r="A4220" s="0" t="n">
        <v>52</v>
      </c>
      <c r="B4220" s="0" t="s">
        <v>60</v>
      </c>
      <c r="C4220" s="0" t="n">
        <v>2011</v>
      </c>
      <c r="D4220" s="0" t="n">
        <v>5</v>
      </c>
      <c r="E4220" s="38" t="n">
        <v>175458</v>
      </c>
    </row>
    <row r="4221" customFormat="false" ht="15" hidden="false" customHeight="false" outlineLevel="0" collapsed="false">
      <c r="A4221" s="0" t="n">
        <v>52</v>
      </c>
      <c r="B4221" s="0" t="s">
        <v>60</v>
      </c>
      <c r="C4221" s="0" t="n">
        <v>2011</v>
      </c>
      <c r="D4221" s="0" t="n">
        <v>6</v>
      </c>
      <c r="E4221" s="38" t="n">
        <v>166411.99</v>
      </c>
    </row>
    <row r="4222" customFormat="false" ht="15" hidden="false" customHeight="false" outlineLevel="0" collapsed="false">
      <c r="A4222" s="0" t="n">
        <v>52</v>
      </c>
      <c r="B4222" s="0" t="s">
        <v>60</v>
      </c>
      <c r="C4222" s="0" t="n">
        <v>2011</v>
      </c>
      <c r="D4222" s="0" t="n">
        <v>7</v>
      </c>
      <c r="E4222" s="38" t="n">
        <v>185881.16</v>
      </c>
    </row>
    <row r="4223" customFormat="false" ht="15" hidden="false" customHeight="false" outlineLevel="0" collapsed="false">
      <c r="A4223" s="0" t="n">
        <v>52</v>
      </c>
      <c r="B4223" s="0" t="s">
        <v>60</v>
      </c>
      <c r="C4223" s="0" t="n">
        <v>2011</v>
      </c>
      <c r="D4223" s="0" t="n">
        <v>8</v>
      </c>
      <c r="E4223" s="38" t="n">
        <v>224714.82</v>
      </c>
    </row>
    <row r="4224" customFormat="false" ht="15" hidden="false" customHeight="false" outlineLevel="0" collapsed="false">
      <c r="A4224" s="0" t="n">
        <v>52</v>
      </c>
      <c r="B4224" s="0" t="s">
        <v>60</v>
      </c>
      <c r="C4224" s="0" t="n">
        <v>2011</v>
      </c>
      <c r="D4224" s="0" t="n">
        <v>9</v>
      </c>
      <c r="E4224" s="38" t="n">
        <v>234402.22</v>
      </c>
    </row>
    <row r="4225" customFormat="false" ht="15" hidden="false" customHeight="false" outlineLevel="0" collapsed="false">
      <c r="A4225" s="0" t="n">
        <v>52</v>
      </c>
      <c r="B4225" s="0" t="s">
        <v>60</v>
      </c>
      <c r="C4225" s="0" t="n">
        <v>2011</v>
      </c>
      <c r="D4225" s="0" t="n">
        <v>10</v>
      </c>
      <c r="E4225" s="38" t="n">
        <v>247370.54</v>
      </c>
    </row>
    <row r="4226" customFormat="false" ht="15" hidden="false" customHeight="false" outlineLevel="0" collapsed="false">
      <c r="A4226" s="0" t="n">
        <v>52</v>
      </c>
      <c r="B4226" s="0" t="s">
        <v>60</v>
      </c>
      <c r="C4226" s="0" t="n">
        <v>2011</v>
      </c>
      <c r="D4226" s="0" t="n">
        <v>11</v>
      </c>
      <c r="E4226" s="38" t="n">
        <v>239931.17</v>
      </c>
    </row>
    <row r="4227" customFormat="false" ht="15" hidden="false" customHeight="false" outlineLevel="0" collapsed="false">
      <c r="A4227" s="0" t="n">
        <v>52</v>
      </c>
      <c r="B4227" s="0" t="s">
        <v>60</v>
      </c>
      <c r="C4227" s="0" t="n">
        <v>2011</v>
      </c>
      <c r="D4227" s="0" t="n">
        <v>12</v>
      </c>
      <c r="E4227" s="38" t="n">
        <v>154880.85</v>
      </c>
    </row>
    <row r="4228" customFormat="false" ht="15" hidden="false" customHeight="false" outlineLevel="0" collapsed="false">
      <c r="A4228" s="0" t="n">
        <v>52</v>
      </c>
      <c r="B4228" s="0" t="s">
        <v>60</v>
      </c>
      <c r="C4228" s="0" t="n">
        <v>2012</v>
      </c>
      <c r="D4228" s="0" t="n">
        <v>1</v>
      </c>
      <c r="E4228" s="38" t="n">
        <v>192928.08</v>
      </c>
    </row>
    <row r="4229" customFormat="false" ht="15" hidden="false" customHeight="false" outlineLevel="0" collapsed="false">
      <c r="A4229" s="0" t="n">
        <v>52</v>
      </c>
      <c r="B4229" s="0" t="s">
        <v>60</v>
      </c>
      <c r="C4229" s="0" t="n">
        <v>2012</v>
      </c>
      <c r="D4229" s="0" t="n">
        <v>2</v>
      </c>
      <c r="E4229" s="38" t="n">
        <v>208875.13</v>
      </c>
    </row>
    <row r="4230" customFormat="false" ht="15" hidden="false" customHeight="false" outlineLevel="0" collapsed="false">
      <c r="A4230" s="0" t="n">
        <v>52</v>
      </c>
      <c r="B4230" s="0" t="s">
        <v>60</v>
      </c>
      <c r="C4230" s="0" t="n">
        <v>2012</v>
      </c>
      <c r="D4230" s="0" t="n">
        <v>3</v>
      </c>
      <c r="E4230" s="38" t="n">
        <v>196718.23</v>
      </c>
    </row>
    <row r="4231" customFormat="false" ht="15" hidden="false" customHeight="false" outlineLevel="0" collapsed="false">
      <c r="A4231" s="0" t="n">
        <v>52</v>
      </c>
      <c r="B4231" s="0" t="s">
        <v>60</v>
      </c>
      <c r="C4231" s="0" t="n">
        <v>2012</v>
      </c>
      <c r="D4231" s="0" t="n">
        <v>4</v>
      </c>
      <c r="E4231" s="38" t="n">
        <v>220151.53</v>
      </c>
    </row>
    <row r="4232" customFormat="false" ht="15" hidden="false" customHeight="false" outlineLevel="0" collapsed="false">
      <c r="A4232" s="0" t="n">
        <v>52</v>
      </c>
      <c r="B4232" s="0" t="s">
        <v>60</v>
      </c>
      <c r="C4232" s="0" t="n">
        <v>2012</v>
      </c>
      <c r="D4232" s="0" t="n">
        <v>5</v>
      </c>
      <c r="E4232" s="38" t="n">
        <v>157909.84</v>
      </c>
    </row>
    <row r="4233" customFormat="false" ht="15" hidden="false" customHeight="false" outlineLevel="0" collapsed="false">
      <c r="A4233" s="0" t="n">
        <v>52</v>
      </c>
      <c r="B4233" s="0" t="s">
        <v>60</v>
      </c>
      <c r="C4233" s="0" t="n">
        <v>2012</v>
      </c>
      <c r="D4233" s="0" t="n">
        <v>6</v>
      </c>
      <c r="E4233" s="38" t="n">
        <v>171317.46</v>
      </c>
    </row>
    <row r="4234" customFormat="false" ht="15" hidden="false" customHeight="false" outlineLevel="0" collapsed="false">
      <c r="A4234" s="0" t="n">
        <v>52</v>
      </c>
      <c r="B4234" s="0" t="s">
        <v>60</v>
      </c>
      <c r="C4234" s="0" t="n">
        <v>2012</v>
      </c>
      <c r="D4234" s="0" t="n">
        <v>7</v>
      </c>
      <c r="E4234" s="38" t="n">
        <v>186163.23</v>
      </c>
    </row>
    <row r="4235" customFormat="false" ht="15" hidden="false" customHeight="false" outlineLevel="0" collapsed="false">
      <c r="A4235" s="0" t="n">
        <v>52</v>
      </c>
      <c r="B4235" s="0" t="s">
        <v>60</v>
      </c>
      <c r="C4235" s="0" t="n">
        <v>2012</v>
      </c>
      <c r="D4235" s="0" t="n">
        <v>8</v>
      </c>
      <c r="E4235" s="38" t="n">
        <v>236290.37</v>
      </c>
    </row>
    <row r="4236" customFormat="false" ht="15" hidden="false" customHeight="false" outlineLevel="0" collapsed="false">
      <c r="A4236" s="0" t="n">
        <v>52</v>
      </c>
      <c r="B4236" s="0" t="s">
        <v>60</v>
      </c>
      <c r="C4236" s="0" t="n">
        <v>2012</v>
      </c>
      <c r="D4236" s="0" t="n">
        <v>9</v>
      </c>
      <c r="E4236" s="38" t="n">
        <v>262694.41</v>
      </c>
    </row>
    <row r="4237" customFormat="false" ht="15" hidden="false" customHeight="false" outlineLevel="0" collapsed="false">
      <c r="A4237" s="0" t="n">
        <v>52</v>
      </c>
      <c r="B4237" s="0" t="s">
        <v>60</v>
      </c>
      <c r="C4237" s="0" t="n">
        <v>2012</v>
      </c>
      <c r="D4237" s="0" t="n">
        <v>10</v>
      </c>
      <c r="E4237" s="38" t="n">
        <v>281432.59</v>
      </c>
    </row>
    <row r="4238" customFormat="false" ht="15" hidden="false" customHeight="false" outlineLevel="0" collapsed="false">
      <c r="A4238" s="0" t="n">
        <v>52</v>
      </c>
      <c r="B4238" s="0" t="s">
        <v>60</v>
      </c>
      <c r="C4238" s="0" t="n">
        <v>2012</v>
      </c>
      <c r="D4238" s="0" t="n">
        <v>11</v>
      </c>
      <c r="E4238" s="38" t="n">
        <v>288921.84</v>
      </c>
    </row>
    <row r="4239" customFormat="false" ht="15" hidden="false" customHeight="false" outlineLevel="0" collapsed="false">
      <c r="A4239" s="0" t="n">
        <v>52</v>
      </c>
      <c r="B4239" s="0" t="s">
        <v>60</v>
      </c>
      <c r="C4239" s="0" t="n">
        <v>2012</v>
      </c>
      <c r="D4239" s="0" t="n">
        <v>12</v>
      </c>
      <c r="E4239" s="38" t="n">
        <v>186761.07</v>
      </c>
    </row>
    <row r="4240" customFormat="false" ht="15" hidden="false" customHeight="false" outlineLevel="0" collapsed="false">
      <c r="A4240" s="0" t="n">
        <v>52</v>
      </c>
      <c r="B4240" s="0" t="s">
        <v>60</v>
      </c>
      <c r="C4240" s="0" t="n">
        <v>2013</v>
      </c>
      <c r="D4240" s="0" t="n">
        <v>1</v>
      </c>
      <c r="E4240" s="38" t="n">
        <v>205241.99</v>
      </c>
    </row>
    <row r="4241" customFormat="false" ht="15" hidden="false" customHeight="false" outlineLevel="0" collapsed="false">
      <c r="A4241" s="0" t="n">
        <v>52</v>
      </c>
      <c r="B4241" s="0" t="s">
        <v>60</v>
      </c>
      <c r="C4241" s="0" t="n">
        <v>2013</v>
      </c>
      <c r="D4241" s="0" t="n">
        <v>2</v>
      </c>
      <c r="E4241" s="38" t="n">
        <v>210338.07</v>
      </c>
    </row>
    <row r="4242" customFormat="false" ht="15" hidden="false" customHeight="false" outlineLevel="0" collapsed="false">
      <c r="A4242" s="0" t="n">
        <v>52</v>
      </c>
      <c r="B4242" s="0" t="s">
        <v>60</v>
      </c>
      <c r="C4242" s="0" t="n">
        <v>2013</v>
      </c>
      <c r="D4242" s="0" t="n">
        <v>3</v>
      </c>
      <c r="E4242" s="38" t="n">
        <v>188148.46</v>
      </c>
    </row>
    <row r="4243" customFormat="false" ht="15" hidden="false" customHeight="false" outlineLevel="0" collapsed="false">
      <c r="A4243" s="0" t="n">
        <v>52</v>
      </c>
      <c r="B4243" s="0" t="s">
        <v>60</v>
      </c>
      <c r="C4243" s="0" t="n">
        <v>2013</v>
      </c>
      <c r="D4243" s="0" t="n">
        <v>4</v>
      </c>
      <c r="E4243" s="38" t="n">
        <v>235422.49</v>
      </c>
    </row>
    <row r="4244" customFormat="false" ht="15" hidden="false" customHeight="false" outlineLevel="0" collapsed="false">
      <c r="A4244" s="0" t="n">
        <v>52</v>
      </c>
      <c r="B4244" s="0" t="s">
        <v>60</v>
      </c>
      <c r="C4244" s="0" t="n">
        <v>2013</v>
      </c>
      <c r="D4244" s="0" t="n">
        <v>5</v>
      </c>
      <c r="E4244" s="38" t="n">
        <v>187592.24</v>
      </c>
    </row>
    <row r="4245" customFormat="false" ht="15" hidden="false" customHeight="false" outlineLevel="0" collapsed="false">
      <c r="A4245" s="0" t="n">
        <v>52</v>
      </c>
      <c r="B4245" s="0" t="s">
        <v>60</v>
      </c>
      <c r="C4245" s="0" t="n">
        <v>2013</v>
      </c>
      <c r="D4245" s="0" t="n">
        <v>6</v>
      </c>
      <c r="E4245" s="38" t="n">
        <v>176204.24</v>
      </c>
    </row>
    <row r="4246" customFormat="false" ht="15" hidden="false" customHeight="false" outlineLevel="0" collapsed="false">
      <c r="A4246" s="0" t="n">
        <v>52</v>
      </c>
      <c r="B4246" s="0" t="s">
        <v>60</v>
      </c>
      <c r="C4246" s="0" t="n">
        <v>2013</v>
      </c>
      <c r="D4246" s="0" t="n">
        <v>7</v>
      </c>
      <c r="E4246" s="38" t="n">
        <v>177807.99</v>
      </c>
    </row>
    <row r="4247" customFormat="false" ht="15" hidden="false" customHeight="false" outlineLevel="0" collapsed="false">
      <c r="A4247" s="0" t="n">
        <v>52</v>
      </c>
      <c r="B4247" s="0" t="s">
        <v>60</v>
      </c>
      <c r="C4247" s="0" t="n">
        <v>2013</v>
      </c>
      <c r="D4247" s="0" t="n">
        <v>8</v>
      </c>
      <c r="E4247" s="38" t="n">
        <v>195333.06</v>
      </c>
    </row>
    <row r="4248" customFormat="false" ht="15" hidden="false" customHeight="false" outlineLevel="0" collapsed="false">
      <c r="A4248" s="0" t="n">
        <v>52</v>
      </c>
      <c r="B4248" s="0" t="s">
        <v>62</v>
      </c>
      <c r="C4248" s="0" t="n">
        <v>2011</v>
      </c>
      <c r="D4248" s="0" t="n">
        <v>1</v>
      </c>
      <c r="E4248" s="38" t="n">
        <v>174988.87</v>
      </c>
    </row>
    <row r="4249" customFormat="false" ht="15" hidden="false" customHeight="false" outlineLevel="0" collapsed="false">
      <c r="A4249" s="0" t="n">
        <v>52</v>
      </c>
      <c r="B4249" s="0" t="s">
        <v>62</v>
      </c>
      <c r="C4249" s="0" t="n">
        <v>2011</v>
      </c>
      <c r="D4249" s="0" t="n">
        <v>2</v>
      </c>
      <c r="E4249" s="38" t="n">
        <v>199788.18</v>
      </c>
    </row>
    <row r="4250" customFormat="false" ht="15" hidden="false" customHeight="false" outlineLevel="0" collapsed="false">
      <c r="A4250" s="0" t="n">
        <v>52</v>
      </c>
      <c r="B4250" s="0" t="s">
        <v>62</v>
      </c>
      <c r="C4250" s="0" t="n">
        <v>2011</v>
      </c>
      <c r="D4250" s="0" t="n">
        <v>3</v>
      </c>
      <c r="E4250" s="38" t="n">
        <v>177254.16</v>
      </c>
    </row>
    <row r="4251" customFormat="false" ht="15" hidden="false" customHeight="false" outlineLevel="0" collapsed="false">
      <c r="A4251" s="0" t="n">
        <v>52</v>
      </c>
      <c r="B4251" s="0" t="s">
        <v>62</v>
      </c>
      <c r="C4251" s="0" t="n">
        <v>2011</v>
      </c>
      <c r="D4251" s="0" t="n">
        <v>4</v>
      </c>
      <c r="E4251" s="38" t="n">
        <v>189263.92</v>
      </c>
    </row>
    <row r="4252" customFormat="false" ht="15" hidden="false" customHeight="false" outlineLevel="0" collapsed="false">
      <c r="A4252" s="0" t="n">
        <v>52</v>
      </c>
      <c r="B4252" s="0" t="s">
        <v>62</v>
      </c>
      <c r="C4252" s="0" t="n">
        <v>2011</v>
      </c>
      <c r="D4252" s="0" t="n">
        <v>5</v>
      </c>
      <c r="E4252" s="38" t="n">
        <v>146576.19</v>
      </c>
    </row>
    <row r="4253" customFormat="false" ht="15" hidden="false" customHeight="false" outlineLevel="0" collapsed="false">
      <c r="A4253" s="0" t="n">
        <v>52</v>
      </c>
      <c r="B4253" s="0" t="s">
        <v>62</v>
      </c>
      <c r="C4253" s="0" t="n">
        <v>2011</v>
      </c>
      <c r="D4253" s="0" t="n">
        <v>6</v>
      </c>
      <c r="E4253" s="38" t="n">
        <v>137109.47</v>
      </c>
    </row>
    <row r="4254" customFormat="false" ht="15" hidden="false" customHeight="false" outlineLevel="0" collapsed="false">
      <c r="A4254" s="0" t="n">
        <v>52</v>
      </c>
      <c r="B4254" s="0" t="s">
        <v>62</v>
      </c>
      <c r="C4254" s="0" t="n">
        <v>2011</v>
      </c>
      <c r="D4254" s="0" t="n">
        <v>7</v>
      </c>
      <c r="E4254" s="38" t="n">
        <v>146423.53</v>
      </c>
    </row>
    <row r="4255" customFormat="false" ht="15" hidden="false" customHeight="false" outlineLevel="0" collapsed="false">
      <c r="A4255" s="0" t="n">
        <v>52</v>
      </c>
      <c r="B4255" s="0" t="s">
        <v>62</v>
      </c>
      <c r="C4255" s="0" t="n">
        <v>2011</v>
      </c>
      <c r="D4255" s="0" t="n">
        <v>8</v>
      </c>
      <c r="E4255" s="38" t="n">
        <v>163867.91</v>
      </c>
    </row>
    <row r="4256" customFormat="false" ht="15" hidden="false" customHeight="false" outlineLevel="0" collapsed="false">
      <c r="A4256" s="0" t="n">
        <v>52</v>
      </c>
      <c r="B4256" s="0" t="s">
        <v>62</v>
      </c>
      <c r="C4256" s="0" t="n">
        <v>2011</v>
      </c>
      <c r="D4256" s="0" t="n">
        <v>9</v>
      </c>
      <c r="E4256" s="38" t="n">
        <v>182162.69</v>
      </c>
    </row>
    <row r="4257" customFormat="false" ht="15" hidden="false" customHeight="false" outlineLevel="0" collapsed="false">
      <c r="A4257" s="0" t="n">
        <v>52</v>
      </c>
      <c r="B4257" s="0" t="s">
        <v>62</v>
      </c>
      <c r="C4257" s="0" t="n">
        <v>2011</v>
      </c>
      <c r="D4257" s="0" t="n">
        <v>10</v>
      </c>
      <c r="E4257" s="38" t="n">
        <v>188133.67</v>
      </c>
    </row>
    <row r="4258" customFormat="false" ht="15" hidden="false" customHeight="false" outlineLevel="0" collapsed="false">
      <c r="A4258" s="0" t="n">
        <v>52</v>
      </c>
      <c r="B4258" s="0" t="s">
        <v>62</v>
      </c>
      <c r="C4258" s="0" t="n">
        <v>2011</v>
      </c>
      <c r="D4258" s="0" t="n">
        <v>11</v>
      </c>
      <c r="E4258" s="38" t="n">
        <v>177224.92</v>
      </c>
    </row>
    <row r="4259" customFormat="false" ht="15" hidden="false" customHeight="false" outlineLevel="0" collapsed="false">
      <c r="A4259" s="0" t="n">
        <v>52</v>
      </c>
      <c r="B4259" s="0" t="s">
        <v>62</v>
      </c>
      <c r="C4259" s="0" t="n">
        <v>2011</v>
      </c>
      <c r="D4259" s="0" t="n">
        <v>12</v>
      </c>
      <c r="E4259" s="38" t="n">
        <v>126402.32</v>
      </c>
    </row>
    <row r="4260" customFormat="false" ht="15" hidden="false" customHeight="false" outlineLevel="0" collapsed="false">
      <c r="A4260" s="0" t="n">
        <v>52</v>
      </c>
      <c r="B4260" s="0" t="s">
        <v>62</v>
      </c>
      <c r="C4260" s="0" t="n">
        <v>2012</v>
      </c>
      <c r="D4260" s="0" t="n">
        <v>1</v>
      </c>
      <c r="E4260" s="38" t="n">
        <v>146342.89</v>
      </c>
    </row>
    <row r="4261" customFormat="false" ht="15" hidden="false" customHeight="false" outlineLevel="0" collapsed="false">
      <c r="A4261" s="0" t="n">
        <v>52</v>
      </c>
      <c r="B4261" s="0" t="s">
        <v>62</v>
      </c>
      <c r="C4261" s="0" t="n">
        <v>2012</v>
      </c>
      <c r="D4261" s="0" t="n">
        <v>2</v>
      </c>
      <c r="E4261" s="38" t="n">
        <v>165951.23</v>
      </c>
    </row>
    <row r="4262" customFormat="false" ht="15" hidden="false" customHeight="false" outlineLevel="0" collapsed="false">
      <c r="A4262" s="0" t="n">
        <v>52</v>
      </c>
      <c r="B4262" s="0" t="s">
        <v>62</v>
      </c>
      <c r="C4262" s="0" t="n">
        <v>2012</v>
      </c>
      <c r="D4262" s="0" t="n">
        <v>3</v>
      </c>
      <c r="E4262" s="38" t="n">
        <v>153604.8</v>
      </c>
    </row>
    <row r="4263" customFormat="false" ht="15" hidden="false" customHeight="false" outlineLevel="0" collapsed="false">
      <c r="A4263" s="0" t="n">
        <v>52</v>
      </c>
      <c r="B4263" s="0" t="s">
        <v>62</v>
      </c>
      <c r="C4263" s="0" t="n">
        <v>2012</v>
      </c>
      <c r="D4263" s="0" t="n">
        <v>4</v>
      </c>
      <c r="E4263" s="38" t="n">
        <v>158920.94</v>
      </c>
    </row>
    <row r="4264" customFormat="false" ht="15" hidden="false" customHeight="false" outlineLevel="0" collapsed="false">
      <c r="A4264" s="0" t="n">
        <v>52</v>
      </c>
      <c r="B4264" s="0" t="s">
        <v>62</v>
      </c>
      <c r="C4264" s="0" t="n">
        <v>2012</v>
      </c>
      <c r="D4264" s="0" t="n">
        <v>5</v>
      </c>
      <c r="E4264" s="38" t="n">
        <v>131484.38</v>
      </c>
    </row>
    <row r="4265" customFormat="false" ht="15" hidden="false" customHeight="false" outlineLevel="0" collapsed="false">
      <c r="A4265" s="0" t="n">
        <v>52</v>
      </c>
      <c r="B4265" s="0" t="s">
        <v>62</v>
      </c>
      <c r="C4265" s="0" t="n">
        <v>2012</v>
      </c>
      <c r="D4265" s="0" t="n">
        <v>6</v>
      </c>
      <c r="E4265" s="38" t="n">
        <v>130326.04</v>
      </c>
    </row>
    <row r="4266" customFormat="false" ht="15" hidden="false" customHeight="false" outlineLevel="0" collapsed="false">
      <c r="A4266" s="0" t="n">
        <v>52</v>
      </c>
      <c r="B4266" s="0" t="s">
        <v>62</v>
      </c>
      <c r="C4266" s="0" t="n">
        <v>2012</v>
      </c>
      <c r="D4266" s="0" t="n">
        <v>7</v>
      </c>
      <c r="E4266" s="38" t="n">
        <v>138525.88</v>
      </c>
    </row>
    <row r="4267" customFormat="false" ht="15" hidden="false" customHeight="false" outlineLevel="0" collapsed="false">
      <c r="A4267" s="0" t="n">
        <v>52</v>
      </c>
      <c r="B4267" s="0" t="s">
        <v>62</v>
      </c>
      <c r="C4267" s="0" t="n">
        <v>2012</v>
      </c>
      <c r="D4267" s="0" t="n">
        <v>8</v>
      </c>
      <c r="E4267" s="38" t="n">
        <v>159202.32</v>
      </c>
    </row>
    <row r="4268" customFormat="false" ht="15" hidden="false" customHeight="false" outlineLevel="0" collapsed="false">
      <c r="A4268" s="0" t="n">
        <v>52</v>
      </c>
      <c r="B4268" s="0" t="s">
        <v>62</v>
      </c>
      <c r="C4268" s="0" t="n">
        <v>2012</v>
      </c>
      <c r="D4268" s="0" t="n">
        <v>9</v>
      </c>
      <c r="E4268" s="38" t="n">
        <v>176288.95</v>
      </c>
    </row>
    <row r="4269" customFormat="false" ht="15" hidden="false" customHeight="false" outlineLevel="0" collapsed="false">
      <c r="A4269" s="0" t="n">
        <v>52</v>
      </c>
      <c r="B4269" s="0" t="s">
        <v>62</v>
      </c>
      <c r="C4269" s="0" t="n">
        <v>2012</v>
      </c>
      <c r="D4269" s="0" t="n">
        <v>10</v>
      </c>
      <c r="E4269" s="38" t="n">
        <v>206127.23</v>
      </c>
    </row>
    <row r="4270" customFormat="false" ht="15" hidden="false" customHeight="false" outlineLevel="0" collapsed="false">
      <c r="A4270" s="0" t="n">
        <v>52</v>
      </c>
      <c r="B4270" s="0" t="s">
        <v>62</v>
      </c>
      <c r="C4270" s="0" t="n">
        <v>2012</v>
      </c>
      <c r="D4270" s="0" t="n">
        <v>11</v>
      </c>
      <c r="E4270" s="38" t="n">
        <v>202761.58</v>
      </c>
    </row>
    <row r="4271" customFormat="false" ht="15" hidden="false" customHeight="false" outlineLevel="0" collapsed="false">
      <c r="A4271" s="0" t="n">
        <v>52</v>
      </c>
      <c r="B4271" s="0" t="s">
        <v>62</v>
      </c>
      <c r="C4271" s="0" t="n">
        <v>2012</v>
      </c>
      <c r="D4271" s="0" t="n">
        <v>12</v>
      </c>
      <c r="E4271" s="38" t="n">
        <v>129213.42</v>
      </c>
    </row>
    <row r="4272" customFormat="false" ht="15" hidden="false" customHeight="false" outlineLevel="0" collapsed="false">
      <c r="A4272" s="0" t="n">
        <v>52</v>
      </c>
      <c r="B4272" s="0" t="s">
        <v>62</v>
      </c>
      <c r="C4272" s="0" t="n">
        <v>2013</v>
      </c>
      <c r="D4272" s="0" t="n">
        <v>1</v>
      </c>
      <c r="E4272" s="38" t="n">
        <v>147628.15</v>
      </c>
    </row>
    <row r="4273" customFormat="false" ht="15" hidden="false" customHeight="false" outlineLevel="0" collapsed="false">
      <c r="A4273" s="0" t="n">
        <v>52</v>
      </c>
      <c r="B4273" s="0" t="s">
        <v>62</v>
      </c>
      <c r="C4273" s="0" t="n">
        <v>2013</v>
      </c>
      <c r="D4273" s="0" t="n">
        <v>2</v>
      </c>
      <c r="E4273" s="38" t="n">
        <v>157748.88</v>
      </c>
    </row>
    <row r="4274" customFormat="false" ht="15" hidden="false" customHeight="false" outlineLevel="0" collapsed="false">
      <c r="A4274" s="0" t="n">
        <v>52</v>
      </c>
      <c r="B4274" s="0" t="s">
        <v>62</v>
      </c>
      <c r="C4274" s="0" t="n">
        <v>2013</v>
      </c>
      <c r="D4274" s="0" t="n">
        <v>3</v>
      </c>
      <c r="E4274" s="38" t="n">
        <v>139900.17</v>
      </c>
    </row>
    <row r="4275" customFormat="false" ht="15" hidden="false" customHeight="false" outlineLevel="0" collapsed="false">
      <c r="A4275" s="0" t="n">
        <v>52</v>
      </c>
      <c r="B4275" s="0" t="s">
        <v>62</v>
      </c>
      <c r="C4275" s="0" t="n">
        <v>2013</v>
      </c>
      <c r="D4275" s="0" t="n">
        <v>4</v>
      </c>
      <c r="E4275" s="38" t="n">
        <v>154870.05</v>
      </c>
    </row>
    <row r="4276" customFormat="false" ht="15" hidden="false" customHeight="false" outlineLevel="0" collapsed="false">
      <c r="A4276" s="0" t="n">
        <v>52</v>
      </c>
      <c r="B4276" s="0" t="s">
        <v>62</v>
      </c>
      <c r="C4276" s="0" t="n">
        <v>2013</v>
      </c>
      <c r="D4276" s="0" t="n">
        <v>5</v>
      </c>
      <c r="E4276" s="38" t="n">
        <v>130522.76</v>
      </c>
    </row>
    <row r="4277" customFormat="false" ht="15" hidden="false" customHeight="false" outlineLevel="0" collapsed="false">
      <c r="A4277" s="0" t="n">
        <v>52</v>
      </c>
      <c r="B4277" s="0" t="s">
        <v>62</v>
      </c>
      <c r="C4277" s="0" t="n">
        <v>2013</v>
      </c>
      <c r="D4277" s="0" t="n">
        <v>6</v>
      </c>
      <c r="E4277" s="38" t="n">
        <v>129991.25</v>
      </c>
    </row>
    <row r="4278" customFormat="false" ht="15" hidden="false" customHeight="false" outlineLevel="0" collapsed="false">
      <c r="A4278" s="0" t="n">
        <v>52</v>
      </c>
      <c r="B4278" s="0" t="s">
        <v>62</v>
      </c>
      <c r="C4278" s="0" t="n">
        <v>2013</v>
      </c>
      <c r="D4278" s="0" t="n">
        <v>7</v>
      </c>
      <c r="E4278" s="38" t="n">
        <v>132467</v>
      </c>
    </row>
    <row r="4279" customFormat="false" ht="15" hidden="false" customHeight="false" outlineLevel="0" collapsed="false">
      <c r="A4279" s="0" t="n">
        <v>52</v>
      </c>
      <c r="B4279" s="0" t="s">
        <v>62</v>
      </c>
      <c r="C4279" s="0" t="n">
        <v>2013</v>
      </c>
      <c r="D4279" s="0" t="n">
        <v>8</v>
      </c>
      <c r="E4279" s="38" t="n">
        <v>132290.8</v>
      </c>
    </row>
    <row r="4280" customFormat="false" ht="15" hidden="false" customHeight="false" outlineLevel="0" collapsed="false">
      <c r="A4280" s="0" t="n">
        <v>52</v>
      </c>
      <c r="B4280" s="0" t="s">
        <v>64</v>
      </c>
      <c r="C4280" s="0" t="n">
        <v>2011</v>
      </c>
      <c r="D4280" s="0" t="n">
        <v>1</v>
      </c>
      <c r="E4280" s="38" t="n">
        <v>1069.53</v>
      </c>
    </row>
    <row r="4281" customFormat="false" ht="15" hidden="false" customHeight="false" outlineLevel="0" collapsed="false">
      <c r="A4281" s="0" t="n">
        <v>52</v>
      </c>
      <c r="B4281" s="0" t="s">
        <v>64</v>
      </c>
      <c r="C4281" s="0" t="n">
        <v>2011</v>
      </c>
      <c r="D4281" s="0" t="n">
        <v>2</v>
      </c>
      <c r="E4281" s="38" t="n">
        <v>914.97</v>
      </c>
    </row>
    <row r="4282" customFormat="false" ht="15" hidden="false" customHeight="false" outlineLevel="0" collapsed="false">
      <c r="A4282" s="0" t="n">
        <v>52</v>
      </c>
      <c r="B4282" s="0" t="s">
        <v>64</v>
      </c>
      <c r="C4282" s="0" t="n">
        <v>2011</v>
      </c>
      <c r="D4282" s="0" t="n">
        <v>3</v>
      </c>
      <c r="E4282" s="38" t="n">
        <v>964.06</v>
      </c>
    </row>
    <row r="4283" customFormat="false" ht="15" hidden="false" customHeight="false" outlineLevel="0" collapsed="false">
      <c r="A4283" s="0" t="n">
        <v>52</v>
      </c>
      <c r="B4283" s="0" t="s">
        <v>64</v>
      </c>
      <c r="C4283" s="0" t="n">
        <v>2011</v>
      </c>
      <c r="D4283" s="0" t="n">
        <v>4</v>
      </c>
      <c r="E4283" s="38" t="n">
        <v>1054.25</v>
      </c>
    </row>
    <row r="4284" customFormat="false" ht="15" hidden="false" customHeight="false" outlineLevel="0" collapsed="false">
      <c r="A4284" s="0" t="n">
        <v>52</v>
      </c>
      <c r="B4284" s="0" t="s">
        <v>64</v>
      </c>
      <c r="C4284" s="0" t="n">
        <v>2011</v>
      </c>
      <c r="D4284" s="0" t="n">
        <v>5</v>
      </c>
      <c r="E4284" s="38" t="n">
        <v>689.94</v>
      </c>
    </row>
    <row r="4285" customFormat="false" ht="15" hidden="false" customHeight="false" outlineLevel="0" collapsed="false">
      <c r="A4285" s="0" t="n">
        <v>52</v>
      </c>
      <c r="B4285" s="0" t="s">
        <v>64</v>
      </c>
      <c r="C4285" s="0" t="n">
        <v>2011</v>
      </c>
      <c r="D4285" s="0" t="n">
        <v>6</v>
      </c>
      <c r="E4285" s="38" t="n">
        <v>670.85</v>
      </c>
    </row>
    <row r="4286" customFormat="false" ht="15" hidden="false" customHeight="false" outlineLevel="0" collapsed="false">
      <c r="A4286" s="0" t="n">
        <v>52</v>
      </c>
      <c r="B4286" s="0" t="s">
        <v>64</v>
      </c>
      <c r="C4286" s="0" t="n">
        <v>2011</v>
      </c>
      <c r="D4286" s="0" t="n">
        <v>7</v>
      </c>
      <c r="E4286" s="38" t="n">
        <v>703.53</v>
      </c>
    </row>
    <row r="4287" customFormat="false" ht="15" hidden="false" customHeight="false" outlineLevel="0" collapsed="false">
      <c r="A4287" s="0" t="n">
        <v>52</v>
      </c>
      <c r="B4287" s="0" t="s">
        <v>64</v>
      </c>
      <c r="C4287" s="0" t="n">
        <v>2011</v>
      </c>
      <c r="D4287" s="0" t="n">
        <v>8</v>
      </c>
      <c r="E4287" s="38" t="n">
        <v>769.29</v>
      </c>
    </row>
    <row r="4288" customFormat="false" ht="15" hidden="false" customHeight="false" outlineLevel="0" collapsed="false">
      <c r="A4288" s="0" t="n">
        <v>52</v>
      </c>
      <c r="B4288" s="0" t="s">
        <v>64</v>
      </c>
      <c r="C4288" s="0" t="n">
        <v>2011</v>
      </c>
      <c r="D4288" s="0" t="n">
        <v>9</v>
      </c>
      <c r="E4288" s="38" t="n">
        <v>1192.68</v>
      </c>
    </row>
    <row r="4289" customFormat="false" ht="15" hidden="false" customHeight="false" outlineLevel="0" collapsed="false">
      <c r="A4289" s="0" t="n">
        <v>52</v>
      </c>
      <c r="B4289" s="0" t="s">
        <v>64</v>
      </c>
      <c r="C4289" s="0" t="n">
        <v>2011</v>
      </c>
      <c r="D4289" s="0" t="n">
        <v>10</v>
      </c>
      <c r="E4289" s="38" t="n">
        <v>845.79</v>
      </c>
    </row>
    <row r="4290" customFormat="false" ht="15" hidden="false" customHeight="false" outlineLevel="0" collapsed="false">
      <c r="A4290" s="0" t="n">
        <v>52</v>
      </c>
      <c r="B4290" s="0" t="s">
        <v>64</v>
      </c>
      <c r="C4290" s="0" t="n">
        <v>2011</v>
      </c>
      <c r="D4290" s="0" t="n">
        <v>11</v>
      </c>
      <c r="E4290" s="38" t="n">
        <v>695.73</v>
      </c>
    </row>
    <row r="4291" customFormat="false" ht="15" hidden="false" customHeight="false" outlineLevel="0" collapsed="false">
      <c r="A4291" s="0" t="n">
        <v>52</v>
      </c>
      <c r="B4291" s="0" t="s">
        <v>64</v>
      </c>
      <c r="C4291" s="0" t="n">
        <v>2011</v>
      </c>
      <c r="D4291" s="0" t="n">
        <v>12</v>
      </c>
      <c r="E4291" s="38" t="n">
        <v>718.65</v>
      </c>
    </row>
    <row r="4292" customFormat="false" ht="15" hidden="false" customHeight="false" outlineLevel="0" collapsed="false">
      <c r="A4292" s="0" t="n">
        <v>52</v>
      </c>
      <c r="B4292" s="0" t="s">
        <v>64</v>
      </c>
      <c r="C4292" s="0" t="n">
        <v>2012</v>
      </c>
      <c r="D4292" s="0" t="n">
        <v>1</v>
      </c>
      <c r="E4292" s="38" t="n">
        <v>1156.97</v>
      </c>
    </row>
    <row r="4293" customFormat="false" ht="15" hidden="false" customHeight="false" outlineLevel="0" collapsed="false">
      <c r="A4293" s="0" t="n">
        <v>52</v>
      </c>
      <c r="B4293" s="0" t="s">
        <v>64</v>
      </c>
      <c r="C4293" s="0" t="n">
        <v>2012</v>
      </c>
      <c r="D4293" s="0" t="n">
        <v>2</v>
      </c>
      <c r="E4293" s="38" t="n">
        <v>948.92</v>
      </c>
    </row>
    <row r="4294" customFormat="false" ht="15" hidden="false" customHeight="false" outlineLevel="0" collapsed="false">
      <c r="A4294" s="0" t="n">
        <v>52</v>
      </c>
      <c r="B4294" s="0" t="s">
        <v>64</v>
      </c>
      <c r="C4294" s="0" t="n">
        <v>2012</v>
      </c>
      <c r="D4294" s="0" t="n">
        <v>3</v>
      </c>
      <c r="E4294" s="38" t="n">
        <v>812.52</v>
      </c>
    </row>
    <row r="4295" customFormat="false" ht="15" hidden="false" customHeight="false" outlineLevel="0" collapsed="false">
      <c r="A4295" s="0" t="n">
        <v>52</v>
      </c>
      <c r="B4295" s="0" t="s">
        <v>64</v>
      </c>
      <c r="C4295" s="0" t="n">
        <v>2012</v>
      </c>
      <c r="D4295" s="0" t="n">
        <v>4</v>
      </c>
      <c r="E4295" s="38" t="n">
        <v>1195.19</v>
      </c>
    </row>
    <row r="4296" customFormat="false" ht="15" hidden="false" customHeight="false" outlineLevel="0" collapsed="false">
      <c r="A4296" s="0" t="n">
        <v>52</v>
      </c>
      <c r="B4296" s="0" t="s">
        <v>64</v>
      </c>
      <c r="C4296" s="0" t="n">
        <v>2012</v>
      </c>
      <c r="D4296" s="0" t="n">
        <v>5</v>
      </c>
      <c r="E4296" s="38" t="n">
        <v>711.45</v>
      </c>
    </row>
    <row r="4297" customFormat="false" ht="15" hidden="false" customHeight="false" outlineLevel="0" collapsed="false">
      <c r="A4297" s="0" t="n">
        <v>52</v>
      </c>
      <c r="B4297" s="0" t="s">
        <v>64</v>
      </c>
      <c r="C4297" s="0" t="n">
        <v>2012</v>
      </c>
      <c r="D4297" s="0" t="n">
        <v>6</v>
      </c>
      <c r="E4297" s="38" t="n">
        <v>744.31</v>
      </c>
    </row>
    <row r="4298" customFormat="false" ht="15" hidden="false" customHeight="false" outlineLevel="0" collapsed="false">
      <c r="A4298" s="0" t="n">
        <v>52</v>
      </c>
      <c r="B4298" s="0" t="s">
        <v>64</v>
      </c>
      <c r="C4298" s="0" t="n">
        <v>2012</v>
      </c>
      <c r="D4298" s="0" t="n">
        <v>7</v>
      </c>
      <c r="E4298" s="38" t="n">
        <v>756.63</v>
      </c>
    </row>
    <row r="4299" customFormat="false" ht="15" hidden="false" customHeight="false" outlineLevel="0" collapsed="false">
      <c r="A4299" s="0" t="n">
        <v>52</v>
      </c>
      <c r="B4299" s="0" t="s">
        <v>64</v>
      </c>
      <c r="C4299" s="0" t="n">
        <v>2012</v>
      </c>
      <c r="D4299" s="0" t="n">
        <v>8</v>
      </c>
      <c r="E4299" s="38" t="n">
        <v>674.66</v>
      </c>
    </row>
    <row r="4300" customFormat="false" ht="15" hidden="false" customHeight="false" outlineLevel="0" collapsed="false">
      <c r="A4300" s="0" t="n">
        <v>52</v>
      </c>
      <c r="B4300" s="0" t="s">
        <v>64</v>
      </c>
      <c r="C4300" s="0" t="n">
        <v>2012</v>
      </c>
      <c r="D4300" s="0" t="n">
        <v>9</v>
      </c>
      <c r="E4300" s="38" t="n">
        <v>712.24</v>
      </c>
    </row>
    <row r="4301" customFormat="false" ht="15" hidden="false" customHeight="false" outlineLevel="0" collapsed="false">
      <c r="A4301" s="0" t="n">
        <v>52</v>
      </c>
      <c r="B4301" s="0" t="s">
        <v>64</v>
      </c>
      <c r="C4301" s="0" t="n">
        <v>2012</v>
      </c>
      <c r="D4301" s="0" t="n">
        <v>10</v>
      </c>
      <c r="E4301" s="38" t="n">
        <v>622.75</v>
      </c>
    </row>
    <row r="4302" customFormat="false" ht="15" hidden="false" customHeight="false" outlineLevel="0" collapsed="false">
      <c r="A4302" s="0" t="n">
        <v>52</v>
      </c>
      <c r="B4302" s="0" t="s">
        <v>64</v>
      </c>
      <c r="C4302" s="0" t="n">
        <v>2012</v>
      </c>
      <c r="D4302" s="0" t="n">
        <v>11</v>
      </c>
      <c r="E4302" s="38" t="n">
        <v>563.31</v>
      </c>
    </row>
    <row r="4303" customFormat="false" ht="15" hidden="false" customHeight="false" outlineLevel="0" collapsed="false">
      <c r="A4303" s="0" t="n">
        <v>52</v>
      </c>
      <c r="B4303" s="0" t="s">
        <v>64</v>
      </c>
      <c r="C4303" s="0" t="n">
        <v>2012</v>
      </c>
      <c r="D4303" s="0" t="n">
        <v>12</v>
      </c>
      <c r="E4303" s="38" t="n">
        <v>530.92</v>
      </c>
    </row>
    <row r="4304" customFormat="false" ht="15" hidden="false" customHeight="false" outlineLevel="0" collapsed="false">
      <c r="A4304" s="0" t="n">
        <v>52</v>
      </c>
      <c r="B4304" s="0" t="s">
        <v>64</v>
      </c>
      <c r="C4304" s="0" t="n">
        <v>2013</v>
      </c>
      <c r="D4304" s="0" t="n">
        <v>1</v>
      </c>
      <c r="E4304" s="38" t="n">
        <v>682.71</v>
      </c>
    </row>
    <row r="4305" customFormat="false" ht="15" hidden="false" customHeight="false" outlineLevel="0" collapsed="false">
      <c r="A4305" s="0" t="n">
        <v>52</v>
      </c>
      <c r="B4305" s="0" t="s">
        <v>64</v>
      </c>
      <c r="C4305" s="0" t="n">
        <v>2013</v>
      </c>
      <c r="D4305" s="0" t="n">
        <v>2</v>
      </c>
      <c r="E4305" s="38" t="n">
        <v>680.37</v>
      </c>
    </row>
    <row r="4306" customFormat="false" ht="15" hidden="false" customHeight="false" outlineLevel="0" collapsed="false">
      <c r="A4306" s="0" t="n">
        <v>52</v>
      </c>
      <c r="B4306" s="0" t="s">
        <v>64</v>
      </c>
      <c r="C4306" s="0" t="n">
        <v>2013</v>
      </c>
      <c r="D4306" s="0" t="n">
        <v>3</v>
      </c>
      <c r="E4306" s="38" t="n">
        <v>511.4</v>
      </c>
    </row>
    <row r="4307" customFormat="false" ht="15" hidden="false" customHeight="false" outlineLevel="0" collapsed="false">
      <c r="A4307" s="0" t="n">
        <v>52</v>
      </c>
      <c r="B4307" s="0" t="s">
        <v>64</v>
      </c>
      <c r="C4307" s="0" t="n">
        <v>2013</v>
      </c>
      <c r="D4307" s="0" t="n">
        <v>4</v>
      </c>
      <c r="E4307" s="38" t="n">
        <v>639.74</v>
      </c>
    </row>
    <row r="4308" customFormat="false" ht="15" hidden="false" customHeight="false" outlineLevel="0" collapsed="false">
      <c r="A4308" s="0" t="n">
        <v>52</v>
      </c>
      <c r="B4308" s="0" t="s">
        <v>64</v>
      </c>
      <c r="C4308" s="0" t="n">
        <v>2013</v>
      </c>
      <c r="D4308" s="0" t="n">
        <v>5</v>
      </c>
      <c r="E4308" s="38" t="n">
        <v>473.16</v>
      </c>
    </row>
    <row r="4309" customFormat="false" ht="15" hidden="false" customHeight="false" outlineLevel="0" collapsed="false">
      <c r="A4309" s="0" t="n">
        <v>52</v>
      </c>
      <c r="B4309" s="0" t="s">
        <v>64</v>
      </c>
      <c r="C4309" s="0" t="n">
        <v>2013</v>
      </c>
      <c r="D4309" s="0" t="n">
        <v>6</v>
      </c>
      <c r="E4309" s="38" t="n">
        <v>516.99</v>
      </c>
    </row>
    <row r="4310" customFormat="false" ht="15" hidden="false" customHeight="false" outlineLevel="0" collapsed="false">
      <c r="A4310" s="0" t="n">
        <v>52</v>
      </c>
      <c r="B4310" s="0" t="s">
        <v>64</v>
      </c>
      <c r="C4310" s="0" t="n">
        <v>2013</v>
      </c>
      <c r="D4310" s="0" t="n">
        <v>7</v>
      </c>
      <c r="E4310" s="38" t="n">
        <v>454.05</v>
      </c>
    </row>
    <row r="4311" customFormat="false" ht="15" hidden="false" customHeight="false" outlineLevel="0" collapsed="false">
      <c r="A4311" s="0" t="n">
        <v>52</v>
      </c>
      <c r="B4311" s="0" t="s">
        <v>64</v>
      </c>
      <c r="C4311" s="0" t="n">
        <v>2013</v>
      </c>
      <c r="D4311" s="0" t="n">
        <v>8</v>
      </c>
      <c r="E4311" s="38" t="n">
        <v>398.87</v>
      </c>
    </row>
    <row r="4312" customFormat="false" ht="15" hidden="false" customHeight="false" outlineLevel="0" collapsed="false">
      <c r="A4312" s="0" t="n">
        <v>54</v>
      </c>
      <c r="B4312" s="0" t="s">
        <v>60</v>
      </c>
      <c r="C4312" s="0" t="n">
        <v>2011</v>
      </c>
      <c r="D4312" s="0" t="n">
        <v>1</v>
      </c>
      <c r="E4312" s="38" t="n">
        <v>26201.79</v>
      </c>
    </row>
    <row r="4313" customFormat="false" ht="15" hidden="false" customHeight="false" outlineLevel="0" collapsed="false">
      <c r="A4313" s="0" t="n">
        <v>54</v>
      </c>
      <c r="B4313" s="0" t="s">
        <v>60</v>
      </c>
      <c r="C4313" s="0" t="n">
        <v>2011</v>
      </c>
      <c r="D4313" s="0" t="n">
        <v>2</v>
      </c>
      <c r="E4313" s="38" t="n">
        <v>20130.04</v>
      </c>
    </row>
    <row r="4314" customFormat="false" ht="15" hidden="false" customHeight="false" outlineLevel="0" collapsed="false">
      <c r="A4314" s="0" t="n">
        <v>54</v>
      </c>
      <c r="B4314" s="0" t="s">
        <v>60</v>
      </c>
      <c r="C4314" s="0" t="n">
        <v>2011</v>
      </c>
      <c r="D4314" s="0" t="n">
        <v>3</v>
      </c>
      <c r="E4314" s="38" t="n">
        <v>18958.41</v>
      </c>
    </row>
    <row r="4315" customFormat="false" ht="15" hidden="false" customHeight="false" outlineLevel="0" collapsed="false">
      <c r="A4315" s="0" t="n">
        <v>54</v>
      </c>
      <c r="B4315" s="0" t="s">
        <v>60</v>
      </c>
      <c r="C4315" s="0" t="n">
        <v>2011</v>
      </c>
      <c r="D4315" s="0" t="n">
        <v>4</v>
      </c>
      <c r="E4315" s="38" t="n">
        <v>25532.71</v>
      </c>
    </row>
    <row r="4316" customFormat="false" ht="15" hidden="false" customHeight="false" outlineLevel="0" collapsed="false">
      <c r="A4316" s="0" t="n">
        <v>54</v>
      </c>
      <c r="B4316" s="0" t="s">
        <v>60</v>
      </c>
      <c r="C4316" s="0" t="n">
        <v>2011</v>
      </c>
      <c r="D4316" s="0" t="n">
        <v>5</v>
      </c>
      <c r="E4316" s="38" t="n">
        <v>21364.79</v>
      </c>
    </row>
    <row r="4317" customFormat="false" ht="15" hidden="false" customHeight="false" outlineLevel="0" collapsed="false">
      <c r="A4317" s="0" t="n">
        <v>54</v>
      </c>
      <c r="B4317" s="0" t="s">
        <v>60</v>
      </c>
      <c r="C4317" s="0" t="n">
        <v>2011</v>
      </c>
      <c r="D4317" s="0" t="n">
        <v>6</v>
      </c>
      <c r="E4317" s="38" t="n">
        <v>21122.62</v>
      </c>
    </row>
    <row r="4318" customFormat="false" ht="15" hidden="false" customHeight="false" outlineLevel="0" collapsed="false">
      <c r="A4318" s="0" t="n">
        <v>54</v>
      </c>
      <c r="B4318" s="0" t="s">
        <v>60</v>
      </c>
      <c r="C4318" s="0" t="n">
        <v>2011</v>
      </c>
      <c r="D4318" s="0" t="n">
        <v>7</v>
      </c>
      <c r="E4318" s="38" t="n">
        <v>18118.36</v>
      </c>
    </row>
    <row r="4319" customFormat="false" ht="15" hidden="false" customHeight="false" outlineLevel="0" collapsed="false">
      <c r="A4319" s="0" t="n">
        <v>54</v>
      </c>
      <c r="B4319" s="0" t="s">
        <v>60</v>
      </c>
      <c r="C4319" s="0" t="n">
        <v>2011</v>
      </c>
      <c r="D4319" s="0" t="n">
        <v>8</v>
      </c>
      <c r="E4319" s="38" t="n">
        <v>12989.42</v>
      </c>
    </row>
    <row r="4320" customFormat="false" ht="15" hidden="false" customHeight="false" outlineLevel="0" collapsed="false">
      <c r="A4320" s="0" t="n">
        <v>54</v>
      </c>
      <c r="B4320" s="0" t="s">
        <v>60</v>
      </c>
      <c r="C4320" s="0" t="n">
        <v>2011</v>
      </c>
      <c r="D4320" s="0" t="n">
        <v>9</v>
      </c>
      <c r="E4320" s="38" t="n">
        <v>9566.76</v>
      </c>
    </row>
    <row r="4321" customFormat="false" ht="15" hidden="false" customHeight="false" outlineLevel="0" collapsed="false">
      <c r="A4321" s="0" t="n">
        <v>54</v>
      </c>
      <c r="B4321" s="0" t="s">
        <v>60</v>
      </c>
      <c r="C4321" s="0" t="n">
        <v>2011</v>
      </c>
      <c r="D4321" s="0" t="n">
        <v>10</v>
      </c>
      <c r="E4321" s="38" t="n">
        <v>10112.58</v>
      </c>
    </row>
    <row r="4322" customFormat="false" ht="15" hidden="false" customHeight="false" outlineLevel="0" collapsed="false">
      <c r="A4322" s="0" t="n">
        <v>54</v>
      </c>
      <c r="B4322" s="0" t="s">
        <v>60</v>
      </c>
      <c r="C4322" s="0" t="n">
        <v>2011</v>
      </c>
      <c r="D4322" s="0" t="n">
        <v>11</v>
      </c>
      <c r="E4322" s="38" t="n">
        <v>17146.3</v>
      </c>
    </row>
    <row r="4323" customFormat="false" ht="15" hidden="false" customHeight="false" outlineLevel="0" collapsed="false">
      <c r="A4323" s="0" t="n">
        <v>54</v>
      </c>
      <c r="B4323" s="0" t="s">
        <v>60</v>
      </c>
      <c r="C4323" s="0" t="n">
        <v>2011</v>
      </c>
      <c r="D4323" s="0" t="n">
        <v>12</v>
      </c>
      <c r="E4323" s="38" t="n">
        <v>5039.19</v>
      </c>
    </row>
    <row r="4324" customFormat="false" ht="15" hidden="false" customHeight="false" outlineLevel="0" collapsed="false">
      <c r="A4324" s="0" t="n">
        <v>54</v>
      </c>
      <c r="B4324" s="0" t="s">
        <v>60</v>
      </c>
      <c r="C4324" s="0" t="n">
        <v>2012</v>
      </c>
      <c r="D4324" s="0" t="n">
        <v>1</v>
      </c>
      <c r="E4324" s="38" t="n">
        <v>7145.25</v>
      </c>
    </row>
    <row r="4325" customFormat="false" ht="15" hidden="false" customHeight="false" outlineLevel="0" collapsed="false">
      <c r="A4325" s="0" t="n">
        <v>54</v>
      </c>
      <c r="B4325" s="0" t="s">
        <v>60</v>
      </c>
      <c r="C4325" s="0" t="n">
        <v>2012</v>
      </c>
      <c r="D4325" s="0" t="n">
        <v>2</v>
      </c>
      <c r="E4325" s="38" t="n">
        <v>5301.93</v>
      </c>
    </row>
    <row r="4326" customFormat="false" ht="15" hidden="false" customHeight="false" outlineLevel="0" collapsed="false">
      <c r="A4326" s="0" t="n">
        <v>54</v>
      </c>
      <c r="B4326" s="0" t="s">
        <v>60</v>
      </c>
      <c r="C4326" s="0" t="n">
        <v>2012</v>
      </c>
      <c r="D4326" s="0" t="n">
        <v>3</v>
      </c>
      <c r="E4326" s="38" t="n">
        <v>5015.53</v>
      </c>
    </row>
    <row r="4327" customFormat="false" ht="15" hidden="false" customHeight="false" outlineLevel="0" collapsed="false">
      <c r="A4327" s="0" t="n">
        <v>54</v>
      </c>
      <c r="B4327" s="0" t="s">
        <v>60</v>
      </c>
      <c r="C4327" s="0" t="n">
        <v>2012</v>
      </c>
      <c r="D4327" s="0" t="n">
        <v>4</v>
      </c>
      <c r="E4327" s="38" t="n">
        <v>6584.1</v>
      </c>
    </row>
    <row r="4328" customFormat="false" ht="15" hidden="false" customHeight="false" outlineLevel="0" collapsed="false">
      <c r="A4328" s="0" t="n">
        <v>54</v>
      </c>
      <c r="B4328" s="0" t="s">
        <v>60</v>
      </c>
      <c r="C4328" s="0" t="n">
        <v>2012</v>
      </c>
      <c r="D4328" s="0" t="n">
        <v>5</v>
      </c>
      <c r="E4328" s="38" t="n">
        <v>4990.08</v>
      </c>
    </row>
    <row r="4329" customFormat="false" ht="15" hidden="false" customHeight="false" outlineLevel="0" collapsed="false">
      <c r="A4329" s="0" t="n">
        <v>54</v>
      </c>
      <c r="B4329" s="0" t="s">
        <v>60</v>
      </c>
      <c r="C4329" s="0" t="n">
        <v>2012</v>
      </c>
      <c r="D4329" s="0" t="n">
        <v>6</v>
      </c>
      <c r="E4329" s="38" t="n">
        <v>4508.23</v>
      </c>
    </row>
    <row r="4330" customFormat="false" ht="15" hidden="false" customHeight="false" outlineLevel="0" collapsed="false">
      <c r="A4330" s="0" t="n">
        <v>54</v>
      </c>
      <c r="B4330" s="0" t="s">
        <v>60</v>
      </c>
      <c r="C4330" s="0" t="n">
        <v>2012</v>
      </c>
      <c r="D4330" s="0" t="n">
        <v>7</v>
      </c>
      <c r="E4330" s="38" t="n">
        <v>5108.2</v>
      </c>
    </row>
    <row r="4331" customFormat="false" ht="15" hidden="false" customHeight="false" outlineLevel="0" collapsed="false">
      <c r="A4331" s="0" t="n">
        <v>54</v>
      </c>
      <c r="B4331" s="0" t="s">
        <v>60</v>
      </c>
      <c r="C4331" s="0" t="n">
        <v>2012</v>
      </c>
      <c r="D4331" s="0" t="n">
        <v>8</v>
      </c>
      <c r="E4331" s="38" t="n">
        <v>3462.98</v>
      </c>
    </row>
    <row r="4332" customFormat="false" ht="15" hidden="false" customHeight="false" outlineLevel="0" collapsed="false">
      <c r="A4332" s="0" t="n">
        <v>54</v>
      </c>
      <c r="B4332" s="0" t="s">
        <v>60</v>
      </c>
      <c r="C4332" s="0" t="n">
        <v>2012</v>
      </c>
      <c r="D4332" s="0" t="n">
        <v>9</v>
      </c>
      <c r="E4332" s="38" t="n">
        <v>4048.29</v>
      </c>
    </row>
    <row r="4333" customFormat="false" ht="15" hidden="false" customHeight="false" outlineLevel="0" collapsed="false">
      <c r="A4333" s="0" t="n">
        <v>54</v>
      </c>
      <c r="B4333" s="0" t="s">
        <v>60</v>
      </c>
      <c r="C4333" s="0" t="n">
        <v>2012</v>
      </c>
      <c r="D4333" s="0" t="n">
        <v>10</v>
      </c>
      <c r="E4333" s="38" t="n">
        <v>3973.09</v>
      </c>
    </row>
    <row r="4334" customFormat="false" ht="15" hidden="false" customHeight="false" outlineLevel="0" collapsed="false">
      <c r="A4334" s="0" t="n">
        <v>54</v>
      </c>
      <c r="B4334" s="0" t="s">
        <v>60</v>
      </c>
      <c r="C4334" s="0" t="n">
        <v>2012</v>
      </c>
      <c r="D4334" s="0" t="n">
        <v>11</v>
      </c>
      <c r="E4334" s="38" t="n">
        <v>8516.42</v>
      </c>
    </row>
    <row r="4335" customFormat="false" ht="15" hidden="false" customHeight="false" outlineLevel="0" collapsed="false">
      <c r="A4335" s="0" t="n">
        <v>54</v>
      </c>
      <c r="B4335" s="0" t="s">
        <v>60</v>
      </c>
      <c r="C4335" s="0" t="n">
        <v>2012</v>
      </c>
      <c r="D4335" s="0" t="n">
        <v>12</v>
      </c>
      <c r="E4335" s="38" t="n">
        <v>3176.81</v>
      </c>
    </row>
    <row r="4336" customFormat="false" ht="15" hidden="false" customHeight="false" outlineLevel="0" collapsed="false">
      <c r="A4336" s="0" t="n">
        <v>54</v>
      </c>
      <c r="B4336" s="0" t="s">
        <v>60</v>
      </c>
      <c r="C4336" s="0" t="n">
        <v>2013</v>
      </c>
      <c r="D4336" s="0" t="n">
        <v>1</v>
      </c>
      <c r="E4336" s="38" t="n">
        <v>4302.82</v>
      </c>
    </row>
    <row r="4337" customFormat="false" ht="15" hidden="false" customHeight="false" outlineLevel="0" collapsed="false">
      <c r="A4337" s="0" t="n">
        <v>54</v>
      </c>
      <c r="B4337" s="0" t="s">
        <v>60</v>
      </c>
      <c r="C4337" s="0" t="n">
        <v>2013</v>
      </c>
      <c r="D4337" s="0" t="n">
        <v>2</v>
      </c>
      <c r="E4337" s="38" t="n">
        <v>2866.3</v>
      </c>
    </row>
    <row r="4338" customFormat="false" ht="15" hidden="false" customHeight="false" outlineLevel="0" collapsed="false">
      <c r="A4338" s="0" t="n">
        <v>54</v>
      </c>
      <c r="B4338" s="0" t="s">
        <v>60</v>
      </c>
      <c r="C4338" s="0" t="n">
        <v>2013</v>
      </c>
      <c r="D4338" s="0" t="n">
        <v>3</v>
      </c>
      <c r="E4338" s="38" t="n">
        <v>2779.6</v>
      </c>
    </row>
    <row r="4339" customFormat="false" ht="15" hidden="false" customHeight="false" outlineLevel="0" collapsed="false">
      <c r="A4339" s="0" t="n">
        <v>54</v>
      </c>
      <c r="B4339" s="0" t="s">
        <v>60</v>
      </c>
      <c r="C4339" s="0" t="n">
        <v>2013</v>
      </c>
      <c r="D4339" s="0" t="n">
        <v>4</v>
      </c>
      <c r="E4339" s="38" t="n">
        <v>3728.88</v>
      </c>
    </row>
    <row r="4340" customFormat="false" ht="15" hidden="false" customHeight="false" outlineLevel="0" collapsed="false">
      <c r="A4340" s="0" t="n">
        <v>54</v>
      </c>
      <c r="B4340" s="0" t="s">
        <v>60</v>
      </c>
      <c r="C4340" s="0" t="n">
        <v>2013</v>
      </c>
      <c r="D4340" s="0" t="n">
        <v>5</v>
      </c>
      <c r="E4340" s="38" t="n">
        <v>2545.18</v>
      </c>
    </row>
    <row r="4341" customFormat="false" ht="15" hidden="false" customHeight="false" outlineLevel="0" collapsed="false">
      <c r="A4341" s="0" t="n">
        <v>54</v>
      </c>
      <c r="B4341" s="0" t="s">
        <v>60</v>
      </c>
      <c r="C4341" s="0" t="n">
        <v>2013</v>
      </c>
      <c r="D4341" s="0" t="n">
        <v>6</v>
      </c>
      <c r="E4341" s="38" t="n">
        <v>2713.81</v>
      </c>
    </row>
    <row r="4342" customFormat="false" ht="15" hidden="false" customHeight="false" outlineLevel="0" collapsed="false">
      <c r="A4342" s="0" t="n">
        <v>54</v>
      </c>
      <c r="B4342" s="0" t="s">
        <v>60</v>
      </c>
      <c r="C4342" s="0" t="n">
        <v>2013</v>
      </c>
      <c r="D4342" s="0" t="n">
        <v>7</v>
      </c>
      <c r="E4342" s="38" t="n">
        <v>2485.88</v>
      </c>
    </row>
    <row r="4343" customFormat="false" ht="15" hidden="false" customHeight="false" outlineLevel="0" collapsed="false">
      <c r="A4343" s="0" t="n">
        <v>54</v>
      </c>
      <c r="B4343" s="0" t="s">
        <v>60</v>
      </c>
      <c r="C4343" s="0" t="n">
        <v>2013</v>
      </c>
      <c r="D4343" s="0" t="n">
        <v>8</v>
      </c>
      <c r="E4343" s="38" t="n">
        <v>2074.89</v>
      </c>
    </row>
    <row r="4344" customFormat="false" ht="15" hidden="false" customHeight="false" outlineLevel="0" collapsed="false">
      <c r="A4344" s="0" t="n">
        <v>54</v>
      </c>
      <c r="B4344" s="0" t="s">
        <v>62</v>
      </c>
      <c r="C4344" s="0" t="n">
        <v>2011</v>
      </c>
      <c r="D4344" s="0" t="n">
        <v>1</v>
      </c>
      <c r="E4344" s="38" t="n">
        <v>19151.91</v>
      </c>
    </row>
    <row r="4345" customFormat="false" ht="15" hidden="false" customHeight="false" outlineLevel="0" collapsed="false">
      <c r="A4345" s="0" t="n">
        <v>54</v>
      </c>
      <c r="B4345" s="0" t="s">
        <v>62</v>
      </c>
      <c r="C4345" s="0" t="n">
        <v>2011</v>
      </c>
      <c r="D4345" s="0" t="n">
        <v>2</v>
      </c>
      <c r="E4345" s="38" t="n">
        <v>18293.73</v>
      </c>
    </row>
    <row r="4346" customFormat="false" ht="15" hidden="false" customHeight="false" outlineLevel="0" collapsed="false">
      <c r="A4346" s="0" t="n">
        <v>54</v>
      </c>
      <c r="B4346" s="0" t="s">
        <v>62</v>
      </c>
      <c r="C4346" s="0" t="n">
        <v>2011</v>
      </c>
      <c r="D4346" s="0" t="n">
        <v>3</v>
      </c>
      <c r="E4346" s="38" t="n">
        <v>15463.83</v>
      </c>
    </row>
    <row r="4347" customFormat="false" ht="15" hidden="false" customHeight="false" outlineLevel="0" collapsed="false">
      <c r="A4347" s="0" t="n">
        <v>54</v>
      </c>
      <c r="B4347" s="0" t="s">
        <v>62</v>
      </c>
      <c r="C4347" s="0" t="n">
        <v>2011</v>
      </c>
      <c r="D4347" s="0" t="n">
        <v>4</v>
      </c>
      <c r="E4347" s="38" t="n">
        <v>18710.22</v>
      </c>
    </row>
    <row r="4348" customFormat="false" ht="15" hidden="false" customHeight="false" outlineLevel="0" collapsed="false">
      <c r="A4348" s="0" t="n">
        <v>54</v>
      </c>
      <c r="B4348" s="0" t="s">
        <v>62</v>
      </c>
      <c r="C4348" s="0" t="n">
        <v>2011</v>
      </c>
      <c r="D4348" s="0" t="n">
        <v>5</v>
      </c>
      <c r="E4348" s="38" t="n">
        <v>18073.82</v>
      </c>
    </row>
    <row r="4349" customFormat="false" ht="15" hidden="false" customHeight="false" outlineLevel="0" collapsed="false">
      <c r="A4349" s="0" t="n">
        <v>54</v>
      </c>
      <c r="B4349" s="0" t="s">
        <v>62</v>
      </c>
      <c r="C4349" s="0" t="n">
        <v>2011</v>
      </c>
      <c r="D4349" s="0" t="n">
        <v>6</v>
      </c>
      <c r="E4349" s="38" t="n">
        <v>16590.54</v>
      </c>
    </row>
    <row r="4350" customFormat="false" ht="15" hidden="false" customHeight="false" outlineLevel="0" collapsed="false">
      <c r="A4350" s="0" t="n">
        <v>54</v>
      </c>
      <c r="B4350" s="0" t="s">
        <v>62</v>
      </c>
      <c r="C4350" s="0" t="n">
        <v>2011</v>
      </c>
      <c r="D4350" s="0" t="n">
        <v>7</v>
      </c>
      <c r="E4350" s="38" t="n">
        <v>15786.62</v>
      </c>
    </row>
    <row r="4351" customFormat="false" ht="15" hidden="false" customHeight="false" outlineLevel="0" collapsed="false">
      <c r="A4351" s="0" t="n">
        <v>54</v>
      </c>
      <c r="B4351" s="0" t="s">
        <v>62</v>
      </c>
      <c r="C4351" s="0" t="n">
        <v>2011</v>
      </c>
      <c r="D4351" s="0" t="n">
        <v>8</v>
      </c>
      <c r="E4351" s="38" t="n">
        <v>8211.87</v>
      </c>
    </row>
    <row r="4352" customFormat="false" ht="15" hidden="false" customHeight="false" outlineLevel="0" collapsed="false">
      <c r="A4352" s="0" t="n">
        <v>54</v>
      </c>
      <c r="B4352" s="0" t="s">
        <v>62</v>
      </c>
      <c r="C4352" s="0" t="n">
        <v>2011</v>
      </c>
      <c r="D4352" s="0" t="n">
        <v>9</v>
      </c>
      <c r="E4352" s="38" t="n">
        <v>6640.26</v>
      </c>
    </row>
    <row r="4353" customFormat="false" ht="15" hidden="false" customHeight="false" outlineLevel="0" collapsed="false">
      <c r="A4353" s="0" t="n">
        <v>54</v>
      </c>
      <c r="B4353" s="0" t="s">
        <v>62</v>
      </c>
      <c r="C4353" s="0" t="n">
        <v>2011</v>
      </c>
      <c r="D4353" s="0" t="n">
        <v>10</v>
      </c>
      <c r="E4353" s="38" t="n">
        <v>6217.16</v>
      </c>
    </row>
    <row r="4354" customFormat="false" ht="15" hidden="false" customHeight="false" outlineLevel="0" collapsed="false">
      <c r="A4354" s="0" t="n">
        <v>54</v>
      </c>
      <c r="B4354" s="0" t="s">
        <v>62</v>
      </c>
      <c r="C4354" s="0" t="n">
        <v>2011</v>
      </c>
      <c r="D4354" s="0" t="n">
        <v>11</v>
      </c>
      <c r="E4354" s="38" t="n">
        <v>11507.53</v>
      </c>
    </row>
    <row r="4355" customFormat="false" ht="15" hidden="false" customHeight="false" outlineLevel="0" collapsed="false">
      <c r="A4355" s="0" t="n">
        <v>54</v>
      </c>
      <c r="B4355" s="0" t="s">
        <v>62</v>
      </c>
      <c r="C4355" s="0" t="n">
        <v>2011</v>
      </c>
      <c r="D4355" s="0" t="n">
        <v>12</v>
      </c>
      <c r="E4355" s="38" t="n">
        <v>3215.9</v>
      </c>
    </row>
    <row r="4356" customFormat="false" ht="15" hidden="false" customHeight="false" outlineLevel="0" collapsed="false">
      <c r="A4356" s="0" t="n">
        <v>54</v>
      </c>
      <c r="B4356" s="0" t="s">
        <v>62</v>
      </c>
      <c r="C4356" s="0" t="n">
        <v>2012</v>
      </c>
      <c r="D4356" s="0" t="n">
        <v>1</v>
      </c>
      <c r="E4356" s="38" t="n">
        <v>4167.14</v>
      </c>
    </row>
    <row r="4357" customFormat="false" ht="15" hidden="false" customHeight="false" outlineLevel="0" collapsed="false">
      <c r="A4357" s="0" t="n">
        <v>54</v>
      </c>
      <c r="B4357" s="0" t="s">
        <v>62</v>
      </c>
      <c r="C4357" s="0" t="n">
        <v>2012</v>
      </c>
      <c r="D4357" s="0" t="n">
        <v>2</v>
      </c>
      <c r="E4357" s="38" t="n">
        <v>3802.89</v>
      </c>
    </row>
    <row r="4358" customFormat="false" ht="15" hidden="false" customHeight="false" outlineLevel="0" collapsed="false">
      <c r="A4358" s="0" t="n">
        <v>54</v>
      </c>
      <c r="B4358" s="0" t="s">
        <v>62</v>
      </c>
      <c r="C4358" s="0" t="n">
        <v>2012</v>
      </c>
      <c r="D4358" s="0" t="n">
        <v>3</v>
      </c>
      <c r="E4358" s="38" t="n">
        <v>3856.69</v>
      </c>
    </row>
    <row r="4359" customFormat="false" ht="15" hidden="false" customHeight="false" outlineLevel="0" collapsed="false">
      <c r="A4359" s="0" t="n">
        <v>54</v>
      </c>
      <c r="B4359" s="0" t="s">
        <v>62</v>
      </c>
      <c r="C4359" s="0" t="n">
        <v>2012</v>
      </c>
      <c r="D4359" s="0" t="n">
        <v>4</v>
      </c>
      <c r="E4359" s="38" t="n">
        <v>4478.4</v>
      </c>
    </row>
    <row r="4360" customFormat="false" ht="15" hidden="false" customHeight="false" outlineLevel="0" collapsed="false">
      <c r="A4360" s="0" t="n">
        <v>54</v>
      </c>
      <c r="B4360" s="0" t="s">
        <v>62</v>
      </c>
      <c r="C4360" s="0" t="n">
        <v>2012</v>
      </c>
      <c r="D4360" s="0" t="n">
        <v>5</v>
      </c>
      <c r="E4360" s="38" t="n">
        <v>3625.81</v>
      </c>
    </row>
    <row r="4361" customFormat="false" ht="15" hidden="false" customHeight="false" outlineLevel="0" collapsed="false">
      <c r="A4361" s="0" t="n">
        <v>54</v>
      </c>
      <c r="B4361" s="0" t="s">
        <v>62</v>
      </c>
      <c r="C4361" s="0" t="n">
        <v>2012</v>
      </c>
      <c r="D4361" s="0" t="n">
        <v>6</v>
      </c>
      <c r="E4361" s="38" t="n">
        <v>2988.15</v>
      </c>
    </row>
    <row r="4362" customFormat="false" ht="15" hidden="false" customHeight="false" outlineLevel="0" collapsed="false">
      <c r="A4362" s="0" t="n">
        <v>54</v>
      </c>
      <c r="B4362" s="0" t="s">
        <v>62</v>
      </c>
      <c r="C4362" s="0" t="n">
        <v>2012</v>
      </c>
      <c r="D4362" s="0" t="n">
        <v>7</v>
      </c>
      <c r="E4362" s="38" t="n">
        <v>3410.5</v>
      </c>
    </row>
    <row r="4363" customFormat="false" ht="15" hidden="false" customHeight="false" outlineLevel="0" collapsed="false">
      <c r="A4363" s="0" t="n">
        <v>54</v>
      </c>
      <c r="B4363" s="0" t="s">
        <v>62</v>
      </c>
      <c r="C4363" s="0" t="n">
        <v>2012</v>
      </c>
      <c r="D4363" s="0" t="n">
        <v>8</v>
      </c>
      <c r="E4363" s="38" t="n">
        <v>2810.41</v>
      </c>
    </row>
    <row r="4364" customFormat="false" ht="15" hidden="false" customHeight="false" outlineLevel="0" collapsed="false">
      <c r="A4364" s="0" t="n">
        <v>54</v>
      </c>
      <c r="B4364" s="0" t="s">
        <v>62</v>
      </c>
      <c r="C4364" s="0" t="n">
        <v>2012</v>
      </c>
      <c r="D4364" s="0" t="n">
        <v>9</v>
      </c>
      <c r="E4364" s="38" t="n">
        <v>3335.17</v>
      </c>
    </row>
    <row r="4365" customFormat="false" ht="15" hidden="false" customHeight="false" outlineLevel="0" collapsed="false">
      <c r="A4365" s="0" t="n">
        <v>54</v>
      </c>
      <c r="B4365" s="0" t="s">
        <v>62</v>
      </c>
      <c r="C4365" s="0" t="n">
        <v>2012</v>
      </c>
      <c r="D4365" s="0" t="n">
        <v>10</v>
      </c>
      <c r="E4365" s="38" t="n">
        <v>2800.28</v>
      </c>
    </row>
    <row r="4366" customFormat="false" ht="15" hidden="false" customHeight="false" outlineLevel="0" collapsed="false">
      <c r="A4366" s="0" t="n">
        <v>54</v>
      </c>
      <c r="B4366" s="0" t="s">
        <v>62</v>
      </c>
      <c r="C4366" s="0" t="n">
        <v>2012</v>
      </c>
      <c r="D4366" s="0" t="n">
        <v>11</v>
      </c>
      <c r="E4366" s="38" t="n">
        <v>5901.38</v>
      </c>
    </row>
    <row r="4367" customFormat="false" ht="15" hidden="false" customHeight="false" outlineLevel="0" collapsed="false">
      <c r="A4367" s="0" t="n">
        <v>54</v>
      </c>
      <c r="B4367" s="0" t="s">
        <v>62</v>
      </c>
      <c r="C4367" s="0" t="n">
        <v>2012</v>
      </c>
      <c r="D4367" s="0" t="n">
        <v>12</v>
      </c>
      <c r="E4367" s="38" t="n">
        <v>1732.29</v>
      </c>
    </row>
    <row r="4368" customFormat="false" ht="15" hidden="false" customHeight="false" outlineLevel="0" collapsed="false">
      <c r="A4368" s="0" t="n">
        <v>54</v>
      </c>
      <c r="B4368" s="0" t="s">
        <v>62</v>
      </c>
      <c r="C4368" s="0" t="n">
        <v>2013</v>
      </c>
      <c r="D4368" s="0" t="n">
        <v>1</v>
      </c>
      <c r="E4368" s="38" t="n">
        <v>2719.21</v>
      </c>
    </row>
    <row r="4369" customFormat="false" ht="15" hidden="false" customHeight="false" outlineLevel="0" collapsed="false">
      <c r="A4369" s="0" t="n">
        <v>54</v>
      </c>
      <c r="B4369" s="0" t="s">
        <v>62</v>
      </c>
      <c r="C4369" s="0" t="n">
        <v>2013</v>
      </c>
      <c r="D4369" s="0" t="n">
        <v>2</v>
      </c>
      <c r="E4369" s="38" t="n">
        <v>2612.34</v>
      </c>
    </row>
    <row r="4370" customFormat="false" ht="15" hidden="false" customHeight="false" outlineLevel="0" collapsed="false">
      <c r="A4370" s="0" t="n">
        <v>54</v>
      </c>
      <c r="B4370" s="0" t="s">
        <v>62</v>
      </c>
      <c r="C4370" s="0" t="n">
        <v>2013</v>
      </c>
      <c r="D4370" s="0" t="n">
        <v>3</v>
      </c>
      <c r="E4370" s="38" t="n">
        <v>2183.75</v>
      </c>
    </row>
    <row r="4371" customFormat="false" ht="15" hidden="false" customHeight="false" outlineLevel="0" collapsed="false">
      <c r="A4371" s="0" t="n">
        <v>54</v>
      </c>
      <c r="B4371" s="0" t="s">
        <v>62</v>
      </c>
      <c r="C4371" s="0" t="n">
        <v>2013</v>
      </c>
      <c r="D4371" s="0" t="n">
        <v>4</v>
      </c>
      <c r="E4371" s="38" t="n">
        <v>2692.46</v>
      </c>
    </row>
    <row r="4372" customFormat="false" ht="15" hidden="false" customHeight="false" outlineLevel="0" collapsed="false">
      <c r="A4372" s="0" t="n">
        <v>54</v>
      </c>
      <c r="B4372" s="0" t="s">
        <v>62</v>
      </c>
      <c r="C4372" s="0" t="n">
        <v>2013</v>
      </c>
      <c r="D4372" s="0" t="n">
        <v>5</v>
      </c>
      <c r="E4372" s="38" t="n">
        <v>1801.29</v>
      </c>
    </row>
    <row r="4373" customFormat="false" ht="15" hidden="false" customHeight="false" outlineLevel="0" collapsed="false">
      <c r="A4373" s="0" t="n">
        <v>54</v>
      </c>
      <c r="B4373" s="0" t="s">
        <v>62</v>
      </c>
      <c r="C4373" s="0" t="n">
        <v>2013</v>
      </c>
      <c r="D4373" s="0" t="n">
        <v>6</v>
      </c>
      <c r="E4373" s="38" t="n">
        <v>1878.27</v>
      </c>
    </row>
    <row r="4374" customFormat="false" ht="15" hidden="false" customHeight="false" outlineLevel="0" collapsed="false">
      <c r="A4374" s="0" t="n">
        <v>54</v>
      </c>
      <c r="B4374" s="0" t="s">
        <v>62</v>
      </c>
      <c r="C4374" s="0" t="n">
        <v>2013</v>
      </c>
      <c r="D4374" s="0" t="n">
        <v>7</v>
      </c>
      <c r="E4374" s="38" t="n">
        <v>2077.93</v>
      </c>
    </row>
    <row r="4375" customFormat="false" ht="15" hidden="false" customHeight="false" outlineLevel="0" collapsed="false">
      <c r="A4375" s="0" t="n">
        <v>54</v>
      </c>
      <c r="B4375" s="0" t="s">
        <v>62</v>
      </c>
      <c r="C4375" s="0" t="n">
        <v>2013</v>
      </c>
      <c r="D4375" s="0" t="n">
        <v>8</v>
      </c>
      <c r="E4375" s="38" t="n">
        <v>1714.24</v>
      </c>
    </row>
    <row r="4376" customFormat="false" ht="15" hidden="false" customHeight="false" outlineLevel="0" collapsed="false">
      <c r="A4376" s="0" t="n">
        <v>55</v>
      </c>
      <c r="B4376" s="0" t="s">
        <v>60</v>
      </c>
      <c r="C4376" s="0" t="n">
        <v>2011</v>
      </c>
      <c r="D4376" s="0" t="n">
        <v>1</v>
      </c>
      <c r="E4376" s="38" t="n">
        <v>1415064.48</v>
      </c>
    </row>
    <row r="4377" customFormat="false" ht="15" hidden="false" customHeight="false" outlineLevel="0" collapsed="false">
      <c r="A4377" s="0" t="n">
        <v>55</v>
      </c>
      <c r="B4377" s="0" t="s">
        <v>60</v>
      </c>
      <c r="C4377" s="0" t="n">
        <v>2011</v>
      </c>
      <c r="D4377" s="0" t="n">
        <v>2</v>
      </c>
      <c r="E4377" s="38" t="n">
        <v>1311870.83</v>
      </c>
    </row>
    <row r="4378" customFormat="false" ht="15" hidden="false" customHeight="false" outlineLevel="0" collapsed="false">
      <c r="A4378" s="0" t="n">
        <v>55</v>
      </c>
      <c r="B4378" s="0" t="s">
        <v>60</v>
      </c>
      <c r="C4378" s="0" t="n">
        <v>2011</v>
      </c>
      <c r="D4378" s="0" t="n">
        <v>3</v>
      </c>
      <c r="E4378" s="38" t="n">
        <v>997701.89</v>
      </c>
    </row>
    <row r="4379" customFormat="false" ht="15" hidden="false" customHeight="false" outlineLevel="0" collapsed="false">
      <c r="A4379" s="0" t="n">
        <v>55</v>
      </c>
      <c r="B4379" s="0" t="s">
        <v>60</v>
      </c>
      <c r="C4379" s="0" t="n">
        <v>2011</v>
      </c>
      <c r="D4379" s="0" t="n">
        <v>4</v>
      </c>
      <c r="E4379" s="38" t="n">
        <v>969400.19</v>
      </c>
    </row>
    <row r="4380" customFormat="false" ht="15" hidden="false" customHeight="false" outlineLevel="0" collapsed="false">
      <c r="A4380" s="0" t="n">
        <v>55</v>
      </c>
      <c r="B4380" s="0" t="s">
        <v>60</v>
      </c>
      <c r="C4380" s="0" t="n">
        <v>2011</v>
      </c>
      <c r="D4380" s="0" t="n">
        <v>5</v>
      </c>
      <c r="E4380" s="38" t="n">
        <v>1015322.46</v>
      </c>
    </row>
    <row r="4381" customFormat="false" ht="15" hidden="false" customHeight="false" outlineLevel="0" collapsed="false">
      <c r="A4381" s="0" t="n">
        <v>55</v>
      </c>
      <c r="B4381" s="0" t="s">
        <v>60</v>
      </c>
      <c r="C4381" s="0" t="n">
        <v>2011</v>
      </c>
      <c r="D4381" s="0" t="n">
        <v>6</v>
      </c>
      <c r="E4381" s="38" t="n">
        <v>965217.13</v>
      </c>
    </row>
    <row r="4382" customFormat="false" ht="15" hidden="false" customHeight="false" outlineLevel="0" collapsed="false">
      <c r="A4382" s="0" t="n">
        <v>55</v>
      </c>
      <c r="B4382" s="0" t="s">
        <v>60</v>
      </c>
      <c r="C4382" s="0" t="n">
        <v>2011</v>
      </c>
      <c r="D4382" s="0" t="n">
        <v>7</v>
      </c>
      <c r="E4382" s="38" t="n">
        <v>902406.11</v>
      </c>
    </row>
    <row r="4383" customFormat="false" ht="15" hidden="false" customHeight="false" outlineLevel="0" collapsed="false">
      <c r="A4383" s="0" t="n">
        <v>55</v>
      </c>
      <c r="B4383" s="0" t="s">
        <v>60</v>
      </c>
      <c r="C4383" s="0" t="n">
        <v>2011</v>
      </c>
      <c r="D4383" s="0" t="n">
        <v>8</v>
      </c>
      <c r="E4383" s="38" t="n">
        <v>906994.45</v>
      </c>
    </row>
    <row r="4384" customFormat="false" ht="15" hidden="false" customHeight="false" outlineLevel="0" collapsed="false">
      <c r="A4384" s="0" t="n">
        <v>55</v>
      </c>
      <c r="B4384" s="0" t="s">
        <v>60</v>
      </c>
      <c r="C4384" s="0" t="n">
        <v>2011</v>
      </c>
      <c r="D4384" s="0" t="n">
        <v>9</v>
      </c>
      <c r="E4384" s="38" t="n">
        <v>992998.33</v>
      </c>
    </row>
    <row r="4385" customFormat="false" ht="15" hidden="false" customHeight="false" outlineLevel="0" collapsed="false">
      <c r="A4385" s="0" t="n">
        <v>55</v>
      </c>
      <c r="B4385" s="0" t="s">
        <v>60</v>
      </c>
      <c r="C4385" s="0" t="n">
        <v>2011</v>
      </c>
      <c r="D4385" s="0" t="n">
        <v>10</v>
      </c>
      <c r="E4385" s="38" t="n">
        <v>2175345.49</v>
      </c>
    </row>
    <row r="4386" customFormat="false" ht="15" hidden="false" customHeight="false" outlineLevel="0" collapsed="false">
      <c r="A4386" s="0" t="n">
        <v>55</v>
      </c>
      <c r="B4386" s="0" t="s">
        <v>60</v>
      </c>
      <c r="C4386" s="0" t="n">
        <v>2011</v>
      </c>
      <c r="D4386" s="0" t="n">
        <v>11</v>
      </c>
      <c r="E4386" s="38" t="n">
        <v>3225702.34</v>
      </c>
    </row>
    <row r="4387" customFormat="false" ht="15" hidden="false" customHeight="false" outlineLevel="0" collapsed="false">
      <c r="A4387" s="0" t="n">
        <v>55</v>
      </c>
      <c r="B4387" s="0" t="s">
        <v>60</v>
      </c>
      <c r="C4387" s="0" t="n">
        <v>2011</v>
      </c>
      <c r="D4387" s="0" t="n">
        <v>12</v>
      </c>
      <c r="E4387" s="38" t="n">
        <v>970443.03</v>
      </c>
    </row>
    <row r="4388" customFormat="false" ht="15" hidden="false" customHeight="false" outlineLevel="0" collapsed="false">
      <c r="A4388" s="0" t="n">
        <v>55</v>
      </c>
      <c r="B4388" s="0" t="s">
        <v>60</v>
      </c>
      <c r="C4388" s="0" t="n">
        <v>2012</v>
      </c>
      <c r="D4388" s="0" t="n">
        <v>1</v>
      </c>
      <c r="E4388" s="38" t="n">
        <v>1128101.1</v>
      </c>
    </row>
    <row r="4389" customFormat="false" ht="15" hidden="false" customHeight="false" outlineLevel="0" collapsed="false">
      <c r="A4389" s="0" t="n">
        <v>55</v>
      </c>
      <c r="B4389" s="0" t="s">
        <v>60</v>
      </c>
      <c r="C4389" s="0" t="n">
        <v>2012</v>
      </c>
      <c r="D4389" s="0" t="n">
        <v>2</v>
      </c>
      <c r="E4389" s="38" t="n">
        <v>1131492.78</v>
      </c>
    </row>
    <row r="4390" customFormat="false" ht="15" hidden="false" customHeight="false" outlineLevel="0" collapsed="false">
      <c r="A4390" s="0" t="n">
        <v>55</v>
      </c>
      <c r="B4390" s="0" t="s">
        <v>60</v>
      </c>
      <c r="C4390" s="0" t="n">
        <v>2012</v>
      </c>
      <c r="D4390" s="0" t="n">
        <v>3</v>
      </c>
      <c r="E4390" s="38" t="n">
        <v>965465.83</v>
      </c>
    </row>
    <row r="4391" customFormat="false" ht="15" hidden="false" customHeight="false" outlineLevel="0" collapsed="false">
      <c r="A4391" s="0" t="n">
        <v>55</v>
      </c>
      <c r="B4391" s="0" t="s">
        <v>60</v>
      </c>
      <c r="C4391" s="0" t="n">
        <v>2012</v>
      </c>
      <c r="D4391" s="0" t="n">
        <v>4</v>
      </c>
      <c r="E4391" s="38" t="n">
        <v>812405.31</v>
      </c>
    </row>
    <row r="4392" customFormat="false" ht="15" hidden="false" customHeight="false" outlineLevel="0" collapsed="false">
      <c r="A4392" s="0" t="n">
        <v>55</v>
      </c>
      <c r="B4392" s="0" t="s">
        <v>60</v>
      </c>
      <c r="C4392" s="0" t="n">
        <v>2012</v>
      </c>
      <c r="D4392" s="0" t="n">
        <v>5</v>
      </c>
      <c r="E4392" s="38" t="n">
        <v>838726.24</v>
      </c>
    </row>
    <row r="4393" customFormat="false" ht="15" hidden="false" customHeight="false" outlineLevel="0" collapsed="false">
      <c r="A4393" s="0" t="n">
        <v>55</v>
      </c>
      <c r="B4393" s="0" t="s">
        <v>60</v>
      </c>
      <c r="C4393" s="0" t="n">
        <v>2012</v>
      </c>
      <c r="D4393" s="0" t="n">
        <v>6</v>
      </c>
      <c r="E4393" s="38" t="n">
        <v>811994.81</v>
      </c>
    </row>
    <row r="4394" customFormat="false" ht="15" hidden="false" customHeight="false" outlineLevel="0" collapsed="false">
      <c r="A4394" s="0" t="n">
        <v>55</v>
      </c>
      <c r="B4394" s="0" t="s">
        <v>60</v>
      </c>
      <c r="C4394" s="0" t="n">
        <v>2012</v>
      </c>
      <c r="D4394" s="0" t="n">
        <v>7</v>
      </c>
      <c r="E4394" s="38" t="n">
        <v>752761.9</v>
      </c>
    </row>
    <row r="4395" customFormat="false" ht="15" hidden="false" customHeight="false" outlineLevel="0" collapsed="false">
      <c r="A4395" s="0" t="n">
        <v>55</v>
      </c>
      <c r="B4395" s="0" t="s">
        <v>60</v>
      </c>
      <c r="C4395" s="0" t="n">
        <v>2012</v>
      </c>
      <c r="D4395" s="0" t="n">
        <v>8</v>
      </c>
      <c r="E4395" s="38" t="n">
        <v>819636.79</v>
      </c>
    </row>
    <row r="4396" customFormat="false" ht="15" hidden="false" customHeight="false" outlineLevel="0" collapsed="false">
      <c r="A4396" s="0" t="n">
        <v>55</v>
      </c>
      <c r="B4396" s="0" t="s">
        <v>60</v>
      </c>
      <c r="C4396" s="0" t="n">
        <v>2012</v>
      </c>
      <c r="D4396" s="0" t="n">
        <v>9</v>
      </c>
      <c r="E4396" s="38" t="n">
        <v>984173.73</v>
      </c>
    </row>
    <row r="4397" customFormat="false" ht="15" hidden="false" customHeight="false" outlineLevel="0" collapsed="false">
      <c r="A4397" s="0" t="n">
        <v>55</v>
      </c>
      <c r="B4397" s="0" t="s">
        <v>60</v>
      </c>
      <c r="C4397" s="0" t="n">
        <v>2012</v>
      </c>
      <c r="D4397" s="0" t="n">
        <v>10</v>
      </c>
      <c r="E4397" s="38" t="n">
        <v>2267391.06</v>
      </c>
    </row>
    <row r="4398" customFormat="false" ht="15" hidden="false" customHeight="false" outlineLevel="0" collapsed="false">
      <c r="A4398" s="0" t="n">
        <v>55</v>
      </c>
      <c r="B4398" s="0" t="s">
        <v>60</v>
      </c>
      <c r="C4398" s="0" t="n">
        <v>2012</v>
      </c>
      <c r="D4398" s="0" t="n">
        <v>11</v>
      </c>
      <c r="E4398" s="38" t="n">
        <v>2684243.19</v>
      </c>
    </row>
    <row r="4399" customFormat="false" ht="15" hidden="false" customHeight="false" outlineLevel="0" collapsed="false">
      <c r="A4399" s="0" t="n">
        <v>55</v>
      </c>
      <c r="B4399" s="0" t="s">
        <v>60</v>
      </c>
      <c r="C4399" s="0" t="n">
        <v>2012</v>
      </c>
      <c r="D4399" s="0" t="n">
        <v>12</v>
      </c>
      <c r="E4399" s="38" t="n">
        <v>848054.78</v>
      </c>
    </row>
    <row r="4400" customFormat="false" ht="15" hidden="false" customHeight="false" outlineLevel="0" collapsed="false">
      <c r="A4400" s="0" t="n">
        <v>55</v>
      </c>
      <c r="B4400" s="0" t="s">
        <v>60</v>
      </c>
      <c r="C4400" s="0" t="n">
        <v>2013</v>
      </c>
      <c r="D4400" s="0" t="n">
        <v>1</v>
      </c>
      <c r="E4400" s="38" t="n">
        <v>1077904.81</v>
      </c>
    </row>
    <row r="4401" customFormat="false" ht="15" hidden="false" customHeight="false" outlineLevel="0" collapsed="false">
      <c r="A4401" s="0" t="n">
        <v>55</v>
      </c>
      <c r="B4401" s="0" t="s">
        <v>60</v>
      </c>
      <c r="C4401" s="0" t="n">
        <v>2013</v>
      </c>
      <c r="D4401" s="0" t="n">
        <v>2</v>
      </c>
      <c r="E4401" s="38" t="n">
        <v>916536.23</v>
      </c>
    </row>
    <row r="4402" customFormat="false" ht="15" hidden="false" customHeight="false" outlineLevel="0" collapsed="false">
      <c r="A4402" s="0" t="n">
        <v>55</v>
      </c>
      <c r="B4402" s="0" t="s">
        <v>60</v>
      </c>
      <c r="C4402" s="0" t="n">
        <v>2013</v>
      </c>
      <c r="D4402" s="0" t="n">
        <v>3</v>
      </c>
      <c r="E4402" s="38" t="n">
        <v>764845.23</v>
      </c>
    </row>
    <row r="4403" customFormat="false" ht="15" hidden="false" customHeight="false" outlineLevel="0" collapsed="false">
      <c r="A4403" s="0" t="n">
        <v>55</v>
      </c>
      <c r="B4403" s="0" t="s">
        <v>60</v>
      </c>
      <c r="C4403" s="0" t="n">
        <v>2013</v>
      </c>
      <c r="D4403" s="0" t="n">
        <v>4</v>
      </c>
      <c r="E4403" s="38" t="n">
        <v>709093.84</v>
      </c>
    </row>
    <row r="4404" customFormat="false" ht="15" hidden="false" customHeight="false" outlineLevel="0" collapsed="false">
      <c r="A4404" s="0" t="n">
        <v>55</v>
      </c>
      <c r="B4404" s="0" t="s">
        <v>60</v>
      </c>
      <c r="C4404" s="0" t="n">
        <v>2013</v>
      </c>
      <c r="D4404" s="0" t="n">
        <v>5</v>
      </c>
      <c r="E4404" s="38" t="n">
        <v>720443.32</v>
      </c>
    </row>
    <row r="4405" customFormat="false" ht="15" hidden="false" customHeight="false" outlineLevel="0" collapsed="false">
      <c r="A4405" s="0" t="n">
        <v>55</v>
      </c>
      <c r="B4405" s="0" t="s">
        <v>60</v>
      </c>
      <c r="C4405" s="0" t="n">
        <v>2013</v>
      </c>
      <c r="D4405" s="0" t="n">
        <v>6</v>
      </c>
      <c r="E4405" s="38" t="n">
        <v>698121.86</v>
      </c>
    </row>
    <row r="4406" customFormat="false" ht="15" hidden="false" customHeight="false" outlineLevel="0" collapsed="false">
      <c r="A4406" s="0" t="n">
        <v>55</v>
      </c>
      <c r="B4406" s="0" t="s">
        <v>60</v>
      </c>
      <c r="C4406" s="0" t="n">
        <v>2013</v>
      </c>
      <c r="D4406" s="0" t="n">
        <v>7</v>
      </c>
      <c r="E4406" s="38" t="n">
        <v>694647.1</v>
      </c>
    </row>
    <row r="4407" customFormat="false" ht="15" hidden="false" customHeight="false" outlineLevel="0" collapsed="false">
      <c r="A4407" s="0" t="n">
        <v>55</v>
      </c>
      <c r="B4407" s="0" t="s">
        <v>60</v>
      </c>
      <c r="C4407" s="0" t="n">
        <v>2013</v>
      </c>
      <c r="D4407" s="0" t="n">
        <v>8</v>
      </c>
      <c r="E4407" s="38" t="n">
        <v>696716.02</v>
      </c>
    </row>
    <row r="4408" customFormat="false" ht="15" hidden="false" customHeight="false" outlineLevel="0" collapsed="false">
      <c r="A4408" s="0" t="n">
        <v>55</v>
      </c>
      <c r="B4408" s="0" t="s">
        <v>62</v>
      </c>
      <c r="C4408" s="0" t="n">
        <v>2011</v>
      </c>
      <c r="D4408" s="0" t="n">
        <v>1</v>
      </c>
      <c r="E4408" s="38" t="n">
        <v>896820.25</v>
      </c>
    </row>
    <row r="4409" customFormat="false" ht="15" hidden="false" customHeight="false" outlineLevel="0" collapsed="false">
      <c r="A4409" s="0" t="n">
        <v>55</v>
      </c>
      <c r="B4409" s="0" t="s">
        <v>62</v>
      </c>
      <c r="C4409" s="0" t="n">
        <v>2011</v>
      </c>
      <c r="D4409" s="0" t="n">
        <v>2</v>
      </c>
      <c r="E4409" s="38" t="n">
        <v>854910.97</v>
      </c>
    </row>
    <row r="4410" customFormat="false" ht="15" hidden="false" customHeight="false" outlineLevel="0" collapsed="false">
      <c r="A4410" s="0" t="n">
        <v>55</v>
      </c>
      <c r="B4410" s="0" t="s">
        <v>62</v>
      </c>
      <c r="C4410" s="0" t="n">
        <v>2011</v>
      </c>
      <c r="D4410" s="0" t="n">
        <v>3</v>
      </c>
      <c r="E4410" s="38" t="n">
        <v>645001.73</v>
      </c>
    </row>
    <row r="4411" customFormat="false" ht="15" hidden="false" customHeight="false" outlineLevel="0" collapsed="false">
      <c r="A4411" s="0" t="n">
        <v>55</v>
      </c>
      <c r="B4411" s="0" t="s">
        <v>62</v>
      </c>
      <c r="C4411" s="0" t="n">
        <v>2011</v>
      </c>
      <c r="D4411" s="0" t="n">
        <v>4</v>
      </c>
      <c r="E4411" s="38" t="n">
        <v>607787.36</v>
      </c>
    </row>
    <row r="4412" customFormat="false" ht="15" hidden="false" customHeight="false" outlineLevel="0" collapsed="false">
      <c r="A4412" s="0" t="n">
        <v>55</v>
      </c>
      <c r="B4412" s="0" t="s">
        <v>62</v>
      </c>
      <c r="C4412" s="0" t="n">
        <v>2011</v>
      </c>
      <c r="D4412" s="0" t="n">
        <v>5</v>
      </c>
      <c r="E4412" s="38" t="n">
        <v>623175.77</v>
      </c>
    </row>
    <row r="4413" customFormat="false" ht="15" hidden="false" customHeight="false" outlineLevel="0" collapsed="false">
      <c r="A4413" s="0" t="n">
        <v>55</v>
      </c>
      <c r="B4413" s="0" t="s">
        <v>62</v>
      </c>
      <c r="C4413" s="0" t="n">
        <v>2011</v>
      </c>
      <c r="D4413" s="0" t="n">
        <v>6</v>
      </c>
      <c r="E4413" s="38" t="n">
        <v>585970.24</v>
      </c>
    </row>
    <row r="4414" customFormat="false" ht="15" hidden="false" customHeight="false" outlineLevel="0" collapsed="false">
      <c r="A4414" s="0" t="n">
        <v>55</v>
      </c>
      <c r="B4414" s="0" t="s">
        <v>62</v>
      </c>
      <c r="C4414" s="0" t="n">
        <v>2011</v>
      </c>
      <c r="D4414" s="0" t="n">
        <v>7</v>
      </c>
      <c r="E4414" s="38" t="n">
        <v>546770.5</v>
      </c>
    </row>
    <row r="4415" customFormat="false" ht="15" hidden="false" customHeight="false" outlineLevel="0" collapsed="false">
      <c r="A4415" s="0" t="n">
        <v>55</v>
      </c>
      <c r="B4415" s="0" t="s">
        <v>62</v>
      </c>
      <c r="C4415" s="0" t="n">
        <v>2011</v>
      </c>
      <c r="D4415" s="0" t="n">
        <v>8</v>
      </c>
      <c r="E4415" s="38" t="n">
        <v>531986.33</v>
      </c>
    </row>
    <row r="4416" customFormat="false" ht="15" hidden="false" customHeight="false" outlineLevel="0" collapsed="false">
      <c r="A4416" s="0" t="n">
        <v>55</v>
      </c>
      <c r="B4416" s="0" t="s">
        <v>62</v>
      </c>
      <c r="C4416" s="0" t="n">
        <v>2011</v>
      </c>
      <c r="D4416" s="0" t="n">
        <v>9</v>
      </c>
      <c r="E4416" s="38" t="n">
        <v>585942.93</v>
      </c>
    </row>
    <row r="4417" customFormat="false" ht="15" hidden="false" customHeight="false" outlineLevel="0" collapsed="false">
      <c r="A4417" s="0" t="n">
        <v>55</v>
      </c>
      <c r="B4417" s="0" t="s">
        <v>62</v>
      </c>
      <c r="C4417" s="0" t="n">
        <v>2011</v>
      </c>
      <c r="D4417" s="0" t="n">
        <v>10</v>
      </c>
      <c r="E4417" s="38" t="n">
        <v>1327478.7</v>
      </c>
    </row>
    <row r="4418" customFormat="false" ht="15" hidden="false" customHeight="false" outlineLevel="0" collapsed="false">
      <c r="A4418" s="0" t="n">
        <v>55</v>
      </c>
      <c r="B4418" s="0" t="s">
        <v>62</v>
      </c>
      <c r="C4418" s="0" t="n">
        <v>2011</v>
      </c>
      <c r="D4418" s="0" t="n">
        <v>11</v>
      </c>
      <c r="E4418" s="38" t="n">
        <v>1962115.51</v>
      </c>
    </row>
    <row r="4419" customFormat="false" ht="15" hidden="false" customHeight="false" outlineLevel="0" collapsed="false">
      <c r="A4419" s="0" t="n">
        <v>55</v>
      </c>
      <c r="B4419" s="0" t="s">
        <v>62</v>
      </c>
      <c r="C4419" s="0" t="n">
        <v>2011</v>
      </c>
      <c r="D4419" s="0" t="n">
        <v>12</v>
      </c>
      <c r="E4419" s="38" t="n">
        <v>584278.21</v>
      </c>
    </row>
    <row r="4420" customFormat="false" ht="15" hidden="false" customHeight="false" outlineLevel="0" collapsed="false">
      <c r="A4420" s="0" t="n">
        <v>55</v>
      </c>
      <c r="B4420" s="0" t="s">
        <v>62</v>
      </c>
      <c r="C4420" s="0" t="n">
        <v>2012</v>
      </c>
      <c r="D4420" s="0" t="n">
        <v>1</v>
      </c>
      <c r="E4420" s="38" t="n">
        <v>697163.83</v>
      </c>
    </row>
    <row r="4421" customFormat="false" ht="15" hidden="false" customHeight="false" outlineLevel="0" collapsed="false">
      <c r="A4421" s="0" t="n">
        <v>55</v>
      </c>
      <c r="B4421" s="0" t="s">
        <v>62</v>
      </c>
      <c r="C4421" s="0" t="n">
        <v>2012</v>
      </c>
      <c r="D4421" s="0" t="n">
        <v>2</v>
      </c>
      <c r="E4421" s="38" t="n">
        <v>695230.59</v>
      </c>
    </row>
    <row r="4422" customFormat="false" ht="15" hidden="false" customHeight="false" outlineLevel="0" collapsed="false">
      <c r="A4422" s="0" t="n">
        <v>55</v>
      </c>
      <c r="B4422" s="0" t="s">
        <v>62</v>
      </c>
      <c r="C4422" s="0" t="n">
        <v>2012</v>
      </c>
      <c r="D4422" s="0" t="n">
        <v>3</v>
      </c>
      <c r="E4422" s="38" t="n">
        <v>610915.08</v>
      </c>
    </row>
    <row r="4423" customFormat="false" ht="15" hidden="false" customHeight="false" outlineLevel="0" collapsed="false">
      <c r="A4423" s="0" t="n">
        <v>55</v>
      </c>
      <c r="B4423" s="0" t="s">
        <v>62</v>
      </c>
      <c r="C4423" s="0" t="n">
        <v>2012</v>
      </c>
      <c r="D4423" s="0" t="n">
        <v>4</v>
      </c>
      <c r="E4423" s="38" t="n">
        <v>504310.71</v>
      </c>
    </row>
    <row r="4424" customFormat="false" ht="15" hidden="false" customHeight="false" outlineLevel="0" collapsed="false">
      <c r="A4424" s="0" t="n">
        <v>55</v>
      </c>
      <c r="B4424" s="0" t="s">
        <v>62</v>
      </c>
      <c r="C4424" s="0" t="n">
        <v>2012</v>
      </c>
      <c r="D4424" s="0" t="n">
        <v>5</v>
      </c>
      <c r="E4424" s="38" t="n">
        <v>508273.43</v>
      </c>
    </row>
    <row r="4425" customFormat="false" ht="15" hidden="false" customHeight="false" outlineLevel="0" collapsed="false">
      <c r="A4425" s="0" t="n">
        <v>55</v>
      </c>
      <c r="B4425" s="0" t="s">
        <v>62</v>
      </c>
      <c r="C4425" s="0" t="n">
        <v>2012</v>
      </c>
      <c r="D4425" s="0" t="n">
        <v>6</v>
      </c>
      <c r="E4425" s="38" t="n">
        <v>479021.15</v>
      </c>
    </row>
    <row r="4426" customFormat="false" ht="15" hidden="false" customHeight="false" outlineLevel="0" collapsed="false">
      <c r="A4426" s="0" t="n">
        <v>55</v>
      </c>
      <c r="B4426" s="0" t="s">
        <v>62</v>
      </c>
      <c r="C4426" s="0" t="n">
        <v>2012</v>
      </c>
      <c r="D4426" s="0" t="n">
        <v>7</v>
      </c>
      <c r="E4426" s="38" t="n">
        <v>466259.25</v>
      </c>
    </row>
    <row r="4427" customFormat="false" ht="15" hidden="false" customHeight="false" outlineLevel="0" collapsed="false">
      <c r="A4427" s="0" t="n">
        <v>55</v>
      </c>
      <c r="B4427" s="0" t="s">
        <v>62</v>
      </c>
      <c r="C4427" s="0" t="n">
        <v>2012</v>
      </c>
      <c r="D4427" s="0" t="n">
        <v>8</v>
      </c>
      <c r="E4427" s="38" t="n">
        <v>509534.22</v>
      </c>
    </row>
    <row r="4428" customFormat="false" ht="15" hidden="false" customHeight="false" outlineLevel="0" collapsed="false">
      <c r="A4428" s="0" t="n">
        <v>55</v>
      </c>
      <c r="B4428" s="0" t="s">
        <v>62</v>
      </c>
      <c r="C4428" s="0" t="n">
        <v>2012</v>
      </c>
      <c r="D4428" s="0" t="n">
        <v>9</v>
      </c>
      <c r="E4428" s="38" t="n">
        <v>598506.77</v>
      </c>
    </row>
    <row r="4429" customFormat="false" ht="15" hidden="false" customHeight="false" outlineLevel="0" collapsed="false">
      <c r="A4429" s="0" t="n">
        <v>55</v>
      </c>
      <c r="B4429" s="0" t="s">
        <v>62</v>
      </c>
      <c r="C4429" s="0" t="n">
        <v>2012</v>
      </c>
      <c r="D4429" s="0" t="n">
        <v>10</v>
      </c>
      <c r="E4429" s="38" t="n">
        <v>1436340.2</v>
      </c>
    </row>
    <row r="4430" customFormat="false" ht="15" hidden="false" customHeight="false" outlineLevel="0" collapsed="false">
      <c r="A4430" s="0" t="n">
        <v>55</v>
      </c>
      <c r="B4430" s="0" t="s">
        <v>62</v>
      </c>
      <c r="C4430" s="0" t="n">
        <v>2012</v>
      </c>
      <c r="D4430" s="0" t="n">
        <v>11</v>
      </c>
      <c r="E4430" s="38" t="n">
        <v>1703901.22</v>
      </c>
    </row>
    <row r="4431" customFormat="false" ht="15" hidden="false" customHeight="false" outlineLevel="0" collapsed="false">
      <c r="A4431" s="0" t="n">
        <v>55</v>
      </c>
      <c r="B4431" s="0" t="s">
        <v>62</v>
      </c>
      <c r="C4431" s="0" t="n">
        <v>2012</v>
      </c>
      <c r="D4431" s="0" t="n">
        <v>12</v>
      </c>
      <c r="E4431" s="38" t="n">
        <v>556252.34</v>
      </c>
    </row>
    <row r="4432" customFormat="false" ht="15" hidden="false" customHeight="false" outlineLevel="0" collapsed="false">
      <c r="A4432" s="0" t="n">
        <v>55</v>
      </c>
      <c r="B4432" s="0" t="s">
        <v>62</v>
      </c>
      <c r="C4432" s="0" t="n">
        <v>2013</v>
      </c>
      <c r="D4432" s="0" t="n">
        <v>1</v>
      </c>
      <c r="E4432" s="38" t="n">
        <v>691637.37</v>
      </c>
    </row>
    <row r="4433" customFormat="false" ht="15" hidden="false" customHeight="false" outlineLevel="0" collapsed="false">
      <c r="A4433" s="0" t="n">
        <v>55</v>
      </c>
      <c r="B4433" s="0" t="s">
        <v>62</v>
      </c>
      <c r="C4433" s="0" t="n">
        <v>2013</v>
      </c>
      <c r="D4433" s="0" t="n">
        <v>2</v>
      </c>
      <c r="E4433" s="38" t="n">
        <v>589116.44</v>
      </c>
    </row>
    <row r="4434" customFormat="false" ht="15" hidden="false" customHeight="false" outlineLevel="0" collapsed="false">
      <c r="A4434" s="0" t="n">
        <v>55</v>
      </c>
      <c r="B4434" s="0" t="s">
        <v>62</v>
      </c>
      <c r="C4434" s="0" t="n">
        <v>2013</v>
      </c>
      <c r="D4434" s="0" t="n">
        <v>3</v>
      </c>
      <c r="E4434" s="38" t="n">
        <v>491894.36</v>
      </c>
    </row>
    <row r="4435" customFormat="false" ht="15" hidden="false" customHeight="false" outlineLevel="0" collapsed="false">
      <c r="A4435" s="0" t="n">
        <v>55</v>
      </c>
      <c r="B4435" s="0" t="s">
        <v>62</v>
      </c>
      <c r="C4435" s="0" t="n">
        <v>2013</v>
      </c>
      <c r="D4435" s="0" t="n">
        <v>4</v>
      </c>
      <c r="E4435" s="38" t="n">
        <v>443525.27</v>
      </c>
    </row>
    <row r="4436" customFormat="false" ht="15" hidden="false" customHeight="false" outlineLevel="0" collapsed="false">
      <c r="A4436" s="0" t="n">
        <v>55</v>
      </c>
      <c r="B4436" s="0" t="s">
        <v>62</v>
      </c>
      <c r="C4436" s="0" t="n">
        <v>2013</v>
      </c>
      <c r="D4436" s="0" t="n">
        <v>5</v>
      </c>
      <c r="E4436" s="38" t="n">
        <v>448548.33</v>
      </c>
    </row>
    <row r="4437" customFormat="false" ht="15" hidden="false" customHeight="false" outlineLevel="0" collapsed="false">
      <c r="A4437" s="0" t="n">
        <v>55</v>
      </c>
      <c r="B4437" s="0" t="s">
        <v>62</v>
      </c>
      <c r="C4437" s="0" t="n">
        <v>2013</v>
      </c>
      <c r="D4437" s="0" t="n">
        <v>6</v>
      </c>
      <c r="E4437" s="38" t="n">
        <v>446123.46</v>
      </c>
    </row>
    <row r="4438" customFormat="false" ht="15" hidden="false" customHeight="false" outlineLevel="0" collapsed="false">
      <c r="A4438" s="0" t="n">
        <v>55</v>
      </c>
      <c r="B4438" s="0" t="s">
        <v>62</v>
      </c>
      <c r="C4438" s="0" t="n">
        <v>2013</v>
      </c>
      <c r="D4438" s="0" t="n">
        <v>7</v>
      </c>
      <c r="E4438" s="38" t="n">
        <v>435199.91</v>
      </c>
    </row>
    <row r="4439" customFormat="false" ht="15" hidden="false" customHeight="false" outlineLevel="0" collapsed="false">
      <c r="A4439" s="0" t="n">
        <v>55</v>
      </c>
      <c r="B4439" s="0" t="s">
        <v>62</v>
      </c>
      <c r="C4439" s="0" t="n">
        <v>2013</v>
      </c>
      <c r="D4439" s="0" t="n">
        <v>8</v>
      </c>
      <c r="E4439" s="38" t="n">
        <v>438434.51</v>
      </c>
    </row>
    <row r="4440" customFormat="false" ht="15" hidden="false" customHeight="false" outlineLevel="0" collapsed="false">
      <c r="A4440" s="0" t="n">
        <v>55</v>
      </c>
      <c r="B4440" s="0" t="s">
        <v>64</v>
      </c>
      <c r="C4440" s="0" t="n">
        <v>2011</v>
      </c>
      <c r="D4440" s="0" t="n">
        <v>1</v>
      </c>
      <c r="E4440" s="38" t="n">
        <v>52.14</v>
      </c>
    </row>
    <row r="4441" customFormat="false" ht="15" hidden="false" customHeight="false" outlineLevel="0" collapsed="false">
      <c r="A4441" s="0" t="n">
        <v>55</v>
      </c>
      <c r="B4441" s="0" t="s">
        <v>64</v>
      </c>
      <c r="C4441" s="0" t="n">
        <v>2011</v>
      </c>
      <c r="D4441" s="0" t="n">
        <v>2</v>
      </c>
      <c r="E4441" s="38" t="n">
        <v>32.78</v>
      </c>
    </row>
    <row r="4442" customFormat="false" ht="15" hidden="false" customHeight="false" outlineLevel="0" collapsed="false">
      <c r="A4442" s="0" t="n">
        <v>55</v>
      </c>
      <c r="B4442" s="0" t="s">
        <v>64</v>
      </c>
      <c r="C4442" s="0" t="n">
        <v>2011</v>
      </c>
      <c r="D4442" s="0" t="n">
        <v>3</v>
      </c>
      <c r="E4442" s="38" t="n">
        <v>38.44</v>
      </c>
    </row>
    <row r="4443" customFormat="false" ht="15" hidden="false" customHeight="false" outlineLevel="0" collapsed="false">
      <c r="A4443" s="0" t="n">
        <v>55</v>
      </c>
      <c r="B4443" s="0" t="s">
        <v>64</v>
      </c>
      <c r="C4443" s="0" t="n">
        <v>2011</v>
      </c>
      <c r="D4443" s="0" t="n">
        <v>4</v>
      </c>
      <c r="E4443" s="38" t="n">
        <v>32.98</v>
      </c>
    </row>
    <row r="4444" customFormat="false" ht="15" hidden="false" customHeight="false" outlineLevel="0" collapsed="false">
      <c r="A4444" s="0" t="n">
        <v>55</v>
      </c>
      <c r="B4444" s="0" t="s">
        <v>64</v>
      </c>
      <c r="C4444" s="0" t="n">
        <v>2011</v>
      </c>
      <c r="D4444" s="0" t="n">
        <v>5</v>
      </c>
      <c r="E4444" s="38" t="n">
        <v>17.86</v>
      </c>
    </row>
    <row r="4445" customFormat="false" ht="15" hidden="false" customHeight="false" outlineLevel="0" collapsed="false">
      <c r="A4445" s="0" t="n">
        <v>55</v>
      </c>
      <c r="B4445" s="0" t="s">
        <v>64</v>
      </c>
      <c r="C4445" s="0" t="n">
        <v>2011</v>
      </c>
      <c r="D4445" s="0" t="n">
        <v>6</v>
      </c>
      <c r="E4445" s="38" t="n">
        <v>14.02</v>
      </c>
    </row>
    <row r="4446" customFormat="false" ht="15" hidden="false" customHeight="false" outlineLevel="0" collapsed="false">
      <c r="A4446" s="0" t="n">
        <v>55</v>
      </c>
      <c r="B4446" s="0" t="s">
        <v>64</v>
      </c>
      <c r="C4446" s="0" t="n">
        <v>2011</v>
      </c>
      <c r="D4446" s="0" t="n">
        <v>7</v>
      </c>
      <c r="E4446" s="38" t="n">
        <v>4.29</v>
      </c>
    </row>
    <row r="4447" customFormat="false" ht="15" hidden="false" customHeight="false" outlineLevel="0" collapsed="false">
      <c r="A4447" s="0" t="n">
        <v>55</v>
      </c>
      <c r="B4447" s="0" t="s">
        <v>64</v>
      </c>
      <c r="C4447" s="0" t="n">
        <v>2011</v>
      </c>
      <c r="D4447" s="0" t="n">
        <v>8</v>
      </c>
      <c r="E4447" s="38" t="n">
        <v>10.71</v>
      </c>
    </row>
    <row r="4448" customFormat="false" ht="15" hidden="false" customHeight="false" outlineLevel="0" collapsed="false">
      <c r="A4448" s="0" t="n">
        <v>55</v>
      </c>
      <c r="B4448" s="0" t="s">
        <v>64</v>
      </c>
      <c r="C4448" s="0" t="n">
        <v>2011</v>
      </c>
      <c r="D4448" s="0" t="n">
        <v>9</v>
      </c>
      <c r="E4448" s="38" t="n">
        <v>30.71</v>
      </c>
    </row>
    <row r="4449" customFormat="false" ht="15" hidden="false" customHeight="false" outlineLevel="0" collapsed="false">
      <c r="A4449" s="0" t="n">
        <v>55</v>
      </c>
      <c r="B4449" s="0" t="s">
        <v>64</v>
      </c>
      <c r="C4449" s="0" t="n">
        <v>2011</v>
      </c>
      <c r="D4449" s="0" t="n">
        <v>10</v>
      </c>
      <c r="E4449" s="38" t="n">
        <v>-19.97</v>
      </c>
    </row>
    <row r="4450" customFormat="false" ht="15" hidden="false" customHeight="false" outlineLevel="0" collapsed="false">
      <c r="A4450" s="0" t="n">
        <v>55</v>
      </c>
      <c r="B4450" s="0" t="s">
        <v>64</v>
      </c>
      <c r="C4450" s="0" t="n">
        <v>2011</v>
      </c>
      <c r="D4450" s="0" t="n">
        <v>11</v>
      </c>
      <c r="E4450" s="38" t="n">
        <v>-85.66</v>
      </c>
    </row>
    <row r="4451" customFormat="false" ht="15" hidden="false" customHeight="false" outlineLevel="0" collapsed="false">
      <c r="A4451" s="0" t="n">
        <v>55</v>
      </c>
      <c r="B4451" s="0" t="s">
        <v>64</v>
      </c>
      <c r="C4451" s="0" t="n">
        <v>2011</v>
      </c>
      <c r="D4451" s="0" t="n">
        <v>12</v>
      </c>
      <c r="E4451" s="38" t="n">
        <v>11.88</v>
      </c>
    </row>
    <row r="4452" customFormat="false" ht="15" hidden="false" customHeight="false" outlineLevel="0" collapsed="false">
      <c r="A4452" s="0" t="n">
        <v>55</v>
      </c>
      <c r="B4452" s="0" t="s">
        <v>64</v>
      </c>
      <c r="C4452" s="0" t="n">
        <v>2012</v>
      </c>
      <c r="D4452" s="0" t="n">
        <v>1</v>
      </c>
      <c r="E4452" s="38" t="n">
        <v>-5.09</v>
      </c>
    </row>
    <row r="4453" customFormat="false" ht="15" hidden="false" customHeight="false" outlineLevel="0" collapsed="false">
      <c r="A4453" s="0" t="n">
        <v>55</v>
      </c>
      <c r="B4453" s="0" t="s">
        <v>64</v>
      </c>
      <c r="C4453" s="0" t="n">
        <v>2012</v>
      </c>
      <c r="D4453" s="0" t="n">
        <v>2</v>
      </c>
      <c r="E4453" s="38" t="n">
        <v>-6.79</v>
      </c>
    </row>
    <row r="4454" customFormat="false" ht="15" hidden="false" customHeight="false" outlineLevel="0" collapsed="false">
      <c r="A4454" s="0" t="n">
        <v>55</v>
      </c>
      <c r="B4454" s="0" t="s">
        <v>64</v>
      </c>
      <c r="C4454" s="0" t="n">
        <v>2012</v>
      </c>
      <c r="D4454" s="0" t="n">
        <v>5</v>
      </c>
      <c r="E4454" s="38" t="n">
        <v>17.82</v>
      </c>
    </row>
    <row r="4455" customFormat="false" ht="15" hidden="false" customHeight="false" outlineLevel="0" collapsed="false">
      <c r="A4455" s="0" t="n">
        <v>55</v>
      </c>
      <c r="B4455" s="0" t="s">
        <v>64</v>
      </c>
      <c r="C4455" s="0" t="n">
        <v>2012</v>
      </c>
      <c r="D4455" s="0" t="n">
        <v>6</v>
      </c>
      <c r="E4455" s="38" t="n">
        <v>12.81</v>
      </c>
    </row>
    <row r="4456" customFormat="false" ht="15" hidden="false" customHeight="false" outlineLevel="0" collapsed="false">
      <c r="A4456" s="0" t="n">
        <v>55</v>
      </c>
      <c r="B4456" s="0" t="s">
        <v>64</v>
      </c>
      <c r="C4456" s="0" t="n">
        <v>2012</v>
      </c>
      <c r="D4456" s="0" t="n">
        <v>7</v>
      </c>
      <c r="E4456" s="38" t="n">
        <v>22.03</v>
      </c>
    </row>
    <row r="4457" customFormat="false" ht="15" hidden="false" customHeight="false" outlineLevel="0" collapsed="false">
      <c r="A4457" s="0" t="n">
        <v>55</v>
      </c>
      <c r="B4457" s="0" t="s">
        <v>64</v>
      </c>
      <c r="C4457" s="0" t="n">
        <v>2012</v>
      </c>
      <c r="D4457" s="0" t="n">
        <v>8</v>
      </c>
      <c r="E4457" s="38" t="n">
        <v>5</v>
      </c>
    </row>
    <row r="4458" customFormat="false" ht="15" hidden="false" customHeight="false" outlineLevel="0" collapsed="false">
      <c r="A4458" s="0" t="n">
        <v>55</v>
      </c>
      <c r="B4458" s="0" t="s">
        <v>64</v>
      </c>
      <c r="C4458" s="0" t="n">
        <v>2012</v>
      </c>
      <c r="D4458" s="0" t="n">
        <v>9</v>
      </c>
      <c r="E4458" s="38" t="n">
        <v>11.88</v>
      </c>
    </row>
    <row r="4459" customFormat="false" ht="15" hidden="false" customHeight="false" outlineLevel="0" collapsed="false">
      <c r="A4459" s="0" t="n">
        <v>55</v>
      </c>
      <c r="B4459" s="0" t="s">
        <v>64</v>
      </c>
      <c r="C4459" s="0" t="n">
        <v>2012</v>
      </c>
      <c r="D4459" s="0" t="n">
        <v>12</v>
      </c>
      <c r="E4459" s="38" t="n">
        <v>-9</v>
      </c>
    </row>
    <row r="4460" customFormat="false" ht="15" hidden="false" customHeight="false" outlineLevel="0" collapsed="false">
      <c r="A4460" s="0" t="n">
        <v>55</v>
      </c>
      <c r="B4460" s="0" t="s">
        <v>64</v>
      </c>
      <c r="C4460" s="0" t="n">
        <v>2013</v>
      </c>
      <c r="D4460" s="0" t="n">
        <v>1</v>
      </c>
      <c r="E4460" s="38" t="n">
        <v>54.31</v>
      </c>
    </row>
    <row r="4461" customFormat="false" ht="15" hidden="false" customHeight="false" outlineLevel="0" collapsed="false">
      <c r="A4461" s="0" t="n">
        <v>55</v>
      </c>
      <c r="B4461" s="0" t="s">
        <v>64</v>
      </c>
      <c r="C4461" s="0" t="n">
        <v>2013</v>
      </c>
      <c r="D4461" s="0" t="n">
        <v>2</v>
      </c>
      <c r="E4461" s="38" t="n">
        <v>76.37</v>
      </c>
    </row>
    <row r="4462" customFormat="false" ht="15" hidden="false" customHeight="false" outlineLevel="0" collapsed="false">
      <c r="A4462" s="0" t="n">
        <v>55</v>
      </c>
      <c r="B4462" s="0" t="s">
        <v>64</v>
      </c>
      <c r="C4462" s="0" t="n">
        <v>2013</v>
      </c>
      <c r="D4462" s="0" t="n">
        <v>3</v>
      </c>
      <c r="E4462" s="38" t="n">
        <v>11.88</v>
      </c>
    </row>
    <row r="4463" customFormat="false" ht="15" hidden="false" customHeight="false" outlineLevel="0" collapsed="false">
      <c r="A4463" s="0" t="n">
        <v>55</v>
      </c>
      <c r="B4463" s="0" t="s">
        <v>64</v>
      </c>
      <c r="C4463" s="0" t="n">
        <v>2013</v>
      </c>
      <c r="D4463" s="0" t="n">
        <v>6</v>
      </c>
      <c r="E4463" s="38" t="n">
        <v>-10.8</v>
      </c>
    </row>
    <row r="4464" customFormat="false" ht="15" hidden="false" customHeight="false" outlineLevel="0" collapsed="false">
      <c r="A4464" s="0" t="n">
        <v>55</v>
      </c>
      <c r="B4464" s="0" t="s">
        <v>64</v>
      </c>
      <c r="C4464" s="0" t="n">
        <v>2013</v>
      </c>
      <c r="D4464" s="0" t="n">
        <v>7</v>
      </c>
      <c r="E4464" s="38" t="n">
        <v>0.8</v>
      </c>
    </row>
    <row r="4465" customFormat="false" ht="15" hidden="false" customHeight="false" outlineLevel="0" collapsed="false">
      <c r="A4465" s="0" t="n">
        <v>55</v>
      </c>
      <c r="B4465" s="0" t="s">
        <v>64</v>
      </c>
      <c r="C4465" s="0" t="n">
        <v>2013</v>
      </c>
      <c r="D4465" s="0" t="n">
        <v>8</v>
      </c>
      <c r="E4465" s="38" t="n">
        <v>26.84</v>
      </c>
    </row>
    <row r="4466" customFormat="false" ht="15" hidden="false" customHeight="false" outlineLevel="0" collapsed="false">
      <c r="A4466" s="0" t="n">
        <v>56</v>
      </c>
      <c r="B4466" s="0" t="s">
        <v>60</v>
      </c>
      <c r="C4466" s="0" t="n">
        <v>2011</v>
      </c>
      <c r="D4466" s="0" t="n">
        <v>1</v>
      </c>
      <c r="E4466" s="38" t="n">
        <v>171722.25</v>
      </c>
    </row>
    <row r="4467" customFormat="false" ht="15" hidden="false" customHeight="false" outlineLevel="0" collapsed="false">
      <c r="A4467" s="0" t="n">
        <v>56</v>
      </c>
      <c r="B4467" s="0" t="s">
        <v>60</v>
      </c>
      <c r="C4467" s="0" t="n">
        <v>2011</v>
      </c>
      <c r="D4467" s="0" t="n">
        <v>2</v>
      </c>
      <c r="E4467" s="38" t="n">
        <v>545590.87</v>
      </c>
    </row>
    <row r="4468" customFormat="false" ht="15" hidden="false" customHeight="false" outlineLevel="0" collapsed="false">
      <c r="A4468" s="0" t="n">
        <v>56</v>
      </c>
      <c r="B4468" s="0" t="s">
        <v>60</v>
      </c>
      <c r="C4468" s="0" t="n">
        <v>2011</v>
      </c>
      <c r="D4468" s="0" t="n">
        <v>3</v>
      </c>
      <c r="E4468" s="38" t="n">
        <v>992607.75</v>
      </c>
    </row>
    <row r="4469" customFormat="false" ht="15" hidden="false" customHeight="false" outlineLevel="0" collapsed="false">
      <c r="A4469" s="0" t="n">
        <v>56</v>
      </c>
      <c r="B4469" s="0" t="s">
        <v>60</v>
      </c>
      <c r="C4469" s="0" t="n">
        <v>2011</v>
      </c>
      <c r="D4469" s="0" t="n">
        <v>4</v>
      </c>
      <c r="E4469" s="38" t="n">
        <v>1405401.31</v>
      </c>
    </row>
    <row r="4470" customFormat="false" ht="15" hidden="false" customHeight="false" outlineLevel="0" collapsed="false">
      <c r="A4470" s="0" t="n">
        <v>56</v>
      </c>
      <c r="B4470" s="0" t="s">
        <v>60</v>
      </c>
      <c r="C4470" s="0" t="n">
        <v>2011</v>
      </c>
      <c r="D4470" s="0" t="n">
        <v>5</v>
      </c>
      <c r="E4470" s="38" t="n">
        <v>612659.78</v>
      </c>
    </row>
    <row r="4471" customFormat="false" ht="15" hidden="false" customHeight="false" outlineLevel="0" collapsed="false">
      <c r="A4471" s="0" t="n">
        <v>56</v>
      </c>
      <c r="B4471" s="0" t="s">
        <v>60</v>
      </c>
      <c r="C4471" s="0" t="n">
        <v>2011</v>
      </c>
      <c r="D4471" s="0" t="n">
        <v>6</v>
      </c>
      <c r="E4471" s="38" t="n">
        <v>236099.23</v>
      </c>
    </row>
    <row r="4472" customFormat="false" ht="15" hidden="false" customHeight="false" outlineLevel="0" collapsed="false">
      <c r="A4472" s="0" t="n">
        <v>56</v>
      </c>
      <c r="B4472" s="0" t="s">
        <v>60</v>
      </c>
      <c r="C4472" s="0" t="n">
        <v>2011</v>
      </c>
      <c r="D4472" s="0" t="n">
        <v>7</v>
      </c>
      <c r="E4472" s="38" t="n">
        <v>148975.77</v>
      </c>
    </row>
    <row r="4473" customFormat="false" ht="15" hidden="false" customHeight="false" outlineLevel="0" collapsed="false">
      <c r="A4473" s="0" t="n">
        <v>56</v>
      </c>
      <c r="B4473" s="0" t="s">
        <v>60</v>
      </c>
      <c r="C4473" s="0" t="n">
        <v>2011</v>
      </c>
      <c r="D4473" s="0" t="n">
        <v>8</v>
      </c>
      <c r="E4473" s="38" t="n">
        <v>185708.33</v>
      </c>
    </row>
    <row r="4474" customFormat="false" ht="15" hidden="false" customHeight="false" outlineLevel="0" collapsed="false">
      <c r="A4474" s="0" t="n">
        <v>56</v>
      </c>
      <c r="B4474" s="0" t="s">
        <v>60</v>
      </c>
      <c r="C4474" s="0" t="n">
        <v>2011</v>
      </c>
      <c r="D4474" s="0" t="n">
        <v>9</v>
      </c>
      <c r="E4474" s="38" t="n">
        <v>126540.72</v>
      </c>
    </row>
    <row r="4475" customFormat="false" ht="15" hidden="false" customHeight="false" outlineLevel="0" collapsed="false">
      <c r="A4475" s="0" t="n">
        <v>56</v>
      </c>
      <c r="B4475" s="0" t="s">
        <v>60</v>
      </c>
      <c r="C4475" s="0" t="n">
        <v>2011</v>
      </c>
      <c r="D4475" s="0" t="n">
        <v>10</v>
      </c>
      <c r="E4475" s="38" t="n">
        <v>116160.75</v>
      </c>
    </row>
    <row r="4476" customFormat="false" ht="15" hidden="false" customHeight="false" outlineLevel="0" collapsed="false">
      <c r="A4476" s="0" t="n">
        <v>56</v>
      </c>
      <c r="B4476" s="0" t="s">
        <v>60</v>
      </c>
      <c r="C4476" s="0" t="n">
        <v>2011</v>
      </c>
      <c r="D4476" s="0" t="n">
        <v>11</v>
      </c>
      <c r="E4476" s="38" t="n">
        <v>183032.4</v>
      </c>
    </row>
    <row r="4477" customFormat="false" ht="15" hidden="false" customHeight="false" outlineLevel="0" collapsed="false">
      <c r="A4477" s="0" t="n">
        <v>56</v>
      </c>
      <c r="B4477" s="0" t="s">
        <v>60</v>
      </c>
      <c r="C4477" s="0" t="n">
        <v>2011</v>
      </c>
      <c r="D4477" s="0" t="n">
        <v>12</v>
      </c>
      <c r="E4477" s="38" t="n">
        <v>52341.31</v>
      </c>
    </row>
    <row r="4478" customFormat="false" ht="15" hidden="false" customHeight="false" outlineLevel="0" collapsed="false">
      <c r="A4478" s="0" t="n">
        <v>56</v>
      </c>
      <c r="B4478" s="0" t="s">
        <v>60</v>
      </c>
      <c r="C4478" s="0" t="n">
        <v>2012</v>
      </c>
      <c r="D4478" s="0" t="n">
        <v>1</v>
      </c>
      <c r="E4478" s="38" t="n">
        <v>217982.17</v>
      </c>
    </row>
    <row r="4479" customFormat="false" ht="15" hidden="false" customHeight="false" outlineLevel="0" collapsed="false">
      <c r="A4479" s="0" t="n">
        <v>56</v>
      </c>
      <c r="B4479" s="0" t="s">
        <v>60</v>
      </c>
      <c r="C4479" s="0" t="n">
        <v>2012</v>
      </c>
      <c r="D4479" s="0" t="n">
        <v>2</v>
      </c>
      <c r="E4479" s="38" t="n">
        <v>642484.88</v>
      </c>
    </row>
    <row r="4480" customFormat="false" ht="15" hidden="false" customHeight="false" outlineLevel="0" collapsed="false">
      <c r="A4480" s="0" t="n">
        <v>56</v>
      </c>
      <c r="B4480" s="0" t="s">
        <v>60</v>
      </c>
      <c r="C4480" s="0" t="n">
        <v>2012</v>
      </c>
      <c r="D4480" s="0" t="n">
        <v>3</v>
      </c>
      <c r="E4480" s="38" t="n">
        <v>911375.09</v>
      </c>
    </row>
    <row r="4481" customFormat="false" ht="15" hidden="false" customHeight="false" outlineLevel="0" collapsed="false">
      <c r="A4481" s="0" t="n">
        <v>56</v>
      </c>
      <c r="B4481" s="0" t="s">
        <v>60</v>
      </c>
      <c r="C4481" s="0" t="n">
        <v>2012</v>
      </c>
      <c r="D4481" s="0" t="n">
        <v>4</v>
      </c>
      <c r="E4481" s="38" t="n">
        <v>1317584.83</v>
      </c>
    </row>
    <row r="4482" customFormat="false" ht="15" hidden="false" customHeight="false" outlineLevel="0" collapsed="false">
      <c r="A4482" s="0" t="n">
        <v>56</v>
      </c>
      <c r="B4482" s="0" t="s">
        <v>60</v>
      </c>
      <c r="C4482" s="0" t="n">
        <v>2012</v>
      </c>
      <c r="D4482" s="0" t="n">
        <v>5</v>
      </c>
      <c r="E4482" s="38" t="n">
        <v>588242.9</v>
      </c>
    </row>
    <row r="4483" customFormat="false" ht="15" hidden="false" customHeight="false" outlineLevel="0" collapsed="false">
      <c r="A4483" s="0" t="n">
        <v>56</v>
      </c>
      <c r="B4483" s="0" t="s">
        <v>60</v>
      </c>
      <c r="C4483" s="0" t="n">
        <v>2012</v>
      </c>
      <c r="D4483" s="0" t="n">
        <v>6</v>
      </c>
      <c r="E4483" s="38" t="n">
        <v>202883.51</v>
      </c>
    </row>
    <row r="4484" customFormat="false" ht="15" hidden="false" customHeight="false" outlineLevel="0" collapsed="false">
      <c r="A4484" s="0" t="n">
        <v>56</v>
      </c>
      <c r="B4484" s="0" t="s">
        <v>60</v>
      </c>
      <c r="C4484" s="0" t="n">
        <v>2012</v>
      </c>
      <c r="D4484" s="0" t="n">
        <v>7</v>
      </c>
      <c r="E4484" s="38" t="n">
        <v>122897.35</v>
      </c>
    </row>
    <row r="4485" customFormat="false" ht="15" hidden="false" customHeight="false" outlineLevel="0" collapsed="false">
      <c r="A4485" s="0" t="n">
        <v>56</v>
      </c>
      <c r="B4485" s="0" t="s">
        <v>60</v>
      </c>
      <c r="C4485" s="0" t="n">
        <v>2012</v>
      </c>
      <c r="D4485" s="0" t="n">
        <v>8</v>
      </c>
      <c r="E4485" s="38" t="n">
        <v>174941.46</v>
      </c>
    </row>
    <row r="4486" customFormat="false" ht="15" hidden="false" customHeight="false" outlineLevel="0" collapsed="false">
      <c r="A4486" s="0" t="n">
        <v>56</v>
      </c>
      <c r="B4486" s="0" t="s">
        <v>60</v>
      </c>
      <c r="C4486" s="0" t="n">
        <v>2012</v>
      </c>
      <c r="D4486" s="0" t="n">
        <v>9</v>
      </c>
      <c r="E4486" s="38" t="n">
        <v>136313.57</v>
      </c>
    </row>
    <row r="4487" customFormat="false" ht="15" hidden="false" customHeight="false" outlineLevel="0" collapsed="false">
      <c r="A4487" s="0" t="n">
        <v>56</v>
      </c>
      <c r="B4487" s="0" t="s">
        <v>60</v>
      </c>
      <c r="C4487" s="0" t="n">
        <v>2012</v>
      </c>
      <c r="D4487" s="0" t="n">
        <v>10</v>
      </c>
      <c r="E4487" s="38" t="n">
        <v>122479.45</v>
      </c>
    </row>
    <row r="4488" customFormat="false" ht="15" hidden="false" customHeight="false" outlineLevel="0" collapsed="false">
      <c r="A4488" s="0" t="n">
        <v>56</v>
      </c>
      <c r="B4488" s="0" t="s">
        <v>60</v>
      </c>
      <c r="C4488" s="0" t="n">
        <v>2012</v>
      </c>
      <c r="D4488" s="0" t="n">
        <v>11</v>
      </c>
      <c r="E4488" s="38" t="n">
        <v>180891.52</v>
      </c>
    </row>
    <row r="4489" customFormat="false" ht="15" hidden="false" customHeight="false" outlineLevel="0" collapsed="false">
      <c r="A4489" s="0" t="n">
        <v>56</v>
      </c>
      <c r="B4489" s="0" t="s">
        <v>60</v>
      </c>
      <c r="C4489" s="0" t="n">
        <v>2012</v>
      </c>
      <c r="D4489" s="0" t="n">
        <v>12</v>
      </c>
      <c r="E4489" s="38" t="n">
        <v>73983.85</v>
      </c>
    </row>
    <row r="4490" customFormat="false" ht="15" hidden="false" customHeight="false" outlineLevel="0" collapsed="false">
      <c r="A4490" s="0" t="n">
        <v>56</v>
      </c>
      <c r="B4490" s="0" t="s">
        <v>60</v>
      </c>
      <c r="C4490" s="0" t="n">
        <v>2013</v>
      </c>
      <c r="D4490" s="0" t="n">
        <v>1</v>
      </c>
      <c r="E4490" s="38" t="n">
        <v>198474.89</v>
      </c>
    </row>
    <row r="4491" customFormat="false" ht="15" hidden="false" customHeight="false" outlineLevel="0" collapsed="false">
      <c r="A4491" s="0" t="n">
        <v>56</v>
      </c>
      <c r="B4491" s="0" t="s">
        <v>60</v>
      </c>
      <c r="C4491" s="0" t="n">
        <v>2013</v>
      </c>
      <c r="D4491" s="0" t="n">
        <v>2</v>
      </c>
      <c r="E4491" s="38" t="n">
        <v>646570.45</v>
      </c>
    </row>
    <row r="4492" customFormat="false" ht="15" hidden="false" customHeight="false" outlineLevel="0" collapsed="false">
      <c r="A4492" s="0" t="n">
        <v>56</v>
      </c>
      <c r="B4492" s="0" t="s">
        <v>60</v>
      </c>
      <c r="C4492" s="0" t="n">
        <v>2013</v>
      </c>
      <c r="D4492" s="0" t="n">
        <v>3</v>
      </c>
      <c r="E4492" s="38" t="n">
        <v>961246.83</v>
      </c>
    </row>
    <row r="4493" customFormat="false" ht="15" hidden="false" customHeight="false" outlineLevel="0" collapsed="false">
      <c r="A4493" s="0" t="n">
        <v>56</v>
      </c>
      <c r="B4493" s="0" t="s">
        <v>60</v>
      </c>
      <c r="C4493" s="0" t="n">
        <v>2013</v>
      </c>
      <c r="D4493" s="0" t="n">
        <v>4</v>
      </c>
      <c r="E4493" s="38" t="n">
        <v>1321347.26</v>
      </c>
    </row>
    <row r="4494" customFormat="false" ht="15" hidden="false" customHeight="false" outlineLevel="0" collapsed="false">
      <c r="A4494" s="0" t="n">
        <v>56</v>
      </c>
      <c r="B4494" s="0" t="s">
        <v>60</v>
      </c>
      <c r="C4494" s="0" t="n">
        <v>2013</v>
      </c>
      <c r="D4494" s="0" t="n">
        <v>5</v>
      </c>
      <c r="E4494" s="38" t="n">
        <v>504807.32</v>
      </c>
    </row>
    <row r="4495" customFormat="false" ht="15" hidden="false" customHeight="false" outlineLevel="0" collapsed="false">
      <c r="A4495" s="0" t="n">
        <v>56</v>
      </c>
      <c r="B4495" s="0" t="s">
        <v>60</v>
      </c>
      <c r="C4495" s="0" t="n">
        <v>2013</v>
      </c>
      <c r="D4495" s="0" t="n">
        <v>6</v>
      </c>
      <c r="E4495" s="38" t="n">
        <v>178479.43</v>
      </c>
    </row>
    <row r="4496" customFormat="false" ht="15" hidden="false" customHeight="false" outlineLevel="0" collapsed="false">
      <c r="A4496" s="0" t="n">
        <v>56</v>
      </c>
      <c r="B4496" s="0" t="s">
        <v>60</v>
      </c>
      <c r="C4496" s="0" t="n">
        <v>2013</v>
      </c>
      <c r="D4496" s="0" t="n">
        <v>7</v>
      </c>
      <c r="E4496" s="38" t="n">
        <v>131002.75</v>
      </c>
    </row>
    <row r="4497" customFormat="false" ht="15" hidden="false" customHeight="false" outlineLevel="0" collapsed="false">
      <c r="A4497" s="0" t="n">
        <v>56</v>
      </c>
      <c r="B4497" s="0" t="s">
        <v>60</v>
      </c>
      <c r="C4497" s="0" t="n">
        <v>2013</v>
      </c>
      <c r="D4497" s="0" t="n">
        <v>8</v>
      </c>
      <c r="E4497" s="38" t="n">
        <v>182792.91</v>
      </c>
    </row>
    <row r="4498" customFormat="false" ht="15" hidden="false" customHeight="false" outlineLevel="0" collapsed="false">
      <c r="A4498" s="0" t="n">
        <v>56</v>
      </c>
      <c r="B4498" s="0" t="s">
        <v>62</v>
      </c>
      <c r="C4498" s="0" t="n">
        <v>2011</v>
      </c>
      <c r="D4498" s="0" t="n">
        <v>1</v>
      </c>
      <c r="E4498" s="38" t="n">
        <v>76113.53</v>
      </c>
    </row>
    <row r="4499" customFormat="false" ht="15" hidden="false" customHeight="false" outlineLevel="0" collapsed="false">
      <c r="A4499" s="0" t="n">
        <v>56</v>
      </c>
      <c r="B4499" s="0" t="s">
        <v>62</v>
      </c>
      <c r="C4499" s="0" t="n">
        <v>2011</v>
      </c>
      <c r="D4499" s="0" t="n">
        <v>2</v>
      </c>
      <c r="E4499" s="38" t="n">
        <v>250408.87</v>
      </c>
    </row>
    <row r="4500" customFormat="false" ht="15" hidden="false" customHeight="false" outlineLevel="0" collapsed="false">
      <c r="A4500" s="0" t="n">
        <v>56</v>
      </c>
      <c r="B4500" s="0" t="s">
        <v>62</v>
      </c>
      <c r="C4500" s="0" t="n">
        <v>2011</v>
      </c>
      <c r="D4500" s="0" t="n">
        <v>3</v>
      </c>
      <c r="E4500" s="38" t="n">
        <v>483457.23</v>
      </c>
    </row>
    <row r="4501" customFormat="false" ht="15" hidden="false" customHeight="false" outlineLevel="0" collapsed="false">
      <c r="A4501" s="0" t="n">
        <v>56</v>
      </c>
      <c r="B4501" s="0" t="s">
        <v>62</v>
      </c>
      <c r="C4501" s="0" t="n">
        <v>2011</v>
      </c>
      <c r="D4501" s="0" t="n">
        <v>4</v>
      </c>
      <c r="E4501" s="38" t="n">
        <v>845651.41</v>
      </c>
    </row>
    <row r="4502" customFormat="false" ht="15" hidden="false" customHeight="false" outlineLevel="0" collapsed="false">
      <c r="A4502" s="0" t="n">
        <v>56</v>
      </c>
      <c r="B4502" s="0" t="s">
        <v>62</v>
      </c>
      <c r="C4502" s="0" t="n">
        <v>2011</v>
      </c>
      <c r="D4502" s="0" t="n">
        <v>5</v>
      </c>
      <c r="E4502" s="38" t="n">
        <v>569364.62</v>
      </c>
    </row>
    <row r="4503" customFormat="false" ht="15" hidden="false" customHeight="false" outlineLevel="0" collapsed="false">
      <c r="A4503" s="0" t="n">
        <v>56</v>
      </c>
      <c r="B4503" s="0" t="s">
        <v>62</v>
      </c>
      <c r="C4503" s="0" t="n">
        <v>2011</v>
      </c>
      <c r="D4503" s="0" t="n">
        <v>6</v>
      </c>
      <c r="E4503" s="38" t="n">
        <v>169200.29</v>
      </c>
    </row>
    <row r="4504" customFormat="false" ht="15" hidden="false" customHeight="false" outlineLevel="0" collapsed="false">
      <c r="A4504" s="0" t="n">
        <v>56</v>
      </c>
      <c r="B4504" s="0" t="s">
        <v>62</v>
      </c>
      <c r="C4504" s="0" t="n">
        <v>2011</v>
      </c>
      <c r="D4504" s="0" t="n">
        <v>7</v>
      </c>
      <c r="E4504" s="38" t="n">
        <v>94907.88</v>
      </c>
    </row>
    <row r="4505" customFormat="false" ht="15" hidden="false" customHeight="false" outlineLevel="0" collapsed="false">
      <c r="A4505" s="0" t="n">
        <v>56</v>
      </c>
      <c r="B4505" s="0" t="s">
        <v>62</v>
      </c>
      <c r="C4505" s="0" t="n">
        <v>2011</v>
      </c>
      <c r="D4505" s="0" t="n">
        <v>8</v>
      </c>
      <c r="E4505" s="38" t="n">
        <v>108381.05</v>
      </c>
    </row>
    <row r="4506" customFormat="false" ht="15" hidden="false" customHeight="false" outlineLevel="0" collapsed="false">
      <c r="A4506" s="0" t="n">
        <v>56</v>
      </c>
      <c r="B4506" s="0" t="s">
        <v>62</v>
      </c>
      <c r="C4506" s="0" t="n">
        <v>2011</v>
      </c>
      <c r="D4506" s="0" t="n">
        <v>9</v>
      </c>
      <c r="E4506" s="38" t="n">
        <v>58608.58</v>
      </c>
    </row>
    <row r="4507" customFormat="false" ht="15" hidden="false" customHeight="false" outlineLevel="0" collapsed="false">
      <c r="A4507" s="0" t="n">
        <v>56</v>
      </c>
      <c r="B4507" s="0" t="s">
        <v>62</v>
      </c>
      <c r="C4507" s="0" t="n">
        <v>2011</v>
      </c>
      <c r="D4507" s="0" t="n">
        <v>10</v>
      </c>
      <c r="E4507" s="38" t="n">
        <v>50297.15</v>
      </c>
    </row>
    <row r="4508" customFormat="false" ht="15" hidden="false" customHeight="false" outlineLevel="0" collapsed="false">
      <c r="A4508" s="0" t="n">
        <v>56</v>
      </c>
      <c r="B4508" s="0" t="s">
        <v>62</v>
      </c>
      <c r="C4508" s="0" t="n">
        <v>2011</v>
      </c>
      <c r="D4508" s="0" t="n">
        <v>11</v>
      </c>
      <c r="E4508" s="38" t="n">
        <v>83914.45</v>
      </c>
    </row>
    <row r="4509" customFormat="false" ht="15" hidden="false" customHeight="false" outlineLevel="0" collapsed="false">
      <c r="A4509" s="0" t="n">
        <v>56</v>
      </c>
      <c r="B4509" s="0" t="s">
        <v>62</v>
      </c>
      <c r="C4509" s="0" t="n">
        <v>2011</v>
      </c>
      <c r="D4509" s="0" t="n">
        <v>12</v>
      </c>
      <c r="E4509" s="38" t="n">
        <v>16575.58</v>
      </c>
    </row>
    <row r="4510" customFormat="false" ht="15" hidden="false" customHeight="false" outlineLevel="0" collapsed="false">
      <c r="A4510" s="0" t="n">
        <v>56</v>
      </c>
      <c r="B4510" s="0" t="s">
        <v>62</v>
      </c>
      <c r="C4510" s="0" t="n">
        <v>2012</v>
      </c>
      <c r="D4510" s="0" t="n">
        <v>1</v>
      </c>
      <c r="E4510" s="38" t="n">
        <v>80872.08</v>
      </c>
    </row>
    <row r="4511" customFormat="false" ht="15" hidden="false" customHeight="false" outlineLevel="0" collapsed="false">
      <c r="A4511" s="0" t="n">
        <v>56</v>
      </c>
      <c r="B4511" s="0" t="s">
        <v>62</v>
      </c>
      <c r="C4511" s="0" t="n">
        <v>2012</v>
      </c>
      <c r="D4511" s="0" t="n">
        <v>2</v>
      </c>
      <c r="E4511" s="38" t="n">
        <v>216511.22</v>
      </c>
    </row>
    <row r="4512" customFormat="false" ht="15" hidden="false" customHeight="false" outlineLevel="0" collapsed="false">
      <c r="A4512" s="0" t="n">
        <v>56</v>
      </c>
      <c r="B4512" s="0" t="s">
        <v>62</v>
      </c>
      <c r="C4512" s="0" t="n">
        <v>2012</v>
      </c>
      <c r="D4512" s="0" t="n">
        <v>3</v>
      </c>
      <c r="E4512" s="38" t="n">
        <v>471587.37</v>
      </c>
    </row>
    <row r="4513" customFormat="false" ht="15" hidden="false" customHeight="false" outlineLevel="0" collapsed="false">
      <c r="A4513" s="0" t="n">
        <v>56</v>
      </c>
      <c r="B4513" s="0" t="s">
        <v>62</v>
      </c>
      <c r="C4513" s="0" t="n">
        <v>2012</v>
      </c>
      <c r="D4513" s="0" t="n">
        <v>4</v>
      </c>
      <c r="E4513" s="38" t="n">
        <v>844374.87</v>
      </c>
    </row>
    <row r="4514" customFormat="false" ht="15" hidden="false" customHeight="false" outlineLevel="0" collapsed="false">
      <c r="A4514" s="0" t="n">
        <v>56</v>
      </c>
      <c r="B4514" s="0" t="s">
        <v>62</v>
      </c>
      <c r="C4514" s="0" t="n">
        <v>2012</v>
      </c>
      <c r="D4514" s="0" t="n">
        <v>5</v>
      </c>
      <c r="E4514" s="38" t="n">
        <v>663350.32</v>
      </c>
    </row>
    <row r="4515" customFormat="false" ht="15" hidden="false" customHeight="false" outlineLevel="0" collapsed="false">
      <c r="A4515" s="0" t="n">
        <v>56</v>
      </c>
      <c r="B4515" s="0" t="s">
        <v>62</v>
      </c>
      <c r="C4515" s="0" t="n">
        <v>2012</v>
      </c>
      <c r="D4515" s="0" t="n">
        <v>6</v>
      </c>
      <c r="E4515" s="38" t="n">
        <v>181531.87</v>
      </c>
    </row>
    <row r="4516" customFormat="false" ht="15" hidden="false" customHeight="false" outlineLevel="0" collapsed="false">
      <c r="A4516" s="0" t="n">
        <v>56</v>
      </c>
      <c r="B4516" s="0" t="s">
        <v>62</v>
      </c>
      <c r="C4516" s="0" t="n">
        <v>2012</v>
      </c>
      <c r="D4516" s="0" t="n">
        <v>7</v>
      </c>
      <c r="E4516" s="38" t="n">
        <v>80037.26</v>
      </c>
    </row>
    <row r="4517" customFormat="false" ht="15" hidden="false" customHeight="false" outlineLevel="0" collapsed="false">
      <c r="A4517" s="0" t="n">
        <v>56</v>
      </c>
      <c r="B4517" s="0" t="s">
        <v>62</v>
      </c>
      <c r="C4517" s="0" t="n">
        <v>2012</v>
      </c>
      <c r="D4517" s="0" t="n">
        <v>8</v>
      </c>
      <c r="E4517" s="38" t="n">
        <v>112868.33</v>
      </c>
    </row>
    <row r="4518" customFormat="false" ht="15" hidden="false" customHeight="false" outlineLevel="0" collapsed="false">
      <c r="A4518" s="0" t="n">
        <v>56</v>
      </c>
      <c r="B4518" s="0" t="s">
        <v>62</v>
      </c>
      <c r="C4518" s="0" t="n">
        <v>2012</v>
      </c>
      <c r="D4518" s="0" t="n">
        <v>9</v>
      </c>
      <c r="E4518" s="38" t="n">
        <v>70903.11</v>
      </c>
    </row>
    <row r="4519" customFormat="false" ht="15" hidden="false" customHeight="false" outlineLevel="0" collapsed="false">
      <c r="A4519" s="0" t="n">
        <v>56</v>
      </c>
      <c r="B4519" s="0" t="s">
        <v>62</v>
      </c>
      <c r="C4519" s="0" t="n">
        <v>2012</v>
      </c>
      <c r="D4519" s="0" t="n">
        <v>10</v>
      </c>
      <c r="E4519" s="38" t="n">
        <v>60946.99</v>
      </c>
    </row>
    <row r="4520" customFormat="false" ht="15" hidden="false" customHeight="false" outlineLevel="0" collapsed="false">
      <c r="A4520" s="0" t="n">
        <v>56</v>
      </c>
      <c r="B4520" s="0" t="s">
        <v>62</v>
      </c>
      <c r="C4520" s="0" t="n">
        <v>2012</v>
      </c>
      <c r="D4520" s="0" t="n">
        <v>11</v>
      </c>
      <c r="E4520" s="38" t="n">
        <v>88324.51</v>
      </c>
    </row>
    <row r="4521" customFormat="false" ht="15" hidden="false" customHeight="false" outlineLevel="0" collapsed="false">
      <c r="A4521" s="0" t="n">
        <v>56</v>
      </c>
      <c r="B4521" s="0" t="s">
        <v>62</v>
      </c>
      <c r="C4521" s="0" t="n">
        <v>2012</v>
      </c>
      <c r="D4521" s="0" t="n">
        <v>12</v>
      </c>
      <c r="E4521" s="38" t="n">
        <v>29355.95</v>
      </c>
    </row>
    <row r="4522" customFormat="false" ht="15" hidden="false" customHeight="false" outlineLevel="0" collapsed="false">
      <c r="A4522" s="0" t="n">
        <v>56</v>
      </c>
      <c r="B4522" s="0" t="s">
        <v>62</v>
      </c>
      <c r="C4522" s="0" t="n">
        <v>2013</v>
      </c>
      <c r="D4522" s="0" t="n">
        <v>1</v>
      </c>
      <c r="E4522" s="38" t="n">
        <v>93787.6</v>
      </c>
    </row>
    <row r="4523" customFormat="false" ht="15" hidden="false" customHeight="false" outlineLevel="0" collapsed="false">
      <c r="A4523" s="0" t="n">
        <v>56</v>
      </c>
      <c r="B4523" s="0" t="s">
        <v>62</v>
      </c>
      <c r="C4523" s="0" t="n">
        <v>2013</v>
      </c>
      <c r="D4523" s="0" t="n">
        <v>2</v>
      </c>
      <c r="E4523" s="38" t="n">
        <v>288546.82</v>
      </c>
    </row>
    <row r="4524" customFormat="false" ht="15" hidden="false" customHeight="false" outlineLevel="0" collapsed="false">
      <c r="A4524" s="0" t="n">
        <v>56</v>
      </c>
      <c r="B4524" s="0" t="s">
        <v>62</v>
      </c>
      <c r="C4524" s="0" t="n">
        <v>2013</v>
      </c>
      <c r="D4524" s="0" t="n">
        <v>3</v>
      </c>
      <c r="E4524" s="38" t="n">
        <v>498520.22</v>
      </c>
    </row>
    <row r="4525" customFormat="false" ht="15" hidden="false" customHeight="false" outlineLevel="0" collapsed="false">
      <c r="A4525" s="0" t="n">
        <v>56</v>
      </c>
      <c r="B4525" s="0" t="s">
        <v>62</v>
      </c>
      <c r="C4525" s="0" t="n">
        <v>2013</v>
      </c>
      <c r="D4525" s="0" t="n">
        <v>4</v>
      </c>
      <c r="E4525" s="38" t="n">
        <v>1013824.13</v>
      </c>
    </row>
    <row r="4526" customFormat="false" ht="15" hidden="false" customHeight="false" outlineLevel="0" collapsed="false">
      <c r="A4526" s="0" t="n">
        <v>56</v>
      </c>
      <c r="B4526" s="0" t="s">
        <v>62</v>
      </c>
      <c r="C4526" s="0" t="n">
        <v>2013</v>
      </c>
      <c r="D4526" s="0" t="n">
        <v>5</v>
      </c>
      <c r="E4526" s="38" t="n">
        <v>591291.58</v>
      </c>
    </row>
    <row r="4527" customFormat="false" ht="15" hidden="false" customHeight="false" outlineLevel="0" collapsed="false">
      <c r="A4527" s="0" t="n">
        <v>56</v>
      </c>
      <c r="B4527" s="0" t="s">
        <v>62</v>
      </c>
      <c r="C4527" s="0" t="n">
        <v>2013</v>
      </c>
      <c r="D4527" s="0" t="n">
        <v>6</v>
      </c>
      <c r="E4527" s="38" t="n">
        <v>161667.61</v>
      </c>
    </row>
    <row r="4528" customFormat="false" ht="15" hidden="false" customHeight="false" outlineLevel="0" collapsed="false">
      <c r="A4528" s="0" t="n">
        <v>56</v>
      </c>
      <c r="B4528" s="0" t="s">
        <v>62</v>
      </c>
      <c r="C4528" s="0" t="n">
        <v>2013</v>
      </c>
      <c r="D4528" s="0" t="n">
        <v>7</v>
      </c>
      <c r="E4528" s="38" t="n">
        <v>94006.39</v>
      </c>
    </row>
    <row r="4529" customFormat="false" ht="15" hidden="false" customHeight="false" outlineLevel="0" collapsed="false">
      <c r="A4529" s="0" t="n">
        <v>56</v>
      </c>
      <c r="B4529" s="0" t="s">
        <v>62</v>
      </c>
      <c r="C4529" s="0" t="n">
        <v>2013</v>
      </c>
      <c r="D4529" s="0" t="n">
        <v>8</v>
      </c>
      <c r="E4529" s="38" t="n">
        <v>130011.08</v>
      </c>
    </row>
    <row r="4530" customFormat="false" ht="15" hidden="false" customHeight="false" outlineLevel="0" collapsed="false">
      <c r="A4530" s="0" t="n">
        <v>56</v>
      </c>
      <c r="B4530" s="0" t="s">
        <v>64</v>
      </c>
      <c r="C4530" s="0" t="n">
        <v>2011</v>
      </c>
      <c r="D4530" s="0" t="n">
        <v>1</v>
      </c>
      <c r="E4530" s="38" t="n">
        <v>280.13</v>
      </c>
    </row>
    <row r="4531" customFormat="false" ht="15" hidden="false" customHeight="false" outlineLevel="0" collapsed="false">
      <c r="A4531" s="0" t="n">
        <v>56</v>
      </c>
      <c r="B4531" s="0" t="s">
        <v>64</v>
      </c>
      <c r="C4531" s="0" t="n">
        <v>2011</v>
      </c>
      <c r="D4531" s="0" t="n">
        <v>2</v>
      </c>
      <c r="E4531" s="38" t="n">
        <v>7222.79</v>
      </c>
    </row>
    <row r="4532" customFormat="false" ht="15" hidden="false" customHeight="false" outlineLevel="0" collapsed="false">
      <c r="A4532" s="0" t="n">
        <v>56</v>
      </c>
      <c r="B4532" s="0" t="s">
        <v>64</v>
      </c>
      <c r="C4532" s="0" t="n">
        <v>2011</v>
      </c>
      <c r="D4532" s="0" t="n">
        <v>3</v>
      </c>
      <c r="E4532" s="38" t="n">
        <v>7261.81</v>
      </c>
    </row>
    <row r="4533" customFormat="false" ht="15" hidden="false" customHeight="false" outlineLevel="0" collapsed="false">
      <c r="A4533" s="0" t="n">
        <v>56</v>
      </c>
      <c r="B4533" s="0" t="s">
        <v>64</v>
      </c>
      <c r="C4533" s="0" t="n">
        <v>2011</v>
      </c>
      <c r="D4533" s="0" t="n">
        <v>4</v>
      </c>
      <c r="E4533" s="38" t="n">
        <v>6495.09</v>
      </c>
    </row>
    <row r="4534" customFormat="false" ht="15" hidden="false" customHeight="false" outlineLevel="0" collapsed="false">
      <c r="A4534" s="0" t="n">
        <v>56</v>
      </c>
      <c r="B4534" s="0" t="s">
        <v>64</v>
      </c>
      <c r="C4534" s="0" t="n">
        <v>2011</v>
      </c>
      <c r="D4534" s="0" t="n">
        <v>5</v>
      </c>
      <c r="E4534" s="38" t="n">
        <v>4560.61</v>
      </c>
    </row>
    <row r="4535" customFormat="false" ht="15" hidden="false" customHeight="false" outlineLevel="0" collapsed="false">
      <c r="A4535" s="0" t="n">
        <v>56</v>
      </c>
      <c r="B4535" s="0" t="s">
        <v>64</v>
      </c>
      <c r="C4535" s="0" t="n">
        <v>2011</v>
      </c>
      <c r="D4535" s="0" t="n">
        <v>6</v>
      </c>
      <c r="E4535" s="38" t="n">
        <v>1017.62</v>
      </c>
    </row>
    <row r="4536" customFormat="false" ht="15" hidden="false" customHeight="false" outlineLevel="0" collapsed="false">
      <c r="A4536" s="0" t="n">
        <v>56</v>
      </c>
      <c r="B4536" s="0" t="s">
        <v>64</v>
      </c>
      <c r="C4536" s="0" t="n">
        <v>2011</v>
      </c>
      <c r="D4536" s="0" t="n">
        <v>7</v>
      </c>
      <c r="E4536" s="38" t="n">
        <v>1157.85</v>
      </c>
    </row>
    <row r="4537" customFormat="false" ht="15" hidden="false" customHeight="false" outlineLevel="0" collapsed="false">
      <c r="A4537" s="0" t="n">
        <v>56</v>
      </c>
      <c r="B4537" s="0" t="s">
        <v>64</v>
      </c>
      <c r="C4537" s="0" t="n">
        <v>2011</v>
      </c>
      <c r="D4537" s="0" t="n">
        <v>8</v>
      </c>
      <c r="E4537" s="38" t="n">
        <v>637.47</v>
      </c>
    </row>
    <row r="4538" customFormat="false" ht="15" hidden="false" customHeight="false" outlineLevel="0" collapsed="false">
      <c r="A4538" s="0" t="n">
        <v>56</v>
      </c>
      <c r="B4538" s="0" t="s">
        <v>64</v>
      </c>
      <c r="C4538" s="0" t="n">
        <v>2011</v>
      </c>
      <c r="D4538" s="0" t="n">
        <v>9</v>
      </c>
      <c r="E4538" s="38" t="n">
        <v>194.6</v>
      </c>
    </row>
    <row r="4539" customFormat="false" ht="15" hidden="false" customHeight="false" outlineLevel="0" collapsed="false">
      <c r="A4539" s="0" t="n">
        <v>56</v>
      </c>
      <c r="B4539" s="0" t="s">
        <v>64</v>
      </c>
      <c r="C4539" s="0" t="n">
        <v>2011</v>
      </c>
      <c r="D4539" s="0" t="n">
        <v>10</v>
      </c>
      <c r="E4539" s="38" t="n">
        <v>2457.05</v>
      </c>
    </row>
    <row r="4540" customFormat="false" ht="15" hidden="false" customHeight="false" outlineLevel="0" collapsed="false">
      <c r="A4540" s="0" t="n">
        <v>56</v>
      </c>
      <c r="B4540" s="0" t="s">
        <v>64</v>
      </c>
      <c r="C4540" s="0" t="n">
        <v>2011</v>
      </c>
      <c r="D4540" s="0" t="n">
        <v>11</v>
      </c>
      <c r="E4540" s="38" t="n">
        <v>6120.34</v>
      </c>
    </row>
    <row r="4541" customFormat="false" ht="15" hidden="false" customHeight="false" outlineLevel="0" collapsed="false">
      <c r="A4541" s="0" t="n">
        <v>56</v>
      </c>
      <c r="B4541" s="0" t="s">
        <v>64</v>
      </c>
      <c r="C4541" s="0" t="n">
        <v>2011</v>
      </c>
      <c r="D4541" s="0" t="n">
        <v>12</v>
      </c>
      <c r="E4541" s="38" t="n">
        <v>90.84</v>
      </c>
    </row>
    <row r="4542" customFormat="false" ht="15" hidden="false" customHeight="false" outlineLevel="0" collapsed="false">
      <c r="A4542" s="0" t="n">
        <v>56</v>
      </c>
      <c r="B4542" s="0" t="s">
        <v>64</v>
      </c>
      <c r="C4542" s="0" t="n">
        <v>2012</v>
      </c>
      <c r="D4542" s="0" t="n">
        <v>1</v>
      </c>
      <c r="E4542" s="38" t="n">
        <v>1328.66</v>
      </c>
    </row>
    <row r="4543" customFormat="false" ht="15" hidden="false" customHeight="false" outlineLevel="0" collapsed="false">
      <c r="A4543" s="0" t="n">
        <v>56</v>
      </c>
      <c r="B4543" s="0" t="s">
        <v>64</v>
      </c>
      <c r="C4543" s="0" t="n">
        <v>2012</v>
      </c>
      <c r="D4543" s="0" t="n">
        <v>2</v>
      </c>
      <c r="E4543" s="38" t="n">
        <v>4768.83</v>
      </c>
    </row>
    <row r="4544" customFormat="false" ht="15" hidden="false" customHeight="false" outlineLevel="0" collapsed="false">
      <c r="A4544" s="0" t="n">
        <v>56</v>
      </c>
      <c r="B4544" s="0" t="s">
        <v>64</v>
      </c>
      <c r="C4544" s="0" t="n">
        <v>2012</v>
      </c>
      <c r="D4544" s="0" t="n">
        <v>3</v>
      </c>
      <c r="E4544" s="38" t="n">
        <v>10810.37</v>
      </c>
    </row>
    <row r="4545" customFormat="false" ht="15" hidden="false" customHeight="false" outlineLevel="0" collapsed="false">
      <c r="A4545" s="0" t="n">
        <v>56</v>
      </c>
      <c r="B4545" s="0" t="s">
        <v>64</v>
      </c>
      <c r="C4545" s="0" t="n">
        <v>2012</v>
      </c>
      <c r="D4545" s="0" t="n">
        <v>4</v>
      </c>
      <c r="E4545" s="38" t="n">
        <v>9386.75</v>
      </c>
    </row>
    <row r="4546" customFormat="false" ht="15" hidden="false" customHeight="false" outlineLevel="0" collapsed="false">
      <c r="A4546" s="0" t="n">
        <v>56</v>
      </c>
      <c r="B4546" s="0" t="s">
        <v>64</v>
      </c>
      <c r="C4546" s="0" t="n">
        <v>2012</v>
      </c>
      <c r="D4546" s="0" t="n">
        <v>5</v>
      </c>
      <c r="E4546" s="38" t="n">
        <v>6969.64</v>
      </c>
    </row>
    <row r="4547" customFormat="false" ht="15" hidden="false" customHeight="false" outlineLevel="0" collapsed="false">
      <c r="A4547" s="0" t="n">
        <v>56</v>
      </c>
      <c r="B4547" s="0" t="s">
        <v>64</v>
      </c>
      <c r="C4547" s="0" t="n">
        <v>2012</v>
      </c>
      <c r="D4547" s="0" t="n">
        <v>6</v>
      </c>
      <c r="E4547" s="38" t="n">
        <v>1289.64</v>
      </c>
    </row>
    <row r="4548" customFormat="false" ht="15" hidden="false" customHeight="false" outlineLevel="0" collapsed="false">
      <c r="A4548" s="0" t="n">
        <v>56</v>
      </c>
      <c r="B4548" s="0" t="s">
        <v>64</v>
      </c>
      <c r="C4548" s="0" t="n">
        <v>2012</v>
      </c>
      <c r="D4548" s="0" t="n">
        <v>7</v>
      </c>
      <c r="E4548" s="38" t="n">
        <v>900.48</v>
      </c>
    </row>
    <row r="4549" customFormat="false" ht="15" hidden="false" customHeight="false" outlineLevel="0" collapsed="false">
      <c r="A4549" s="0" t="n">
        <v>56</v>
      </c>
      <c r="B4549" s="0" t="s">
        <v>64</v>
      </c>
      <c r="C4549" s="0" t="n">
        <v>2012</v>
      </c>
      <c r="D4549" s="0" t="n">
        <v>8</v>
      </c>
      <c r="E4549" s="38" t="n">
        <v>2066.7</v>
      </c>
    </row>
    <row r="4550" customFormat="false" ht="15" hidden="false" customHeight="false" outlineLevel="0" collapsed="false">
      <c r="A4550" s="0" t="n">
        <v>56</v>
      </c>
      <c r="B4550" s="0" t="s">
        <v>64</v>
      </c>
      <c r="C4550" s="0" t="n">
        <v>2012</v>
      </c>
      <c r="D4550" s="0" t="n">
        <v>9</v>
      </c>
      <c r="E4550" s="38" t="n">
        <v>1799.06</v>
      </c>
    </row>
    <row r="4551" customFormat="false" ht="15" hidden="false" customHeight="false" outlineLevel="0" collapsed="false">
      <c r="A4551" s="0" t="n">
        <v>56</v>
      </c>
      <c r="B4551" s="0" t="s">
        <v>64</v>
      </c>
      <c r="C4551" s="0" t="n">
        <v>2012</v>
      </c>
      <c r="D4551" s="0" t="n">
        <v>10</v>
      </c>
      <c r="E4551" s="38" t="n">
        <v>4828.71</v>
      </c>
    </row>
    <row r="4552" customFormat="false" ht="15" hidden="false" customHeight="false" outlineLevel="0" collapsed="false">
      <c r="A4552" s="0" t="n">
        <v>56</v>
      </c>
      <c r="B4552" s="0" t="s">
        <v>64</v>
      </c>
      <c r="C4552" s="0" t="n">
        <v>2012</v>
      </c>
      <c r="D4552" s="0" t="n">
        <v>11</v>
      </c>
      <c r="E4552" s="38" t="n">
        <v>5473.96</v>
      </c>
    </row>
    <row r="4553" customFormat="false" ht="15" hidden="false" customHeight="false" outlineLevel="0" collapsed="false">
      <c r="A4553" s="0" t="n">
        <v>56</v>
      </c>
      <c r="B4553" s="0" t="s">
        <v>64</v>
      </c>
      <c r="C4553" s="0" t="n">
        <v>2012</v>
      </c>
      <c r="D4553" s="0" t="n">
        <v>12</v>
      </c>
      <c r="E4553" s="38" t="n">
        <v>1438.26</v>
      </c>
    </row>
    <row r="4554" customFormat="false" ht="15" hidden="false" customHeight="false" outlineLevel="0" collapsed="false">
      <c r="A4554" s="0" t="n">
        <v>56</v>
      </c>
      <c r="B4554" s="0" t="s">
        <v>64</v>
      </c>
      <c r="C4554" s="0" t="n">
        <v>2013</v>
      </c>
      <c r="D4554" s="0" t="n">
        <v>1</v>
      </c>
      <c r="E4554" s="38" t="n">
        <v>5502.36</v>
      </c>
    </row>
    <row r="4555" customFormat="false" ht="15" hidden="false" customHeight="false" outlineLevel="0" collapsed="false">
      <c r="A4555" s="0" t="n">
        <v>56</v>
      </c>
      <c r="B4555" s="0" t="s">
        <v>64</v>
      </c>
      <c r="C4555" s="0" t="n">
        <v>2013</v>
      </c>
      <c r="D4555" s="0" t="n">
        <v>2</v>
      </c>
      <c r="E4555" s="38" t="n">
        <v>7489.34</v>
      </c>
    </row>
    <row r="4556" customFormat="false" ht="15" hidden="false" customHeight="false" outlineLevel="0" collapsed="false">
      <c r="A4556" s="0" t="n">
        <v>56</v>
      </c>
      <c r="B4556" s="0" t="s">
        <v>64</v>
      </c>
      <c r="C4556" s="0" t="n">
        <v>2013</v>
      </c>
      <c r="D4556" s="0" t="n">
        <v>3</v>
      </c>
      <c r="E4556" s="38" t="n">
        <v>13247.13</v>
      </c>
    </row>
    <row r="4557" customFormat="false" ht="15" hidden="false" customHeight="false" outlineLevel="0" collapsed="false">
      <c r="A4557" s="0" t="n">
        <v>56</v>
      </c>
      <c r="B4557" s="0" t="s">
        <v>64</v>
      </c>
      <c r="C4557" s="0" t="n">
        <v>2013</v>
      </c>
      <c r="D4557" s="0" t="n">
        <v>4</v>
      </c>
      <c r="E4557" s="38" t="n">
        <v>18862.09</v>
      </c>
    </row>
    <row r="4558" customFormat="false" ht="15" hidden="false" customHeight="false" outlineLevel="0" collapsed="false">
      <c r="A4558" s="0" t="n">
        <v>56</v>
      </c>
      <c r="B4558" s="0" t="s">
        <v>64</v>
      </c>
      <c r="C4558" s="0" t="n">
        <v>2013</v>
      </c>
      <c r="D4558" s="0" t="n">
        <v>5</v>
      </c>
      <c r="E4558" s="38" t="n">
        <v>5746.45</v>
      </c>
    </row>
    <row r="4559" customFormat="false" ht="15" hidden="false" customHeight="false" outlineLevel="0" collapsed="false">
      <c r="A4559" s="0" t="n">
        <v>56</v>
      </c>
      <c r="B4559" s="0" t="s">
        <v>64</v>
      </c>
      <c r="C4559" s="0" t="n">
        <v>2013</v>
      </c>
      <c r="D4559" s="0" t="n">
        <v>6</v>
      </c>
      <c r="E4559" s="38" t="n">
        <v>1648.89</v>
      </c>
    </row>
    <row r="4560" customFormat="false" ht="15" hidden="false" customHeight="false" outlineLevel="0" collapsed="false">
      <c r="A4560" s="0" t="n">
        <v>56</v>
      </c>
      <c r="B4560" s="0" t="s">
        <v>64</v>
      </c>
      <c r="C4560" s="0" t="n">
        <v>2013</v>
      </c>
      <c r="D4560" s="0" t="n">
        <v>7</v>
      </c>
      <c r="E4560" s="38" t="n">
        <v>2050.3</v>
      </c>
    </row>
    <row r="4561" customFormat="false" ht="15" hidden="false" customHeight="false" outlineLevel="0" collapsed="false">
      <c r="A4561" s="0" t="n">
        <v>56</v>
      </c>
      <c r="B4561" s="0" t="s">
        <v>64</v>
      </c>
      <c r="C4561" s="0" t="n">
        <v>2013</v>
      </c>
      <c r="D4561" s="0" t="n">
        <v>8</v>
      </c>
      <c r="E4561" s="38" t="n">
        <v>3401.39</v>
      </c>
    </row>
    <row r="4562" customFormat="false" ht="15" hidden="false" customHeight="false" outlineLevel="0" collapsed="false">
      <c r="A4562" s="0" t="n">
        <v>58</v>
      </c>
      <c r="B4562" s="0" t="s">
        <v>60</v>
      </c>
      <c r="C4562" s="0" t="n">
        <v>2011</v>
      </c>
      <c r="D4562" s="0" t="n">
        <v>1</v>
      </c>
      <c r="E4562" s="38" t="n">
        <v>394568.06</v>
      </c>
    </row>
    <row r="4563" customFormat="false" ht="15" hidden="false" customHeight="false" outlineLevel="0" collapsed="false">
      <c r="A4563" s="0" t="n">
        <v>58</v>
      </c>
      <c r="B4563" s="0" t="s">
        <v>60</v>
      </c>
      <c r="C4563" s="0" t="n">
        <v>2011</v>
      </c>
      <c r="D4563" s="0" t="n">
        <v>2</v>
      </c>
      <c r="E4563" s="38" t="n">
        <v>369837.71</v>
      </c>
    </row>
    <row r="4564" customFormat="false" ht="15" hidden="false" customHeight="false" outlineLevel="0" collapsed="false">
      <c r="A4564" s="0" t="n">
        <v>58</v>
      </c>
      <c r="B4564" s="0" t="s">
        <v>60</v>
      </c>
      <c r="C4564" s="0" t="n">
        <v>2011</v>
      </c>
      <c r="D4564" s="0" t="n">
        <v>3</v>
      </c>
      <c r="E4564" s="38" t="n">
        <v>348618.56</v>
      </c>
    </row>
    <row r="4565" customFormat="false" ht="15" hidden="false" customHeight="false" outlineLevel="0" collapsed="false">
      <c r="A4565" s="0" t="n">
        <v>58</v>
      </c>
      <c r="B4565" s="0" t="s">
        <v>60</v>
      </c>
      <c r="C4565" s="0" t="n">
        <v>2011</v>
      </c>
      <c r="D4565" s="0" t="n">
        <v>4</v>
      </c>
      <c r="E4565" s="38" t="n">
        <v>368092.78</v>
      </c>
    </row>
    <row r="4566" customFormat="false" ht="15" hidden="false" customHeight="false" outlineLevel="0" collapsed="false">
      <c r="A4566" s="0" t="n">
        <v>58</v>
      </c>
      <c r="B4566" s="0" t="s">
        <v>60</v>
      </c>
      <c r="C4566" s="0" t="n">
        <v>2011</v>
      </c>
      <c r="D4566" s="0" t="n">
        <v>5</v>
      </c>
      <c r="E4566" s="38" t="n">
        <v>496513.21</v>
      </c>
    </row>
    <row r="4567" customFormat="false" ht="15" hidden="false" customHeight="false" outlineLevel="0" collapsed="false">
      <c r="A4567" s="0" t="n">
        <v>58</v>
      </c>
      <c r="B4567" s="0" t="s">
        <v>60</v>
      </c>
      <c r="C4567" s="0" t="n">
        <v>2011</v>
      </c>
      <c r="D4567" s="0" t="n">
        <v>6</v>
      </c>
      <c r="E4567" s="38" t="n">
        <v>487676.5</v>
      </c>
    </row>
    <row r="4568" customFormat="false" ht="15" hidden="false" customHeight="false" outlineLevel="0" collapsed="false">
      <c r="A4568" s="0" t="n">
        <v>58</v>
      </c>
      <c r="B4568" s="0" t="s">
        <v>60</v>
      </c>
      <c r="C4568" s="0" t="n">
        <v>2011</v>
      </c>
      <c r="D4568" s="0" t="n">
        <v>7</v>
      </c>
      <c r="E4568" s="38" t="n">
        <v>509417.75</v>
      </c>
    </row>
    <row r="4569" customFormat="false" ht="15" hidden="false" customHeight="false" outlineLevel="0" collapsed="false">
      <c r="A4569" s="0" t="n">
        <v>58</v>
      </c>
      <c r="B4569" s="0" t="s">
        <v>60</v>
      </c>
      <c r="C4569" s="0" t="n">
        <v>2011</v>
      </c>
      <c r="D4569" s="0" t="n">
        <v>8</v>
      </c>
      <c r="E4569" s="38" t="n">
        <v>381979.08</v>
      </c>
    </row>
    <row r="4570" customFormat="false" ht="15" hidden="false" customHeight="false" outlineLevel="0" collapsed="false">
      <c r="A4570" s="0" t="n">
        <v>58</v>
      </c>
      <c r="B4570" s="0" t="s">
        <v>60</v>
      </c>
      <c r="C4570" s="0" t="n">
        <v>2011</v>
      </c>
      <c r="D4570" s="0" t="n">
        <v>9</v>
      </c>
      <c r="E4570" s="38" t="n">
        <v>348881.44</v>
      </c>
    </row>
    <row r="4571" customFormat="false" ht="15" hidden="false" customHeight="false" outlineLevel="0" collapsed="false">
      <c r="A4571" s="0" t="n">
        <v>58</v>
      </c>
      <c r="B4571" s="0" t="s">
        <v>60</v>
      </c>
      <c r="C4571" s="0" t="n">
        <v>2011</v>
      </c>
      <c r="D4571" s="0" t="n">
        <v>10</v>
      </c>
      <c r="E4571" s="38" t="n">
        <v>409343.28</v>
      </c>
    </row>
    <row r="4572" customFormat="false" ht="15" hidden="false" customHeight="false" outlineLevel="0" collapsed="false">
      <c r="A4572" s="0" t="n">
        <v>58</v>
      </c>
      <c r="B4572" s="0" t="s">
        <v>60</v>
      </c>
      <c r="C4572" s="0" t="n">
        <v>2011</v>
      </c>
      <c r="D4572" s="0" t="n">
        <v>11</v>
      </c>
      <c r="E4572" s="38" t="n">
        <v>404073.79</v>
      </c>
    </row>
    <row r="4573" customFormat="false" ht="15" hidden="false" customHeight="false" outlineLevel="0" collapsed="false">
      <c r="A4573" s="0" t="n">
        <v>58</v>
      </c>
      <c r="B4573" s="0" t="s">
        <v>60</v>
      </c>
      <c r="C4573" s="0" t="n">
        <v>2011</v>
      </c>
      <c r="D4573" s="0" t="n">
        <v>12</v>
      </c>
      <c r="E4573" s="38" t="n">
        <v>320938.78</v>
      </c>
    </row>
    <row r="4574" customFormat="false" ht="15" hidden="false" customHeight="false" outlineLevel="0" collapsed="false">
      <c r="A4574" s="0" t="n">
        <v>58</v>
      </c>
      <c r="B4574" s="0" t="s">
        <v>60</v>
      </c>
      <c r="C4574" s="0" t="n">
        <v>2012</v>
      </c>
      <c r="D4574" s="0" t="n">
        <v>1</v>
      </c>
      <c r="E4574" s="38" t="n">
        <v>316675.23</v>
      </c>
    </row>
    <row r="4575" customFormat="false" ht="15" hidden="false" customHeight="false" outlineLevel="0" collapsed="false">
      <c r="A4575" s="0" t="n">
        <v>58</v>
      </c>
      <c r="B4575" s="0" t="s">
        <v>60</v>
      </c>
      <c r="C4575" s="0" t="n">
        <v>2012</v>
      </c>
      <c r="D4575" s="0" t="n">
        <v>2</v>
      </c>
      <c r="E4575" s="38" t="n">
        <v>344373.47</v>
      </c>
    </row>
    <row r="4576" customFormat="false" ht="15" hidden="false" customHeight="false" outlineLevel="0" collapsed="false">
      <c r="A4576" s="0" t="n">
        <v>58</v>
      </c>
      <c r="B4576" s="0" t="s">
        <v>60</v>
      </c>
      <c r="C4576" s="0" t="n">
        <v>2012</v>
      </c>
      <c r="D4576" s="0" t="n">
        <v>3</v>
      </c>
      <c r="E4576" s="38" t="n">
        <v>279318.84</v>
      </c>
    </row>
    <row r="4577" customFormat="false" ht="15" hidden="false" customHeight="false" outlineLevel="0" collapsed="false">
      <c r="A4577" s="0" t="n">
        <v>58</v>
      </c>
      <c r="B4577" s="0" t="s">
        <v>60</v>
      </c>
      <c r="C4577" s="0" t="n">
        <v>2012</v>
      </c>
      <c r="D4577" s="0" t="n">
        <v>4</v>
      </c>
      <c r="E4577" s="38" t="n">
        <v>277909.04</v>
      </c>
    </row>
    <row r="4578" customFormat="false" ht="15" hidden="false" customHeight="false" outlineLevel="0" collapsed="false">
      <c r="A4578" s="0" t="n">
        <v>58</v>
      </c>
      <c r="B4578" s="0" t="s">
        <v>60</v>
      </c>
      <c r="C4578" s="0" t="n">
        <v>2012</v>
      </c>
      <c r="D4578" s="0" t="n">
        <v>5</v>
      </c>
      <c r="E4578" s="38" t="n">
        <v>366492.16</v>
      </c>
    </row>
    <row r="4579" customFormat="false" ht="15" hidden="false" customHeight="false" outlineLevel="0" collapsed="false">
      <c r="A4579" s="0" t="n">
        <v>58</v>
      </c>
      <c r="B4579" s="0" t="s">
        <v>60</v>
      </c>
      <c r="C4579" s="0" t="n">
        <v>2012</v>
      </c>
      <c r="D4579" s="0" t="n">
        <v>6</v>
      </c>
      <c r="E4579" s="38" t="n">
        <v>344797.46</v>
      </c>
    </row>
    <row r="4580" customFormat="false" ht="15" hidden="false" customHeight="false" outlineLevel="0" collapsed="false">
      <c r="A4580" s="0" t="n">
        <v>58</v>
      </c>
      <c r="B4580" s="0" t="s">
        <v>60</v>
      </c>
      <c r="C4580" s="0" t="n">
        <v>2012</v>
      </c>
      <c r="D4580" s="0" t="n">
        <v>7</v>
      </c>
      <c r="E4580" s="38" t="n">
        <v>354486.06</v>
      </c>
    </row>
    <row r="4581" customFormat="false" ht="15" hidden="false" customHeight="false" outlineLevel="0" collapsed="false">
      <c r="A4581" s="0" t="n">
        <v>58</v>
      </c>
      <c r="B4581" s="0" t="s">
        <v>60</v>
      </c>
      <c r="C4581" s="0" t="n">
        <v>2012</v>
      </c>
      <c r="D4581" s="0" t="n">
        <v>8</v>
      </c>
      <c r="E4581" s="38" t="n">
        <v>324140.05</v>
      </c>
    </row>
    <row r="4582" customFormat="false" ht="15" hidden="false" customHeight="false" outlineLevel="0" collapsed="false">
      <c r="A4582" s="0" t="n">
        <v>58</v>
      </c>
      <c r="B4582" s="0" t="s">
        <v>60</v>
      </c>
      <c r="C4582" s="0" t="n">
        <v>2012</v>
      </c>
      <c r="D4582" s="0" t="n">
        <v>9</v>
      </c>
      <c r="E4582" s="38" t="n">
        <v>331461.66</v>
      </c>
    </row>
    <row r="4583" customFormat="false" ht="15" hidden="false" customHeight="false" outlineLevel="0" collapsed="false">
      <c r="A4583" s="0" t="n">
        <v>58</v>
      </c>
      <c r="B4583" s="0" t="s">
        <v>60</v>
      </c>
      <c r="C4583" s="0" t="n">
        <v>2012</v>
      </c>
      <c r="D4583" s="0" t="n">
        <v>10</v>
      </c>
      <c r="E4583" s="38" t="n">
        <v>415957.64</v>
      </c>
    </row>
    <row r="4584" customFormat="false" ht="15" hidden="false" customHeight="false" outlineLevel="0" collapsed="false">
      <c r="A4584" s="0" t="n">
        <v>58</v>
      </c>
      <c r="B4584" s="0" t="s">
        <v>60</v>
      </c>
      <c r="C4584" s="0" t="n">
        <v>2012</v>
      </c>
      <c r="D4584" s="0" t="n">
        <v>11</v>
      </c>
      <c r="E4584" s="38" t="n">
        <v>488770.9</v>
      </c>
    </row>
    <row r="4585" customFormat="false" ht="15" hidden="false" customHeight="false" outlineLevel="0" collapsed="false">
      <c r="A4585" s="0" t="n">
        <v>58</v>
      </c>
      <c r="B4585" s="0" t="s">
        <v>60</v>
      </c>
      <c r="C4585" s="0" t="n">
        <v>2012</v>
      </c>
      <c r="D4585" s="0" t="n">
        <v>12</v>
      </c>
      <c r="E4585" s="38" t="n">
        <v>307038.62</v>
      </c>
    </row>
    <row r="4586" customFormat="false" ht="15" hidden="false" customHeight="false" outlineLevel="0" collapsed="false">
      <c r="A4586" s="0" t="n">
        <v>58</v>
      </c>
      <c r="B4586" s="0" t="s">
        <v>60</v>
      </c>
      <c r="C4586" s="0" t="n">
        <v>2013</v>
      </c>
      <c r="D4586" s="0" t="n">
        <v>1</v>
      </c>
      <c r="E4586" s="38" t="n">
        <v>360220.59</v>
      </c>
    </row>
    <row r="4587" customFormat="false" ht="15" hidden="false" customHeight="false" outlineLevel="0" collapsed="false">
      <c r="A4587" s="0" t="n">
        <v>58</v>
      </c>
      <c r="B4587" s="0" t="s">
        <v>60</v>
      </c>
      <c r="C4587" s="0" t="n">
        <v>2013</v>
      </c>
      <c r="D4587" s="0" t="n">
        <v>2</v>
      </c>
      <c r="E4587" s="38" t="n">
        <v>318144.99</v>
      </c>
    </row>
    <row r="4588" customFormat="false" ht="15" hidden="false" customHeight="false" outlineLevel="0" collapsed="false">
      <c r="A4588" s="0" t="n">
        <v>58</v>
      </c>
      <c r="B4588" s="0" t="s">
        <v>60</v>
      </c>
      <c r="C4588" s="0" t="n">
        <v>2013</v>
      </c>
      <c r="D4588" s="0" t="n">
        <v>3</v>
      </c>
      <c r="E4588" s="38" t="n">
        <v>316430.8</v>
      </c>
    </row>
    <row r="4589" customFormat="false" ht="15" hidden="false" customHeight="false" outlineLevel="0" collapsed="false">
      <c r="A4589" s="0" t="n">
        <v>58</v>
      </c>
      <c r="B4589" s="0" t="s">
        <v>60</v>
      </c>
      <c r="C4589" s="0" t="n">
        <v>2013</v>
      </c>
      <c r="D4589" s="0" t="n">
        <v>4</v>
      </c>
      <c r="E4589" s="38" t="n">
        <v>284688.86</v>
      </c>
    </row>
    <row r="4590" customFormat="false" ht="15" hidden="false" customHeight="false" outlineLevel="0" collapsed="false">
      <c r="A4590" s="0" t="n">
        <v>58</v>
      </c>
      <c r="B4590" s="0" t="s">
        <v>60</v>
      </c>
      <c r="C4590" s="0" t="n">
        <v>2013</v>
      </c>
      <c r="D4590" s="0" t="n">
        <v>5</v>
      </c>
      <c r="E4590" s="38" t="n">
        <v>382200.78</v>
      </c>
    </row>
    <row r="4591" customFormat="false" ht="15" hidden="false" customHeight="false" outlineLevel="0" collapsed="false">
      <c r="A4591" s="0" t="n">
        <v>58</v>
      </c>
      <c r="B4591" s="0" t="s">
        <v>60</v>
      </c>
      <c r="C4591" s="0" t="n">
        <v>2013</v>
      </c>
      <c r="D4591" s="0" t="n">
        <v>6</v>
      </c>
      <c r="E4591" s="38" t="n">
        <v>391695.25</v>
      </c>
    </row>
    <row r="4592" customFormat="false" ht="15" hidden="false" customHeight="false" outlineLevel="0" collapsed="false">
      <c r="A4592" s="0" t="n">
        <v>58</v>
      </c>
      <c r="B4592" s="0" t="s">
        <v>60</v>
      </c>
      <c r="C4592" s="0" t="n">
        <v>2013</v>
      </c>
      <c r="D4592" s="0" t="n">
        <v>7</v>
      </c>
      <c r="E4592" s="38" t="n">
        <v>459227.05</v>
      </c>
    </row>
    <row r="4593" customFormat="false" ht="15" hidden="false" customHeight="false" outlineLevel="0" collapsed="false">
      <c r="A4593" s="0" t="n">
        <v>58</v>
      </c>
      <c r="B4593" s="0" t="s">
        <v>60</v>
      </c>
      <c r="C4593" s="0" t="n">
        <v>2013</v>
      </c>
      <c r="D4593" s="0" t="n">
        <v>8</v>
      </c>
      <c r="E4593" s="38" t="n">
        <v>466052.61</v>
      </c>
    </row>
    <row r="4594" customFormat="false" ht="15" hidden="false" customHeight="false" outlineLevel="0" collapsed="false">
      <c r="A4594" s="0" t="n">
        <v>58</v>
      </c>
      <c r="B4594" s="0" t="s">
        <v>62</v>
      </c>
      <c r="C4594" s="0" t="n">
        <v>2011</v>
      </c>
      <c r="D4594" s="0" t="n">
        <v>1</v>
      </c>
      <c r="E4594" s="38" t="n">
        <v>113081.15</v>
      </c>
    </row>
    <row r="4595" customFormat="false" ht="15" hidden="false" customHeight="false" outlineLevel="0" collapsed="false">
      <c r="A4595" s="0" t="n">
        <v>58</v>
      </c>
      <c r="B4595" s="0" t="s">
        <v>62</v>
      </c>
      <c r="C4595" s="0" t="n">
        <v>2011</v>
      </c>
      <c r="D4595" s="0" t="n">
        <v>2</v>
      </c>
      <c r="E4595" s="38" t="n">
        <v>119248.83</v>
      </c>
    </row>
    <row r="4596" customFormat="false" ht="15" hidden="false" customHeight="false" outlineLevel="0" collapsed="false">
      <c r="A4596" s="0" t="n">
        <v>58</v>
      </c>
      <c r="B4596" s="0" t="s">
        <v>62</v>
      </c>
      <c r="C4596" s="0" t="n">
        <v>2011</v>
      </c>
      <c r="D4596" s="0" t="n">
        <v>3</v>
      </c>
      <c r="E4596" s="38" t="n">
        <v>116740.13</v>
      </c>
    </row>
    <row r="4597" customFormat="false" ht="15" hidden="false" customHeight="false" outlineLevel="0" collapsed="false">
      <c r="A4597" s="0" t="n">
        <v>58</v>
      </c>
      <c r="B4597" s="0" t="s">
        <v>62</v>
      </c>
      <c r="C4597" s="0" t="n">
        <v>2011</v>
      </c>
      <c r="D4597" s="0" t="n">
        <v>4</v>
      </c>
      <c r="E4597" s="38" t="n">
        <v>144697.16</v>
      </c>
    </row>
    <row r="4598" customFormat="false" ht="15" hidden="false" customHeight="false" outlineLevel="0" collapsed="false">
      <c r="A4598" s="0" t="n">
        <v>58</v>
      </c>
      <c r="B4598" s="0" t="s">
        <v>62</v>
      </c>
      <c r="C4598" s="0" t="n">
        <v>2011</v>
      </c>
      <c r="D4598" s="0" t="n">
        <v>5</v>
      </c>
      <c r="E4598" s="38" t="n">
        <v>185891.27</v>
      </c>
    </row>
    <row r="4599" customFormat="false" ht="15" hidden="false" customHeight="false" outlineLevel="0" collapsed="false">
      <c r="A4599" s="0" t="n">
        <v>58</v>
      </c>
      <c r="B4599" s="0" t="s">
        <v>62</v>
      </c>
      <c r="C4599" s="0" t="n">
        <v>2011</v>
      </c>
      <c r="D4599" s="0" t="n">
        <v>6</v>
      </c>
      <c r="E4599" s="38" t="n">
        <v>186943.42</v>
      </c>
    </row>
    <row r="4600" customFormat="false" ht="15" hidden="false" customHeight="false" outlineLevel="0" collapsed="false">
      <c r="A4600" s="0" t="n">
        <v>58</v>
      </c>
      <c r="B4600" s="0" t="s">
        <v>62</v>
      </c>
      <c r="C4600" s="0" t="n">
        <v>2011</v>
      </c>
      <c r="D4600" s="0" t="n">
        <v>7</v>
      </c>
      <c r="E4600" s="38" t="n">
        <v>184472.99</v>
      </c>
    </row>
    <row r="4601" customFormat="false" ht="15" hidden="false" customHeight="false" outlineLevel="0" collapsed="false">
      <c r="A4601" s="0" t="n">
        <v>58</v>
      </c>
      <c r="B4601" s="0" t="s">
        <v>62</v>
      </c>
      <c r="C4601" s="0" t="n">
        <v>2011</v>
      </c>
      <c r="D4601" s="0" t="n">
        <v>8</v>
      </c>
      <c r="E4601" s="38" t="n">
        <v>158155.64</v>
      </c>
    </row>
    <row r="4602" customFormat="false" ht="15" hidden="false" customHeight="false" outlineLevel="0" collapsed="false">
      <c r="A4602" s="0" t="n">
        <v>58</v>
      </c>
      <c r="B4602" s="0" t="s">
        <v>62</v>
      </c>
      <c r="C4602" s="0" t="n">
        <v>2011</v>
      </c>
      <c r="D4602" s="0" t="n">
        <v>9</v>
      </c>
      <c r="E4602" s="38" t="n">
        <v>132405</v>
      </c>
    </row>
    <row r="4603" customFormat="false" ht="15" hidden="false" customHeight="false" outlineLevel="0" collapsed="false">
      <c r="A4603" s="0" t="n">
        <v>58</v>
      </c>
      <c r="B4603" s="0" t="s">
        <v>62</v>
      </c>
      <c r="C4603" s="0" t="n">
        <v>2011</v>
      </c>
      <c r="D4603" s="0" t="n">
        <v>10</v>
      </c>
      <c r="E4603" s="38" t="n">
        <v>135077.4</v>
      </c>
    </row>
    <row r="4604" customFormat="false" ht="15" hidden="false" customHeight="false" outlineLevel="0" collapsed="false">
      <c r="A4604" s="0" t="n">
        <v>58</v>
      </c>
      <c r="B4604" s="0" t="s">
        <v>62</v>
      </c>
      <c r="C4604" s="0" t="n">
        <v>2011</v>
      </c>
      <c r="D4604" s="0" t="n">
        <v>11</v>
      </c>
      <c r="E4604" s="38" t="n">
        <v>129659</v>
      </c>
    </row>
    <row r="4605" customFormat="false" ht="15" hidden="false" customHeight="false" outlineLevel="0" collapsed="false">
      <c r="A4605" s="0" t="n">
        <v>58</v>
      </c>
      <c r="B4605" s="0" t="s">
        <v>62</v>
      </c>
      <c r="C4605" s="0" t="n">
        <v>2011</v>
      </c>
      <c r="D4605" s="0" t="n">
        <v>12</v>
      </c>
      <c r="E4605" s="38" t="n">
        <v>96414.57</v>
      </c>
    </row>
    <row r="4606" customFormat="false" ht="15" hidden="false" customHeight="false" outlineLevel="0" collapsed="false">
      <c r="A4606" s="0" t="n">
        <v>58</v>
      </c>
      <c r="B4606" s="0" t="s">
        <v>62</v>
      </c>
      <c r="C4606" s="0" t="n">
        <v>2012</v>
      </c>
      <c r="D4606" s="0" t="n">
        <v>1</v>
      </c>
      <c r="E4606" s="38" t="n">
        <v>92710.99</v>
      </c>
    </row>
    <row r="4607" customFormat="false" ht="15" hidden="false" customHeight="false" outlineLevel="0" collapsed="false">
      <c r="A4607" s="0" t="n">
        <v>58</v>
      </c>
      <c r="B4607" s="0" t="s">
        <v>62</v>
      </c>
      <c r="C4607" s="0" t="n">
        <v>2012</v>
      </c>
      <c r="D4607" s="0" t="n">
        <v>2</v>
      </c>
      <c r="E4607" s="38" t="n">
        <v>80384.55</v>
      </c>
    </row>
    <row r="4608" customFormat="false" ht="15" hidden="false" customHeight="false" outlineLevel="0" collapsed="false">
      <c r="A4608" s="0" t="n">
        <v>58</v>
      </c>
      <c r="B4608" s="0" t="s">
        <v>62</v>
      </c>
      <c r="C4608" s="0" t="n">
        <v>2012</v>
      </c>
      <c r="D4608" s="0" t="n">
        <v>3</v>
      </c>
      <c r="E4608" s="38" t="n">
        <v>68185.85</v>
      </c>
    </row>
    <row r="4609" customFormat="false" ht="15" hidden="false" customHeight="false" outlineLevel="0" collapsed="false">
      <c r="A4609" s="0" t="n">
        <v>58</v>
      </c>
      <c r="B4609" s="0" t="s">
        <v>62</v>
      </c>
      <c r="C4609" s="0" t="n">
        <v>2012</v>
      </c>
      <c r="D4609" s="0" t="n">
        <v>4</v>
      </c>
      <c r="E4609" s="38" t="n">
        <v>76493.11</v>
      </c>
    </row>
    <row r="4610" customFormat="false" ht="15" hidden="false" customHeight="false" outlineLevel="0" collapsed="false">
      <c r="A4610" s="0" t="n">
        <v>58</v>
      </c>
      <c r="B4610" s="0" t="s">
        <v>62</v>
      </c>
      <c r="C4610" s="0" t="n">
        <v>2012</v>
      </c>
      <c r="D4610" s="0" t="n">
        <v>5</v>
      </c>
      <c r="E4610" s="38" t="n">
        <v>130286.74</v>
      </c>
    </row>
    <row r="4611" customFormat="false" ht="15" hidden="false" customHeight="false" outlineLevel="0" collapsed="false">
      <c r="A4611" s="0" t="n">
        <v>58</v>
      </c>
      <c r="B4611" s="0" t="s">
        <v>62</v>
      </c>
      <c r="C4611" s="0" t="n">
        <v>2012</v>
      </c>
      <c r="D4611" s="0" t="n">
        <v>6</v>
      </c>
      <c r="E4611" s="38" t="n">
        <v>107383.58</v>
      </c>
    </row>
    <row r="4612" customFormat="false" ht="15" hidden="false" customHeight="false" outlineLevel="0" collapsed="false">
      <c r="A4612" s="0" t="n">
        <v>58</v>
      </c>
      <c r="B4612" s="0" t="s">
        <v>62</v>
      </c>
      <c r="C4612" s="0" t="n">
        <v>2012</v>
      </c>
      <c r="D4612" s="0" t="n">
        <v>7</v>
      </c>
      <c r="E4612" s="38" t="n">
        <v>102467.11</v>
      </c>
    </row>
    <row r="4613" customFormat="false" ht="15" hidden="false" customHeight="false" outlineLevel="0" collapsed="false">
      <c r="A4613" s="0" t="n">
        <v>58</v>
      </c>
      <c r="B4613" s="0" t="s">
        <v>62</v>
      </c>
      <c r="C4613" s="0" t="n">
        <v>2012</v>
      </c>
      <c r="D4613" s="0" t="n">
        <v>8</v>
      </c>
      <c r="E4613" s="38" t="n">
        <v>100790.73</v>
      </c>
    </row>
    <row r="4614" customFormat="false" ht="15" hidden="false" customHeight="false" outlineLevel="0" collapsed="false">
      <c r="A4614" s="0" t="n">
        <v>58</v>
      </c>
      <c r="B4614" s="0" t="s">
        <v>62</v>
      </c>
      <c r="C4614" s="0" t="n">
        <v>2012</v>
      </c>
      <c r="D4614" s="0" t="n">
        <v>9</v>
      </c>
      <c r="E4614" s="38" t="n">
        <v>85374.99</v>
      </c>
    </row>
    <row r="4615" customFormat="false" ht="15" hidden="false" customHeight="false" outlineLevel="0" collapsed="false">
      <c r="A4615" s="0" t="n">
        <v>58</v>
      </c>
      <c r="B4615" s="0" t="s">
        <v>62</v>
      </c>
      <c r="C4615" s="0" t="n">
        <v>2012</v>
      </c>
      <c r="D4615" s="0" t="n">
        <v>10</v>
      </c>
      <c r="E4615" s="38" t="n">
        <v>84591.78</v>
      </c>
    </row>
    <row r="4616" customFormat="false" ht="15" hidden="false" customHeight="false" outlineLevel="0" collapsed="false">
      <c r="A4616" s="0" t="n">
        <v>58</v>
      </c>
      <c r="B4616" s="0" t="s">
        <v>62</v>
      </c>
      <c r="C4616" s="0" t="n">
        <v>2012</v>
      </c>
      <c r="D4616" s="0" t="n">
        <v>11</v>
      </c>
      <c r="E4616" s="38" t="n">
        <v>103894.27</v>
      </c>
    </row>
    <row r="4617" customFormat="false" ht="15" hidden="false" customHeight="false" outlineLevel="0" collapsed="false">
      <c r="A4617" s="0" t="n">
        <v>58</v>
      </c>
      <c r="B4617" s="0" t="s">
        <v>62</v>
      </c>
      <c r="C4617" s="0" t="n">
        <v>2012</v>
      </c>
      <c r="D4617" s="0" t="n">
        <v>12</v>
      </c>
      <c r="E4617" s="38" t="n">
        <v>77224.64</v>
      </c>
    </row>
    <row r="4618" customFormat="false" ht="15" hidden="false" customHeight="false" outlineLevel="0" collapsed="false">
      <c r="A4618" s="0" t="n">
        <v>58</v>
      </c>
      <c r="B4618" s="0" t="s">
        <v>62</v>
      </c>
      <c r="C4618" s="0" t="n">
        <v>2013</v>
      </c>
      <c r="D4618" s="0" t="n">
        <v>1</v>
      </c>
      <c r="E4618" s="38" t="n">
        <v>85226.44</v>
      </c>
    </row>
    <row r="4619" customFormat="false" ht="15" hidden="false" customHeight="false" outlineLevel="0" collapsed="false">
      <c r="A4619" s="0" t="n">
        <v>58</v>
      </c>
      <c r="B4619" s="0" t="s">
        <v>62</v>
      </c>
      <c r="C4619" s="0" t="n">
        <v>2013</v>
      </c>
      <c r="D4619" s="0" t="n">
        <v>2</v>
      </c>
      <c r="E4619" s="38" t="n">
        <v>97379.73</v>
      </c>
    </row>
    <row r="4620" customFormat="false" ht="15" hidden="false" customHeight="false" outlineLevel="0" collapsed="false">
      <c r="A4620" s="0" t="n">
        <v>58</v>
      </c>
      <c r="B4620" s="0" t="s">
        <v>62</v>
      </c>
      <c r="C4620" s="0" t="n">
        <v>2013</v>
      </c>
      <c r="D4620" s="0" t="n">
        <v>3</v>
      </c>
      <c r="E4620" s="38" t="n">
        <v>96657.36</v>
      </c>
    </row>
    <row r="4621" customFormat="false" ht="15" hidden="false" customHeight="false" outlineLevel="0" collapsed="false">
      <c r="A4621" s="0" t="n">
        <v>58</v>
      </c>
      <c r="B4621" s="0" t="s">
        <v>62</v>
      </c>
      <c r="C4621" s="0" t="n">
        <v>2013</v>
      </c>
      <c r="D4621" s="0" t="n">
        <v>4</v>
      </c>
      <c r="E4621" s="38" t="n">
        <v>86010.56</v>
      </c>
    </row>
    <row r="4622" customFormat="false" ht="15" hidden="false" customHeight="false" outlineLevel="0" collapsed="false">
      <c r="A4622" s="0" t="n">
        <v>58</v>
      </c>
      <c r="B4622" s="0" t="s">
        <v>62</v>
      </c>
      <c r="C4622" s="0" t="n">
        <v>2013</v>
      </c>
      <c r="D4622" s="0" t="n">
        <v>5</v>
      </c>
      <c r="E4622" s="38" t="n">
        <v>117284.26</v>
      </c>
    </row>
    <row r="4623" customFormat="false" ht="15" hidden="false" customHeight="false" outlineLevel="0" collapsed="false">
      <c r="A4623" s="0" t="n">
        <v>58</v>
      </c>
      <c r="B4623" s="0" t="s">
        <v>62</v>
      </c>
      <c r="C4623" s="0" t="n">
        <v>2013</v>
      </c>
      <c r="D4623" s="0" t="n">
        <v>6</v>
      </c>
      <c r="E4623" s="38" t="n">
        <v>135621.45</v>
      </c>
    </row>
    <row r="4624" customFormat="false" ht="15" hidden="false" customHeight="false" outlineLevel="0" collapsed="false">
      <c r="A4624" s="0" t="n">
        <v>58</v>
      </c>
      <c r="B4624" s="0" t="s">
        <v>62</v>
      </c>
      <c r="C4624" s="0" t="n">
        <v>2013</v>
      </c>
      <c r="D4624" s="0" t="n">
        <v>7</v>
      </c>
      <c r="E4624" s="38" t="n">
        <v>131143.39</v>
      </c>
    </row>
    <row r="4625" customFormat="false" ht="15" hidden="false" customHeight="false" outlineLevel="0" collapsed="false">
      <c r="A4625" s="0" t="n">
        <v>58</v>
      </c>
      <c r="B4625" s="0" t="s">
        <v>62</v>
      </c>
      <c r="C4625" s="0" t="n">
        <v>2013</v>
      </c>
      <c r="D4625" s="0" t="n">
        <v>8</v>
      </c>
      <c r="E4625" s="38" t="n">
        <v>122575.55</v>
      </c>
    </row>
    <row r="4626" customFormat="false" ht="15" hidden="false" customHeight="false" outlineLevel="0" collapsed="false">
      <c r="A4626" s="0" t="n">
        <v>59</v>
      </c>
      <c r="B4626" s="0" t="s">
        <v>60</v>
      </c>
      <c r="C4626" s="0" t="n">
        <v>2011</v>
      </c>
      <c r="D4626" s="0" t="n">
        <v>1</v>
      </c>
      <c r="E4626" s="38" t="n">
        <v>78691.74</v>
      </c>
    </row>
    <row r="4627" customFormat="false" ht="15" hidden="false" customHeight="false" outlineLevel="0" collapsed="false">
      <c r="A4627" s="0" t="n">
        <v>59</v>
      </c>
      <c r="B4627" s="0" t="s">
        <v>60</v>
      </c>
      <c r="C4627" s="0" t="n">
        <v>2011</v>
      </c>
      <c r="D4627" s="0" t="n">
        <v>2</v>
      </c>
      <c r="E4627" s="38" t="n">
        <v>75870.15</v>
      </c>
    </row>
    <row r="4628" customFormat="false" ht="15" hidden="false" customHeight="false" outlineLevel="0" collapsed="false">
      <c r="A4628" s="0" t="n">
        <v>59</v>
      </c>
      <c r="B4628" s="0" t="s">
        <v>60</v>
      </c>
      <c r="C4628" s="0" t="n">
        <v>2011</v>
      </c>
      <c r="D4628" s="0" t="n">
        <v>3</v>
      </c>
      <c r="E4628" s="38" t="n">
        <v>66644.8</v>
      </c>
    </row>
    <row r="4629" customFormat="false" ht="15" hidden="false" customHeight="false" outlineLevel="0" collapsed="false">
      <c r="A4629" s="0" t="n">
        <v>59</v>
      </c>
      <c r="B4629" s="0" t="s">
        <v>60</v>
      </c>
      <c r="C4629" s="0" t="n">
        <v>2011</v>
      </c>
      <c r="D4629" s="0" t="n">
        <v>4</v>
      </c>
      <c r="E4629" s="38" t="n">
        <v>66025</v>
      </c>
    </row>
    <row r="4630" customFormat="false" ht="15" hidden="false" customHeight="false" outlineLevel="0" collapsed="false">
      <c r="A4630" s="0" t="n">
        <v>59</v>
      </c>
      <c r="B4630" s="0" t="s">
        <v>60</v>
      </c>
      <c r="C4630" s="0" t="n">
        <v>2011</v>
      </c>
      <c r="D4630" s="0" t="n">
        <v>5</v>
      </c>
      <c r="E4630" s="38" t="n">
        <v>61526.88</v>
      </c>
    </row>
    <row r="4631" customFormat="false" ht="15" hidden="false" customHeight="false" outlineLevel="0" collapsed="false">
      <c r="A4631" s="0" t="n">
        <v>59</v>
      </c>
      <c r="B4631" s="0" t="s">
        <v>60</v>
      </c>
      <c r="C4631" s="0" t="n">
        <v>2011</v>
      </c>
      <c r="D4631" s="0" t="n">
        <v>6</v>
      </c>
      <c r="E4631" s="38" t="n">
        <v>57464.42</v>
      </c>
    </row>
    <row r="4632" customFormat="false" ht="15" hidden="false" customHeight="false" outlineLevel="0" collapsed="false">
      <c r="A4632" s="0" t="n">
        <v>59</v>
      </c>
      <c r="B4632" s="0" t="s">
        <v>60</v>
      </c>
      <c r="C4632" s="0" t="n">
        <v>2011</v>
      </c>
      <c r="D4632" s="0" t="n">
        <v>7</v>
      </c>
      <c r="E4632" s="38" t="n">
        <v>57534.54</v>
      </c>
    </row>
    <row r="4633" customFormat="false" ht="15" hidden="false" customHeight="false" outlineLevel="0" collapsed="false">
      <c r="A4633" s="0" t="n">
        <v>59</v>
      </c>
      <c r="B4633" s="0" t="s">
        <v>60</v>
      </c>
      <c r="C4633" s="0" t="n">
        <v>2011</v>
      </c>
      <c r="D4633" s="0" t="n">
        <v>8</v>
      </c>
      <c r="E4633" s="38" t="n">
        <v>52664.7</v>
      </c>
    </row>
    <row r="4634" customFormat="false" ht="15" hidden="false" customHeight="false" outlineLevel="0" collapsed="false">
      <c r="A4634" s="0" t="n">
        <v>59</v>
      </c>
      <c r="B4634" s="0" t="s">
        <v>60</v>
      </c>
      <c r="C4634" s="0" t="n">
        <v>2011</v>
      </c>
      <c r="D4634" s="0" t="n">
        <v>9</v>
      </c>
      <c r="E4634" s="38" t="n">
        <v>59887.77</v>
      </c>
    </row>
    <row r="4635" customFormat="false" ht="15" hidden="false" customHeight="false" outlineLevel="0" collapsed="false">
      <c r="A4635" s="0" t="n">
        <v>59</v>
      </c>
      <c r="B4635" s="0" t="s">
        <v>60</v>
      </c>
      <c r="C4635" s="0" t="n">
        <v>2011</v>
      </c>
      <c r="D4635" s="0" t="n">
        <v>10</v>
      </c>
      <c r="E4635" s="38" t="n">
        <v>182057.38</v>
      </c>
    </row>
    <row r="4636" customFormat="false" ht="15" hidden="false" customHeight="false" outlineLevel="0" collapsed="false">
      <c r="A4636" s="0" t="n">
        <v>59</v>
      </c>
      <c r="B4636" s="0" t="s">
        <v>60</v>
      </c>
      <c r="C4636" s="0" t="n">
        <v>2011</v>
      </c>
      <c r="D4636" s="0" t="n">
        <v>11</v>
      </c>
      <c r="E4636" s="38" t="n">
        <v>758560.44</v>
      </c>
    </row>
    <row r="4637" customFormat="false" ht="15" hidden="false" customHeight="false" outlineLevel="0" collapsed="false">
      <c r="A4637" s="0" t="n">
        <v>59</v>
      </c>
      <c r="B4637" s="0" t="s">
        <v>60</v>
      </c>
      <c r="C4637" s="0" t="n">
        <v>2011</v>
      </c>
      <c r="D4637" s="0" t="n">
        <v>12</v>
      </c>
      <c r="E4637" s="38" t="n">
        <v>73272.82</v>
      </c>
    </row>
    <row r="4638" customFormat="false" ht="15" hidden="false" customHeight="false" outlineLevel="0" collapsed="false">
      <c r="A4638" s="0" t="n">
        <v>59</v>
      </c>
      <c r="B4638" s="0" t="s">
        <v>60</v>
      </c>
      <c r="C4638" s="0" t="n">
        <v>2012</v>
      </c>
      <c r="D4638" s="0" t="n">
        <v>1</v>
      </c>
      <c r="E4638" s="38" t="n">
        <v>45297.55</v>
      </c>
    </row>
    <row r="4639" customFormat="false" ht="15" hidden="false" customHeight="false" outlineLevel="0" collapsed="false">
      <c r="A4639" s="0" t="n">
        <v>59</v>
      </c>
      <c r="B4639" s="0" t="s">
        <v>60</v>
      </c>
      <c r="C4639" s="0" t="n">
        <v>2012</v>
      </c>
      <c r="D4639" s="0" t="n">
        <v>2</v>
      </c>
      <c r="E4639" s="38" t="n">
        <v>43420.88</v>
      </c>
    </row>
    <row r="4640" customFormat="false" ht="15" hidden="false" customHeight="false" outlineLevel="0" collapsed="false">
      <c r="A4640" s="0" t="n">
        <v>59</v>
      </c>
      <c r="B4640" s="0" t="s">
        <v>60</v>
      </c>
      <c r="C4640" s="0" t="n">
        <v>2012</v>
      </c>
      <c r="D4640" s="0" t="n">
        <v>3</v>
      </c>
      <c r="E4640" s="38" t="n">
        <v>38860.08</v>
      </c>
    </row>
    <row r="4641" customFormat="false" ht="15" hidden="false" customHeight="false" outlineLevel="0" collapsed="false">
      <c r="A4641" s="0" t="n">
        <v>59</v>
      </c>
      <c r="B4641" s="0" t="s">
        <v>60</v>
      </c>
      <c r="C4641" s="0" t="n">
        <v>2012</v>
      </c>
      <c r="D4641" s="0" t="n">
        <v>4</v>
      </c>
      <c r="E4641" s="38" t="n">
        <v>31631.88</v>
      </c>
    </row>
    <row r="4642" customFormat="false" ht="15" hidden="false" customHeight="false" outlineLevel="0" collapsed="false">
      <c r="A4642" s="0" t="n">
        <v>59</v>
      </c>
      <c r="B4642" s="0" t="s">
        <v>60</v>
      </c>
      <c r="C4642" s="0" t="n">
        <v>2012</v>
      </c>
      <c r="D4642" s="0" t="n">
        <v>5</v>
      </c>
      <c r="E4642" s="38" t="n">
        <v>26366.66</v>
      </c>
    </row>
    <row r="4643" customFormat="false" ht="15" hidden="false" customHeight="false" outlineLevel="0" collapsed="false">
      <c r="A4643" s="0" t="n">
        <v>59</v>
      </c>
      <c r="B4643" s="0" t="s">
        <v>60</v>
      </c>
      <c r="C4643" s="0" t="n">
        <v>2012</v>
      </c>
      <c r="D4643" s="0" t="n">
        <v>6</v>
      </c>
      <c r="E4643" s="38" t="n">
        <v>28880.55</v>
      </c>
    </row>
    <row r="4644" customFormat="false" ht="15" hidden="false" customHeight="false" outlineLevel="0" collapsed="false">
      <c r="A4644" s="0" t="n">
        <v>59</v>
      </c>
      <c r="B4644" s="0" t="s">
        <v>60</v>
      </c>
      <c r="C4644" s="0" t="n">
        <v>2012</v>
      </c>
      <c r="D4644" s="0" t="n">
        <v>7</v>
      </c>
      <c r="E4644" s="38" t="n">
        <v>32808.01</v>
      </c>
    </row>
    <row r="4645" customFormat="false" ht="15" hidden="false" customHeight="false" outlineLevel="0" collapsed="false">
      <c r="A4645" s="0" t="n">
        <v>59</v>
      </c>
      <c r="B4645" s="0" t="s">
        <v>60</v>
      </c>
      <c r="C4645" s="0" t="n">
        <v>2012</v>
      </c>
      <c r="D4645" s="0" t="n">
        <v>8</v>
      </c>
      <c r="E4645" s="38" t="n">
        <v>28635.06</v>
      </c>
    </row>
    <row r="4646" customFormat="false" ht="15" hidden="false" customHeight="false" outlineLevel="0" collapsed="false">
      <c r="A4646" s="0" t="n">
        <v>59</v>
      </c>
      <c r="B4646" s="0" t="s">
        <v>60</v>
      </c>
      <c r="C4646" s="0" t="n">
        <v>2012</v>
      </c>
      <c r="D4646" s="0" t="n">
        <v>9</v>
      </c>
      <c r="E4646" s="38" t="n">
        <v>29291.39</v>
      </c>
    </row>
    <row r="4647" customFormat="false" ht="15" hidden="false" customHeight="false" outlineLevel="0" collapsed="false">
      <c r="A4647" s="0" t="n">
        <v>59</v>
      </c>
      <c r="B4647" s="0" t="s">
        <v>60</v>
      </c>
      <c r="C4647" s="0" t="n">
        <v>2012</v>
      </c>
      <c r="D4647" s="0" t="n">
        <v>10</v>
      </c>
      <c r="E4647" s="38" t="n">
        <v>78612.43</v>
      </c>
    </row>
    <row r="4648" customFormat="false" ht="15" hidden="false" customHeight="false" outlineLevel="0" collapsed="false">
      <c r="A4648" s="0" t="n">
        <v>59</v>
      </c>
      <c r="B4648" s="0" t="s">
        <v>60</v>
      </c>
      <c r="C4648" s="0" t="n">
        <v>2012</v>
      </c>
      <c r="D4648" s="0" t="n">
        <v>11</v>
      </c>
      <c r="E4648" s="38" t="n">
        <v>348553.5</v>
      </c>
    </row>
    <row r="4649" customFormat="false" ht="15" hidden="false" customHeight="false" outlineLevel="0" collapsed="false">
      <c r="A4649" s="0" t="n">
        <v>59</v>
      </c>
      <c r="B4649" s="0" t="s">
        <v>60</v>
      </c>
      <c r="C4649" s="0" t="n">
        <v>2012</v>
      </c>
      <c r="D4649" s="0" t="n">
        <v>12</v>
      </c>
      <c r="E4649" s="38" t="n">
        <v>32372.46</v>
      </c>
    </row>
    <row r="4650" customFormat="false" ht="15" hidden="false" customHeight="false" outlineLevel="0" collapsed="false">
      <c r="A4650" s="0" t="n">
        <v>59</v>
      </c>
      <c r="B4650" s="0" t="s">
        <v>60</v>
      </c>
      <c r="C4650" s="0" t="n">
        <v>2013</v>
      </c>
      <c r="D4650" s="0" t="n">
        <v>1</v>
      </c>
      <c r="E4650" s="38" t="n">
        <v>29496.61</v>
      </c>
    </row>
    <row r="4651" customFormat="false" ht="15" hidden="false" customHeight="false" outlineLevel="0" collapsed="false">
      <c r="A4651" s="0" t="n">
        <v>59</v>
      </c>
      <c r="B4651" s="0" t="s">
        <v>60</v>
      </c>
      <c r="C4651" s="0" t="n">
        <v>2013</v>
      </c>
      <c r="D4651" s="0" t="n">
        <v>2</v>
      </c>
      <c r="E4651" s="38" t="n">
        <v>27989.23</v>
      </c>
    </row>
    <row r="4652" customFormat="false" ht="15" hidden="false" customHeight="false" outlineLevel="0" collapsed="false">
      <c r="A4652" s="0" t="n">
        <v>59</v>
      </c>
      <c r="B4652" s="0" t="s">
        <v>60</v>
      </c>
      <c r="C4652" s="0" t="n">
        <v>2013</v>
      </c>
      <c r="D4652" s="0" t="n">
        <v>3</v>
      </c>
      <c r="E4652" s="38" t="n">
        <v>26576.03</v>
      </c>
    </row>
    <row r="4653" customFormat="false" ht="15" hidden="false" customHeight="false" outlineLevel="0" collapsed="false">
      <c r="A4653" s="0" t="n">
        <v>59</v>
      </c>
      <c r="B4653" s="0" t="s">
        <v>60</v>
      </c>
      <c r="C4653" s="0" t="n">
        <v>2013</v>
      </c>
      <c r="D4653" s="0" t="n">
        <v>4</v>
      </c>
      <c r="E4653" s="38" t="n">
        <v>24599.71</v>
      </c>
    </row>
    <row r="4654" customFormat="false" ht="15" hidden="false" customHeight="false" outlineLevel="0" collapsed="false">
      <c r="A4654" s="0" t="n">
        <v>59</v>
      </c>
      <c r="B4654" s="0" t="s">
        <v>60</v>
      </c>
      <c r="C4654" s="0" t="n">
        <v>2013</v>
      </c>
      <c r="D4654" s="0" t="n">
        <v>5</v>
      </c>
      <c r="E4654" s="38" t="n">
        <v>22732.74</v>
      </c>
    </row>
    <row r="4655" customFormat="false" ht="15" hidden="false" customHeight="false" outlineLevel="0" collapsed="false">
      <c r="A4655" s="0" t="n">
        <v>59</v>
      </c>
      <c r="B4655" s="0" t="s">
        <v>60</v>
      </c>
      <c r="C4655" s="0" t="n">
        <v>2013</v>
      </c>
      <c r="D4655" s="0" t="n">
        <v>6</v>
      </c>
      <c r="E4655" s="38" t="n">
        <v>22285.36</v>
      </c>
    </row>
    <row r="4656" customFormat="false" ht="15" hidden="false" customHeight="false" outlineLevel="0" collapsed="false">
      <c r="A4656" s="0" t="n">
        <v>59</v>
      </c>
      <c r="B4656" s="0" t="s">
        <v>60</v>
      </c>
      <c r="C4656" s="0" t="n">
        <v>2013</v>
      </c>
      <c r="D4656" s="0" t="n">
        <v>7</v>
      </c>
      <c r="E4656" s="38" t="n">
        <v>24283.43</v>
      </c>
    </row>
    <row r="4657" customFormat="false" ht="15" hidden="false" customHeight="false" outlineLevel="0" collapsed="false">
      <c r="A4657" s="0" t="n">
        <v>59</v>
      </c>
      <c r="B4657" s="0" t="s">
        <v>60</v>
      </c>
      <c r="C4657" s="0" t="n">
        <v>2013</v>
      </c>
      <c r="D4657" s="0" t="n">
        <v>8</v>
      </c>
      <c r="E4657" s="38" t="n">
        <v>21496.55</v>
      </c>
    </row>
    <row r="4658" customFormat="false" ht="15" hidden="false" customHeight="false" outlineLevel="0" collapsed="false">
      <c r="A4658" s="0" t="n">
        <v>59</v>
      </c>
      <c r="B4658" s="0" t="s">
        <v>62</v>
      </c>
      <c r="C4658" s="0" t="n">
        <v>2011</v>
      </c>
      <c r="D4658" s="0" t="n">
        <v>1</v>
      </c>
      <c r="E4658" s="38" t="n">
        <v>51198.18</v>
      </c>
    </row>
    <row r="4659" customFormat="false" ht="15" hidden="false" customHeight="false" outlineLevel="0" collapsed="false">
      <c r="A4659" s="0" t="n">
        <v>59</v>
      </c>
      <c r="B4659" s="0" t="s">
        <v>62</v>
      </c>
      <c r="C4659" s="0" t="n">
        <v>2011</v>
      </c>
      <c r="D4659" s="0" t="n">
        <v>2</v>
      </c>
      <c r="E4659" s="38" t="n">
        <v>49284.89</v>
      </c>
    </row>
    <row r="4660" customFormat="false" ht="15" hidden="false" customHeight="false" outlineLevel="0" collapsed="false">
      <c r="A4660" s="0" t="n">
        <v>59</v>
      </c>
      <c r="B4660" s="0" t="s">
        <v>62</v>
      </c>
      <c r="C4660" s="0" t="n">
        <v>2011</v>
      </c>
      <c r="D4660" s="0" t="n">
        <v>3</v>
      </c>
      <c r="E4660" s="38" t="n">
        <v>44215.42</v>
      </c>
    </row>
    <row r="4661" customFormat="false" ht="15" hidden="false" customHeight="false" outlineLevel="0" collapsed="false">
      <c r="A4661" s="0" t="n">
        <v>59</v>
      </c>
      <c r="B4661" s="0" t="s">
        <v>62</v>
      </c>
      <c r="C4661" s="0" t="n">
        <v>2011</v>
      </c>
      <c r="D4661" s="0" t="n">
        <v>4</v>
      </c>
      <c r="E4661" s="38" t="n">
        <v>42904.08</v>
      </c>
    </row>
    <row r="4662" customFormat="false" ht="15" hidden="false" customHeight="false" outlineLevel="0" collapsed="false">
      <c r="A4662" s="0" t="n">
        <v>59</v>
      </c>
      <c r="B4662" s="0" t="s">
        <v>62</v>
      </c>
      <c r="C4662" s="0" t="n">
        <v>2011</v>
      </c>
      <c r="D4662" s="0" t="n">
        <v>5</v>
      </c>
      <c r="E4662" s="38" t="n">
        <v>38284.76</v>
      </c>
    </row>
    <row r="4663" customFormat="false" ht="15" hidden="false" customHeight="false" outlineLevel="0" collapsed="false">
      <c r="A4663" s="0" t="n">
        <v>59</v>
      </c>
      <c r="B4663" s="0" t="s">
        <v>62</v>
      </c>
      <c r="C4663" s="0" t="n">
        <v>2011</v>
      </c>
      <c r="D4663" s="0" t="n">
        <v>6</v>
      </c>
      <c r="E4663" s="38" t="n">
        <v>37352.68</v>
      </c>
    </row>
    <row r="4664" customFormat="false" ht="15" hidden="false" customHeight="false" outlineLevel="0" collapsed="false">
      <c r="A4664" s="0" t="n">
        <v>59</v>
      </c>
      <c r="B4664" s="0" t="s">
        <v>62</v>
      </c>
      <c r="C4664" s="0" t="n">
        <v>2011</v>
      </c>
      <c r="D4664" s="0" t="n">
        <v>7</v>
      </c>
      <c r="E4664" s="38" t="n">
        <v>36835.87</v>
      </c>
    </row>
    <row r="4665" customFormat="false" ht="15" hidden="false" customHeight="false" outlineLevel="0" collapsed="false">
      <c r="A4665" s="0" t="n">
        <v>59</v>
      </c>
      <c r="B4665" s="0" t="s">
        <v>62</v>
      </c>
      <c r="C4665" s="0" t="n">
        <v>2011</v>
      </c>
      <c r="D4665" s="0" t="n">
        <v>8</v>
      </c>
      <c r="E4665" s="38" t="n">
        <v>32075.74</v>
      </c>
    </row>
    <row r="4666" customFormat="false" ht="15" hidden="false" customHeight="false" outlineLevel="0" collapsed="false">
      <c r="A4666" s="0" t="n">
        <v>59</v>
      </c>
      <c r="B4666" s="0" t="s">
        <v>62</v>
      </c>
      <c r="C4666" s="0" t="n">
        <v>2011</v>
      </c>
      <c r="D4666" s="0" t="n">
        <v>9</v>
      </c>
      <c r="E4666" s="38" t="n">
        <v>36471.57</v>
      </c>
    </row>
    <row r="4667" customFormat="false" ht="15" hidden="false" customHeight="false" outlineLevel="0" collapsed="false">
      <c r="A4667" s="0" t="n">
        <v>59</v>
      </c>
      <c r="B4667" s="0" t="s">
        <v>62</v>
      </c>
      <c r="C4667" s="0" t="n">
        <v>2011</v>
      </c>
      <c r="D4667" s="0" t="n">
        <v>10</v>
      </c>
      <c r="E4667" s="38" t="n">
        <v>101530.66</v>
      </c>
    </row>
    <row r="4668" customFormat="false" ht="15" hidden="false" customHeight="false" outlineLevel="0" collapsed="false">
      <c r="A4668" s="0" t="n">
        <v>59</v>
      </c>
      <c r="B4668" s="0" t="s">
        <v>62</v>
      </c>
      <c r="C4668" s="0" t="n">
        <v>2011</v>
      </c>
      <c r="D4668" s="0" t="n">
        <v>11</v>
      </c>
      <c r="E4668" s="38" t="n">
        <v>494919.49</v>
      </c>
    </row>
    <row r="4669" customFormat="false" ht="15" hidden="false" customHeight="false" outlineLevel="0" collapsed="false">
      <c r="A4669" s="0" t="n">
        <v>59</v>
      </c>
      <c r="B4669" s="0" t="s">
        <v>62</v>
      </c>
      <c r="C4669" s="0" t="n">
        <v>2011</v>
      </c>
      <c r="D4669" s="0" t="n">
        <v>12</v>
      </c>
      <c r="E4669" s="38" t="n">
        <v>44982.34</v>
      </c>
    </row>
    <row r="4670" customFormat="false" ht="15" hidden="false" customHeight="false" outlineLevel="0" collapsed="false">
      <c r="A4670" s="0" t="n">
        <v>59</v>
      </c>
      <c r="B4670" s="0" t="s">
        <v>62</v>
      </c>
      <c r="C4670" s="0" t="n">
        <v>2012</v>
      </c>
      <c r="D4670" s="0" t="n">
        <v>1</v>
      </c>
      <c r="E4670" s="38" t="n">
        <v>25010.39</v>
      </c>
    </row>
    <row r="4671" customFormat="false" ht="15" hidden="false" customHeight="false" outlineLevel="0" collapsed="false">
      <c r="A4671" s="0" t="n">
        <v>59</v>
      </c>
      <c r="B4671" s="0" t="s">
        <v>62</v>
      </c>
      <c r="C4671" s="0" t="n">
        <v>2012</v>
      </c>
      <c r="D4671" s="0" t="n">
        <v>2</v>
      </c>
      <c r="E4671" s="38" t="n">
        <v>24368.07</v>
      </c>
    </row>
    <row r="4672" customFormat="false" ht="15" hidden="false" customHeight="false" outlineLevel="0" collapsed="false">
      <c r="A4672" s="0" t="n">
        <v>59</v>
      </c>
      <c r="B4672" s="0" t="s">
        <v>62</v>
      </c>
      <c r="C4672" s="0" t="n">
        <v>2012</v>
      </c>
      <c r="D4672" s="0" t="n">
        <v>3</v>
      </c>
      <c r="E4672" s="38" t="n">
        <v>20614.2</v>
      </c>
    </row>
    <row r="4673" customFormat="false" ht="15" hidden="false" customHeight="false" outlineLevel="0" collapsed="false">
      <c r="A4673" s="0" t="n">
        <v>59</v>
      </c>
      <c r="B4673" s="0" t="s">
        <v>62</v>
      </c>
      <c r="C4673" s="0" t="n">
        <v>2012</v>
      </c>
      <c r="D4673" s="0" t="n">
        <v>4</v>
      </c>
      <c r="E4673" s="38" t="n">
        <v>17728.18</v>
      </c>
    </row>
    <row r="4674" customFormat="false" ht="15" hidden="false" customHeight="false" outlineLevel="0" collapsed="false">
      <c r="A4674" s="0" t="n">
        <v>59</v>
      </c>
      <c r="B4674" s="0" t="s">
        <v>62</v>
      </c>
      <c r="C4674" s="0" t="n">
        <v>2012</v>
      </c>
      <c r="D4674" s="0" t="n">
        <v>5</v>
      </c>
      <c r="E4674" s="38" t="n">
        <v>14674.14</v>
      </c>
    </row>
    <row r="4675" customFormat="false" ht="15" hidden="false" customHeight="false" outlineLevel="0" collapsed="false">
      <c r="A4675" s="0" t="n">
        <v>59</v>
      </c>
      <c r="B4675" s="0" t="s">
        <v>62</v>
      </c>
      <c r="C4675" s="0" t="n">
        <v>2012</v>
      </c>
      <c r="D4675" s="0" t="n">
        <v>6</v>
      </c>
      <c r="E4675" s="38" t="n">
        <v>15677.92</v>
      </c>
    </row>
    <row r="4676" customFormat="false" ht="15" hidden="false" customHeight="false" outlineLevel="0" collapsed="false">
      <c r="A4676" s="0" t="n">
        <v>59</v>
      </c>
      <c r="B4676" s="0" t="s">
        <v>62</v>
      </c>
      <c r="C4676" s="0" t="n">
        <v>2012</v>
      </c>
      <c r="D4676" s="0" t="n">
        <v>7</v>
      </c>
      <c r="E4676" s="38" t="n">
        <v>17619.91</v>
      </c>
    </row>
    <row r="4677" customFormat="false" ht="15" hidden="false" customHeight="false" outlineLevel="0" collapsed="false">
      <c r="A4677" s="0" t="n">
        <v>59</v>
      </c>
      <c r="B4677" s="0" t="s">
        <v>62</v>
      </c>
      <c r="C4677" s="0" t="n">
        <v>2012</v>
      </c>
      <c r="D4677" s="0" t="n">
        <v>8</v>
      </c>
      <c r="E4677" s="38" t="n">
        <v>16012.45</v>
      </c>
    </row>
    <row r="4678" customFormat="false" ht="15" hidden="false" customHeight="false" outlineLevel="0" collapsed="false">
      <c r="A4678" s="0" t="n">
        <v>59</v>
      </c>
      <c r="B4678" s="0" t="s">
        <v>62</v>
      </c>
      <c r="C4678" s="0" t="n">
        <v>2012</v>
      </c>
      <c r="D4678" s="0" t="n">
        <v>9</v>
      </c>
      <c r="E4678" s="38" t="n">
        <v>17985.86</v>
      </c>
    </row>
    <row r="4679" customFormat="false" ht="15" hidden="false" customHeight="false" outlineLevel="0" collapsed="false">
      <c r="A4679" s="0" t="n">
        <v>59</v>
      </c>
      <c r="B4679" s="0" t="s">
        <v>62</v>
      </c>
      <c r="C4679" s="0" t="n">
        <v>2012</v>
      </c>
      <c r="D4679" s="0" t="n">
        <v>10</v>
      </c>
      <c r="E4679" s="38" t="n">
        <v>43564</v>
      </c>
    </row>
    <row r="4680" customFormat="false" ht="15" hidden="false" customHeight="false" outlineLevel="0" collapsed="false">
      <c r="A4680" s="0" t="n">
        <v>59</v>
      </c>
      <c r="B4680" s="0" t="s">
        <v>62</v>
      </c>
      <c r="C4680" s="0" t="n">
        <v>2012</v>
      </c>
      <c r="D4680" s="0" t="n">
        <v>11</v>
      </c>
      <c r="E4680" s="38" t="n">
        <v>225505.71</v>
      </c>
    </row>
    <row r="4681" customFormat="false" ht="15" hidden="false" customHeight="false" outlineLevel="0" collapsed="false">
      <c r="A4681" s="0" t="n">
        <v>59</v>
      </c>
      <c r="B4681" s="0" t="s">
        <v>62</v>
      </c>
      <c r="C4681" s="0" t="n">
        <v>2012</v>
      </c>
      <c r="D4681" s="0" t="n">
        <v>12</v>
      </c>
      <c r="E4681" s="38" t="n">
        <v>18430.54</v>
      </c>
    </row>
    <row r="4682" customFormat="false" ht="15" hidden="false" customHeight="false" outlineLevel="0" collapsed="false">
      <c r="A4682" s="0" t="n">
        <v>59</v>
      </c>
      <c r="B4682" s="0" t="s">
        <v>62</v>
      </c>
      <c r="C4682" s="0" t="n">
        <v>2013</v>
      </c>
      <c r="D4682" s="0" t="n">
        <v>1</v>
      </c>
      <c r="E4682" s="38" t="n">
        <v>14517.16</v>
      </c>
    </row>
    <row r="4683" customFormat="false" ht="15" hidden="false" customHeight="false" outlineLevel="0" collapsed="false">
      <c r="A4683" s="0" t="n">
        <v>59</v>
      </c>
      <c r="B4683" s="0" t="s">
        <v>62</v>
      </c>
      <c r="C4683" s="0" t="n">
        <v>2013</v>
      </c>
      <c r="D4683" s="0" t="n">
        <v>2</v>
      </c>
      <c r="E4683" s="38" t="n">
        <v>14844.69</v>
      </c>
    </row>
    <row r="4684" customFormat="false" ht="15" hidden="false" customHeight="false" outlineLevel="0" collapsed="false">
      <c r="A4684" s="0" t="n">
        <v>59</v>
      </c>
      <c r="B4684" s="0" t="s">
        <v>62</v>
      </c>
      <c r="C4684" s="0" t="n">
        <v>2013</v>
      </c>
      <c r="D4684" s="0" t="n">
        <v>3</v>
      </c>
      <c r="E4684" s="38" t="n">
        <v>12903.16</v>
      </c>
    </row>
    <row r="4685" customFormat="false" ht="15" hidden="false" customHeight="false" outlineLevel="0" collapsed="false">
      <c r="A4685" s="0" t="n">
        <v>59</v>
      </c>
      <c r="B4685" s="0" t="s">
        <v>62</v>
      </c>
      <c r="C4685" s="0" t="n">
        <v>2013</v>
      </c>
      <c r="D4685" s="0" t="n">
        <v>4</v>
      </c>
      <c r="E4685" s="38" t="n">
        <v>12253.62</v>
      </c>
    </row>
    <row r="4686" customFormat="false" ht="15" hidden="false" customHeight="false" outlineLevel="0" collapsed="false">
      <c r="A4686" s="0" t="n">
        <v>59</v>
      </c>
      <c r="B4686" s="0" t="s">
        <v>62</v>
      </c>
      <c r="C4686" s="0" t="n">
        <v>2013</v>
      </c>
      <c r="D4686" s="0" t="n">
        <v>5</v>
      </c>
      <c r="E4686" s="38" t="n">
        <v>11168.03</v>
      </c>
    </row>
    <row r="4687" customFormat="false" ht="15" hidden="false" customHeight="false" outlineLevel="0" collapsed="false">
      <c r="A4687" s="0" t="n">
        <v>59</v>
      </c>
      <c r="B4687" s="0" t="s">
        <v>62</v>
      </c>
      <c r="C4687" s="0" t="n">
        <v>2013</v>
      </c>
      <c r="D4687" s="0" t="n">
        <v>6</v>
      </c>
      <c r="E4687" s="38" t="n">
        <v>11177.9</v>
      </c>
    </row>
    <row r="4688" customFormat="false" ht="15" hidden="false" customHeight="false" outlineLevel="0" collapsed="false">
      <c r="A4688" s="0" t="n">
        <v>59</v>
      </c>
      <c r="B4688" s="0" t="s">
        <v>62</v>
      </c>
      <c r="C4688" s="0" t="n">
        <v>2013</v>
      </c>
      <c r="D4688" s="0" t="n">
        <v>7</v>
      </c>
      <c r="E4688" s="38" t="n">
        <v>12633.61</v>
      </c>
    </row>
    <row r="4689" customFormat="false" ht="15" hidden="false" customHeight="false" outlineLevel="0" collapsed="false">
      <c r="A4689" s="0" t="n">
        <v>59</v>
      </c>
      <c r="B4689" s="0" t="s">
        <v>62</v>
      </c>
      <c r="C4689" s="0" t="n">
        <v>2013</v>
      </c>
      <c r="D4689" s="0" t="n">
        <v>8</v>
      </c>
      <c r="E4689" s="38" t="n">
        <v>10820.93</v>
      </c>
    </row>
    <row r="4690" customFormat="false" ht="15" hidden="false" customHeight="false" outlineLevel="0" collapsed="false">
      <c r="A4690" s="0" t="n">
        <v>59</v>
      </c>
      <c r="B4690" s="0" t="s">
        <v>64</v>
      </c>
      <c r="C4690" s="0" t="n">
        <v>2011</v>
      </c>
      <c r="D4690" s="0" t="n">
        <v>1</v>
      </c>
      <c r="E4690" s="38" t="n">
        <v>5108.17</v>
      </c>
    </row>
    <row r="4691" customFormat="false" ht="15" hidden="false" customHeight="false" outlineLevel="0" collapsed="false">
      <c r="A4691" s="0" t="n">
        <v>59</v>
      </c>
      <c r="B4691" s="0" t="s">
        <v>64</v>
      </c>
      <c r="C4691" s="0" t="n">
        <v>2011</v>
      </c>
      <c r="D4691" s="0" t="n">
        <v>2</v>
      </c>
      <c r="E4691" s="38" t="n">
        <v>5028.1</v>
      </c>
    </row>
    <row r="4692" customFormat="false" ht="15" hidden="false" customHeight="false" outlineLevel="0" collapsed="false">
      <c r="A4692" s="0" t="n">
        <v>59</v>
      </c>
      <c r="B4692" s="0" t="s">
        <v>64</v>
      </c>
      <c r="C4692" s="0" t="n">
        <v>2011</v>
      </c>
      <c r="D4692" s="0" t="n">
        <v>3</v>
      </c>
      <c r="E4692" s="38" t="n">
        <v>3885.16</v>
      </c>
    </row>
    <row r="4693" customFormat="false" ht="15" hidden="false" customHeight="false" outlineLevel="0" collapsed="false">
      <c r="A4693" s="0" t="n">
        <v>59</v>
      </c>
      <c r="B4693" s="0" t="s">
        <v>64</v>
      </c>
      <c r="C4693" s="0" t="n">
        <v>2011</v>
      </c>
      <c r="D4693" s="0" t="n">
        <v>4</v>
      </c>
      <c r="E4693" s="38" t="n">
        <v>3598.07</v>
      </c>
    </row>
    <row r="4694" customFormat="false" ht="15" hidden="false" customHeight="false" outlineLevel="0" collapsed="false">
      <c r="A4694" s="0" t="n">
        <v>59</v>
      </c>
      <c r="B4694" s="0" t="s">
        <v>64</v>
      </c>
      <c r="C4694" s="0" t="n">
        <v>2011</v>
      </c>
      <c r="D4694" s="0" t="n">
        <v>5</v>
      </c>
      <c r="E4694" s="38" t="n">
        <v>2935.36</v>
      </c>
    </row>
    <row r="4695" customFormat="false" ht="15" hidden="false" customHeight="false" outlineLevel="0" collapsed="false">
      <c r="A4695" s="0" t="n">
        <v>59</v>
      </c>
      <c r="B4695" s="0" t="s">
        <v>64</v>
      </c>
      <c r="C4695" s="0" t="n">
        <v>2011</v>
      </c>
      <c r="D4695" s="0" t="n">
        <v>6</v>
      </c>
      <c r="E4695" s="38" t="n">
        <v>3237.59</v>
      </c>
    </row>
    <row r="4696" customFormat="false" ht="15" hidden="false" customHeight="false" outlineLevel="0" collapsed="false">
      <c r="A4696" s="0" t="n">
        <v>59</v>
      </c>
      <c r="B4696" s="0" t="s">
        <v>64</v>
      </c>
      <c r="C4696" s="0" t="n">
        <v>2011</v>
      </c>
      <c r="D4696" s="0" t="n">
        <v>7</v>
      </c>
      <c r="E4696" s="38" t="n">
        <v>3373.31</v>
      </c>
    </row>
    <row r="4697" customFormat="false" ht="15" hidden="false" customHeight="false" outlineLevel="0" collapsed="false">
      <c r="A4697" s="0" t="n">
        <v>59</v>
      </c>
      <c r="B4697" s="0" t="s">
        <v>64</v>
      </c>
      <c r="C4697" s="0" t="n">
        <v>2011</v>
      </c>
      <c r="D4697" s="0" t="n">
        <v>8</v>
      </c>
      <c r="E4697" s="38" t="n">
        <v>3018.98</v>
      </c>
    </row>
    <row r="4698" customFormat="false" ht="15" hidden="false" customHeight="false" outlineLevel="0" collapsed="false">
      <c r="A4698" s="0" t="n">
        <v>59</v>
      </c>
      <c r="B4698" s="0" t="s">
        <v>64</v>
      </c>
      <c r="C4698" s="0" t="n">
        <v>2011</v>
      </c>
      <c r="D4698" s="0" t="n">
        <v>9</v>
      </c>
      <c r="E4698" s="38" t="n">
        <v>3657.25</v>
      </c>
    </row>
    <row r="4699" customFormat="false" ht="15" hidden="false" customHeight="false" outlineLevel="0" collapsed="false">
      <c r="A4699" s="0" t="n">
        <v>59</v>
      </c>
      <c r="B4699" s="0" t="s">
        <v>64</v>
      </c>
      <c r="C4699" s="0" t="n">
        <v>2011</v>
      </c>
      <c r="D4699" s="0" t="n">
        <v>10</v>
      </c>
      <c r="E4699" s="38" t="n">
        <v>3035.16</v>
      </c>
    </row>
    <row r="4700" customFormat="false" ht="15" hidden="false" customHeight="false" outlineLevel="0" collapsed="false">
      <c r="A4700" s="0" t="n">
        <v>59</v>
      </c>
      <c r="B4700" s="0" t="s">
        <v>64</v>
      </c>
      <c r="C4700" s="0" t="n">
        <v>2011</v>
      </c>
      <c r="D4700" s="0" t="n">
        <v>11</v>
      </c>
      <c r="E4700" s="38" t="n">
        <v>2928.58</v>
      </c>
    </row>
    <row r="4701" customFormat="false" ht="15" hidden="false" customHeight="false" outlineLevel="0" collapsed="false">
      <c r="A4701" s="0" t="n">
        <v>59</v>
      </c>
      <c r="B4701" s="0" t="s">
        <v>64</v>
      </c>
      <c r="C4701" s="0" t="n">
        <v>2011</v>
      </c>
      <c r="D4701" s="0" t="n">
        <v>12</v>
      </c>
      <c r="E4701" s="38" t="n">
        <v>3133.16</v>
      </c>
    </row>
    <row r="4702" customFormat="false" ht="15" hidden="false" customHeight="false" outlineLevel="0" collapsed="false">
      <c r="A4702" s="0" t="n">
        <v>59</v>
      </c>
      <c r="B4702" s="0" t="s">
        <v>64</v>
      </c>
      <c r="C4702" s="0" t="n">
        <v>2012</v>
      </c>
      <c r="D4702" s="0" t="n">
        <v>1</v>
      </c>
      <c r="E4702" s="38" t="n">
        <v>2695.59</v>
      </c>
    </row>
    <row r="4703" customFormat="false" ht="15" hidden="false" customHeight="false" outlineLevel="0" collapsed="false">
      <c r="A4703" s="0" t="n">
        <v>59</v>
      </c>
      <c r="B4703" s="0" t="s">
        <v>64</v>
      </c>
      <c r="C4703" s="0" t="n">
        <v>2012</v>
      </c>
      <c r="D4703" s="0" t="n">
        <v>2</v>
      </c>
      <c r="E4703" s="38" t="n">
        <v>2865.45</v>
      </c>
    </row>
    <row r="4704" customFormat="false" ht="15" hidden="false" customHeight="false" outlineLevel="0" collapsed="false">
      <c r="A4704" s="0" t="n">
        <v>59</v>
      </c>
      <c r="B4704" s="0" t="s">
        <v>64</v>
      </c>
      <c r="C4704" s="0" t="n">
        <v>2012</v>
      </c>
      <c r="D4704" s="0" t="n">
        <v>3</v>
      </c>
      <c r="E4704" s="38" t="n">
        <v>2365.06</v>
      </c>
    </row>
    <row r="4705" customFormat="false" ht="15" hidden="false" customHeight="false" outlineLevel="0" collapsed="false">
      <c r="A4705" s="0" t="n">
        <v>59</v>
      </c>
      <c r="B4705" s="0" t="s">
        <v>64</v>
      </c>
      <c r="C4705" s="0" t="n">
        <v>2012</v>
      </c>
      <c r="D4705" s="0" t="n">
        <v>4</v>
      </c>
      <c r="E4705" s="38" t="n">
        <v>2090.8</v>
      </c>
    </row>
    <row r="4706" customFormat="false" ht="15" hidden="false" customHeight="false" outlineLevel="0" collapsed="false">
      <c r="A4706" s="0" t="n">
        <v>59</v>
      </c>
      <c r="B4706" s="0" t="s">
        <v>64</v>
      </c>
      <c r="C4706" s="0" t="n">
        <v>2012</v>
      </c>
      <c r="D4706" s="0" t="n">
        <v>5</v>
      </c>
      <c r="E4706" s="38" t="n">
        <v>1646.5</v>
      </c>
    </row>
    <row r="4707" customFormat="false" ht="15" hidden="false" customHeight="false" outlineLevel="0" collapsed="false">
      <c r="A4707" s="0" t="n">
        <v>59</v>
      </c>
      <c r="B4707" s="0" t="s">
        <v>64</v>
      </c>
      <c r="C4707" s="0" t="n">
        <v>2012</v>
      </c>
      <c r="D4707" s="0" t="n">
        <v>6</v>
      </c>
      <c r="E4707" s="38" t="n">
        <v>1428.16</v>
      </c>
    </row>
    <row r="4708" customFormat="false" ht="15" hidden="false" customHeight="false" outlineLevel="0" collapsed="false">
      <c r="A4708" s="0" t="n">
        <v>59</v>
      </c>
      <c r="B4708" s="0" t="s">
        <v>64</v>
      </c>
      <c r="C4708" s="0" t="n">
        <v>2012</v>
      </c>
      <c r="D4708" s="0" t="n">
        <v>7</v>
      </c>
      <c r="E4708" s="38" t="n">
        <v>1319.73</v>
      </c>
    </row>
    <row r="4709" customFormat="false" ht="15" hidden="false" customHeight="false" outlineLevel="0" collapsed="false">
      <c r="A4709" s="0" t="n">
        <v>59</v>
      </c>
      <c r="B4709" s="0" t="s">
        <v>64</v>
      </c>
      <c r="C4709" s="0" t="n">
        <v>2012</v>
      </c>
      <c r="D4709" s="0" t="n">
        <v>8</v>
      </c>
      <c r="E4709" s="38" t="n">
        <v>1205.23</v>
      </c>
    </row>
    <row r="4710" customFormat="false" ht="15" hidden="false" customHeight="false" outlineLevel="0" collapsed="false">
      <c r="A4710" s="0" t="n">
        <v>59</v>
      </c>
      <c r="B4710" s="0" t="s">
        <v>64</v>
      </c>
      <c r="C4710" s="0" t="n">
        <v>2012</v>
      </c>
      <c r="D4710" s="0" t="n">
        <v>9</v>
      </c>
      <c r="E4710" s="38" t="n">
        <v>1298.39</v>
      </c>
    </row>
    <row r="4711" customFormat="false" ht="15" hidden="false" customHeight="false" outlineLevel="0" collapsed="false">
      <c r="A4711" s="0" t="n">
        <v>59</v>
      </c>
      <c r="B4711" s="0" t="s">
        <v>64</v>
      </c>
      <c r="C4711" s="0" t="n">
        <v>2012</v>
      </c>
      <c r="D4711" s="0" t="n">
        <v>10</v>
      </c>
      <c r="E4711" s="38" t="n">
        <v>1816.34</v>
      </c>
    </row>
    <row r="4712" customFormat="false" ht="15" hidden="false" customHeight="false" outlineLevel="0" collapsed="false">
      <c r="A4712" s="0" t="n">
        <v>59</v>
      </c>
      <c r="B4712" s="0" t="s">
        <v>64</v>
      </c>
      <c r="C4712" s="0" t="n">
        <v>2012</v>
      </c>
      <c r="D4712" s="0" t="n">
        <v>11</v>
      </c>
      <c r="E4712" s="38" t="n">
        <v>5815.6</v>
      </c>
    </row>
    <row r="4713" customFormat="false" ht="15" hidden="false" customHeight="false" outlineLevel="0" collapsed="false">
      <c r="A4713" s="0" t="n">
        <v>59</v>
      </c>
      <c r="B4713" s="0" t="s">
        <v>64</v>
      </c>
      <c r="C4713" s="0" t="n">
        <v>2012</v>
      </c>
      <c r="D4713" s="0" t="n">
        <v>12</v>
      </c>
      <c r="E4713" s="38" t="n">
        <v>4388.78</v>
      </c>
    </row>
    <row r="4714" customFormat="false" ht="15" hidden="false" customHeight="false" outlineLevel="0" collapsed="false">
      <c r="A4714" s="0" t="n">
        <v>59</v>
      </c>
      <c r="B4714" s="0" t="s">
        <v>64</v>
      </c>
      <c r="C4714" s="0" t="n">
        <v>2013</v>
      </c>
      <c r="D4714" s="0" t="n">
        <v>1</v>
      </c>
      <c r="E4714" s="38" t="n">
        <v>1262.06</v>
      </c>
    </row>
    <row r="4715" customFormat="false" ht="15" hidden="false" customHeight="false" outlineLevel="0" collapsed="false">
      <c r="A4715" s="0" t="n">
        <v>59</v>
      </c>
      <c r="B4715" s="0" t="s">
        <v>64</v>
      </c>
      <c r="C4715" s="0" t="n">
        <v>2013</v>
      </c>
      <c r="D4715" s="0" t="n">
        <v>2</v>
      </c>
      <c r="E4715" s="38" t="n">
        <v>1194.55</v>
      </c>
    </row>
    <row r="4716" customFormat="false" ht="15" hidden="false" customHeight="false" outlineLevel="0" collapsed="false">
      <c r="A4716" s="0" t="n">
        <v>59</v>
      </c>
      <c r="B4716" s="0" t="s">
        <v>64</v>
      </c>
      <c r="C4716" s="0" t="n">
        <v>2013</v>
      </c>
      <c r="D4716" s="0" t="n">
        <v>3</v>
      </c>
      <c r="E4716" s="38" t="n">
        <v>787.9</v>
      </c>
    </row>
    <row r="4717" customFormat="false" ht="15" hidden="false" customHeight="false" outlineLevel="0" collapsed="false">
      <c r="A4717" s="0" t="n">
        <v>59</v>
      </c>
      <c r="B4717" s="0" t="s">
        <v>64</v>
      </c>
      <c r="C4717" s="0" t="n">
        <v>2013</v>
      </c>
      <c r="D4717" s="0" t="n">
        <v>4</v>
      </c>
      <c r="E4717" s="38" t="n">
        <v>811.1</v>
      </c>
    </row>
    <row r="4718" customFormat="false" ht="15" hidden="false" customHeight="false" outlineLevel="0" collapsed="false">
      <c r="A4718" s="0" t="n">
        <v>59</v>
      </c>
      <c r="B4718" s="0" t="s">
        <v>64</v>
      </c>
      <c r="C4718" s="0" t="n">
        <v>2013</v>
      </c>
      <c r="D4718" s="0" t="n">
        <v>5</v>
      </c>
      <c r="E4718" s="38" t="n">
        <v>883.22</v>
      </c>
    </row>
    <row r="4719" customFormat="false" ht="15" hidden="false" customHeight="false" outlineLevel="0" collapsed="false">
      <c r="A4719" s="0" t="n">
        <v>59</v>
      </c>
      <c r="B4719" s="0" t="s">
        <v>64</v>
      </c>
      <c r="C4719" s="0" t="n">
        <v>2013</v>
      </c>
      <c r="D4719" s="0" t="n">
        <v>6</v>
      </c>
      <c r="E4719" s="38" t="n">
        <v>667.94</v>
      </c>
    </row>
    <row r="4720" customFormat="false" ht="15" hidden="false" customHeight="false" outlineLevel="0" collapsed="false">
      <c r="A4720" s="0" t="n">
        <v>59</v>
      </c>
      <c r="B4720" s="0" t="s">
        <v>64</v>
      </c>
      <c r="C4720" s="0" t="n">
        <v>2013</v>
      </c>
      <c r="D4720" s="0" t="n">
        <v>7</v>
      </c>
      <c r="E4720" s="38" t="n">
        <v>1047.59</v>
      </c>
    </row>
    <row r="4721" customFormat="false" ht="15" hidden="false" customHeight="false" outlineLevel="0" collapsed="false">
      <c r="A4721" s="0" t="n">
        <v>59</v>
      </c>
      <c r="B4721" s="0" t="s">
        <v>64</v>
      </c>
      <c r="C4721" s="0" t="n">
        <v>2013</v>
      </c>
      <c r="D4721" s="0" t="n">
        <v>8</v>
      </c>
      <c r="E4721" s="38" t="n">
        <v>812.2</v>
      </c>
    </row>
    <row r="4722" customFormat="false" ht="15" hidden="false" customHeight="false" outlineLevel="0" collapsed="false">
      <c r="A4722" s="0" t="n">
        <v>60</v>
      </c>
      <c r="B4722" s="0" t="s">
        <v>60</v>
      </c>
      <c r="C4722" s="0" t="n">
        <v>2011</v>
      </c>
      <c r="D4722" s="0" t="n">
        <v>1</v>
      </c>
      <c r="E4722" s="38" t="n">
        <v>27764.09</v>
      </c>
    </row>
    <row r="4723" customFormat="false" ht="15" hidden="false" customHeight="false" outlineLevel="0" collapsed="false">
      <c r="A4723" s="0" t="n">
        <v>60</v>
      </c>
      <c r="B4723" s="0" t="s">
        <v>60</v>
      </c>
      <c r="C4723" s="0" t="n">
        <v>2011</v>
      </c>
      <c r="D4723" s="0" t="n">
        <v>2</v>
      </c>
      <c r="E4723" s="38" t="n">
        <v>28164.25</v>
      </c>
    </row>
    <row r="4724" customFormat="false" ht="15" hidden="false" customHeight="false" outlineLevel="0" collapsed="false">
      <c r="A4724" s="0" t="n">
        <v>60</v>
      </c>
      <c r="B4724" s="0" t="s">
        <v>60</v>
      </c>
      <c r="C4724" s="0" t="n">
        <v>2011</v>
      </c>
      <c r="D4724" s="0" t="n">
        <v>3</v>
      </c>
      <c r="E4724" s="38" t="n">
        <v>26448.25</v>
      </c>
    </row>
    <row r="4725" customFormat="false" ht="15" hidden="false" customHeight="false" outlineLevel="0" collapsed="false">
      <c r="A4725" s="0" t="n">
        <v>60</v>
      </c>
      <c r="B4725" s="0" t="s">
        <v>60</v>
      </c>
      <c r="C4725" s="0" t="n">
        <v>2011</v>
      </c>
      <c r="D4725" s="0" t="n">
        <v>4</v>
      </c>
      <c r="E4725" s="38" t="n">
        <v>31711.67</v>
      </c>
    </row>
    <row r="4726" customFormat="false" ht="15" hidden="false" customHeight="false" outlineLevel="0" collapsed="false">
      <c r="A4726" s="0" t="n">
        <v>60</v>
      </c>
      <c r="B4726" s="0" t="s">
        <v>60</v>
      </c>
      <c r="C4726" s="0" t="n">
        <v>2011</v>
      </c>
      <c r="D4726" s="0" t="n">
        <v>5</v>
      </c>
      <c r="E4726" s="38" t="n">
        <v>28494.74</v>
      </c>
    </row>
    <row r="4727" customFormat="false" ht="15" hidden="false" customHeight="false" outlineLevel="0" collapsed="false">
      <c r="A4727" s="0" t="n">
        <v>60</v>
      </c>
      <c r="B4727" s="0" t="s">
        <v>60</v>
      </c>
      <c r="C4727" s="0" t="n">
        <v>2011</v>
      </c>
      <c r="D4727" s="0" t="n">
        <v>6</v>
      </c>
      <c r="E4727" s="38" t="n">
        <v>29482.48</v>
      </c>
    </row>
    <row r="4728" customFormat="false" ht="15" hidden="false" customHeight="false" outlineLevel="0" collapsed="false">
      <c r="A4728" s="0" t="n">
        <v>60</v>
      </c>
      <c r="B4728" s="0" t="s">
        <v>60</v>
      </c>
      <c r="C4728" s="0" t="n">
        <v>2011</v>
      </c>
      <c r="D4728" s="0" t="n">
        <v>7</v>
      </c>
      <c r="E4728" s="38" t="n">
        <v>28160.84</v>
      </c>
    </row>
    <row r="4729" customFormat="false" ht="15" hidden="false" customHeight="false" outlineLevel="0" collapsed="false">
      <c r="A4729" s="0" t="n">
        <v>60</v>
      </c>
      <c r="B4729" s="0" t="s">
        <v>60</v>
      </c>
      <c r="C4729" s="0" t="n">
        <v>2011</v>
      </c>
      <c r="D4729" s="0" t="n">
        <v>8</v>
      </c>
      <c r="E4729" s="38" t="n">
        <v>26084.69</v>
      </c>
    </row>
    <row r="4730" customFormat="false" ht="15" hidden="false" customHeight="false" outlineLevel="0" collapsed="false">
      <c r="A4730" s="0" t="n">
        <v>60</v>
      </c>
      <c r="B4730" s="0" t="s">
        <v>60</v>
      </c>
      <c r="C4730" s="0" t="n">
        <v>2011</v>
      </c>
      <c r="D4730" s="0" t="n">
        <v>9</v>
      </c>
      <c r="E4730" s="38" t="n">
        <v>27336.27</v>
      </c>
    </row>
    <row r="4731" customFormat="false" ht="15" hidden="false" customHeight="false" outlineLevel="0" collapsed="false">
      <c r="A4731" s="0" t="n">
        <v>60</v>
      </c>
      <c r="B4731" s="0" t="s">
        <v>60</v>
      </c>
      <c r="C4731" s="0" t="n">
        <v>2011</v>
      </c>
      <c r="D4731" s="0" t="n">
        <v>10</v>
      </c>
      <c r="E4731" s="38" t="n">
        <v>29179.98</v>
      </c>
    </row>
    <row r="4732" customFormat="false" ht="15" hidden="false" customHeight="false" outlineLevel="0" collapsed="false">
      <c r="A4732" s="0" t="n">
        <v>60</v>
      </c>
      <c r="B4732" s="0" t="s">
        <v>60</v>
      </c>
      <c r="C4732" s="0" t="n">
        <v>2011</v>
      </c>
      <c r="D4732" s="0" t="n">
        <v>11</v>
      </c>
      <c r="E4732" s="38" t="n">
        <v>48946.47</v>
      </c>
    </row>
    <row r="4733" customFormat="false" ht="15" hidden="false" customHeight="false" outlineLevel="0" collapsed="false">
      <c r="A4733" s="0" t="n">
        <v>60</v>
      </c>
      <c r="B4733" s="0" t="s">
        <v>60</v>
      </c>
      <c r="C4733" s="0" t="n">
        <v>2011</v>
      </c>
      <c r="D4733" s="0" t="n">
        <v>12</v>
      </c>
      <c r="E4733" s="38" t="n">
        <v>29238.82</v>
      </c>
    </row>
    <row r="4734" customFormat="false" ht="15" hidden="false" customHeight="false" outlineLevel="0" collapsed="false">
      <c r="A4734" s="0" t="n">
        <v>60</v>
      </c>
      <c r="B4734" s="0" t="s">
        <v>60</v>
      </c>
      <c r="C4734" s="0" t="n">
        <v>2012</v>
      </c>
      <c r="D4734" s="0" t="n">
        <v>1</v>
      </c>
      <c r="E4734" s="38" t="n">
        <v>30565.71</v>
      </c>
    </row>
    <row r="4735" customFormat="false" ht="15" hidden="false" customHeight="false" outlineLevel="0" collapsed="false">
      <c r="A4735" s="0" t="n">
        <v>60</v>
      </c>
      <c r="B4735" s="0" t="s">
        <v>60</v>
      </c>
      <c r="C4735" s="0" t="n">
        <v>2012</v>
      </c>
      <c r="D4735" s="0" t="n">
        <v>2</v>
      </c>
      <c r="E4735" s="38" t="n">
        <v>30194.96</v>
      </c>
    </row>
    <row r="4736" customFormat="false" ht="15" hidden="false" customHeight="false" outlineLevel="0" collapsed="false">
      <c r="A4736" s="0" t="n">
        <v>60</v>
      </c>
      <c r="B4736" s="0" t="s">
        <v>60</v>
      </c>
      <c r="C4736" s="0" t="n">
        <v>2012</v>
      </c>
      <c r="D4736" s="0" t="n">
        <v>3</v>
      </c>
      <c r="E4736" s="38" t="n">
        <v>30516.95</v>
      </c>
    </row>
    <row r="4737" customFormat="false" ht="15" hidden="false" customHeight="false" outlineLevel="0" collapsed="false">
      <c r="A4737" s="0" t="n">
        <v>60</v>
      </c>
      <c r="B4737" s="0" t="s">
        <v>60</v>
      </c>
      <c r="C4737" s="0" t="n">
        <v>2012</v>
      </c>
      <c r="D4737" s="0" t="n">
        <v>4</v>
      </c>
      <c r="E4737" s="38" t="n">
        <v>34172.94</v>
      </c>
    </row>
    <row r="4738" customFormat="false" ht="15" hidden="false" customHeight="false" outlineLevel="0" collapsed="false">
      <c r="A4738" s="0" t="n">
        <v>60</v>
      </c>
      <c r="B4738" s="0" t="s">
        <v>60</v>
      </c>
      <c r="C4738" s="0" t="n">
        <v>2012</v>
      </c>
      <c r="D4738" s="0" t="n">
        <v>5</v>
      </c>
      <c r="E4738" s="38" t="n">
        <v>32917.44</v>
      </c>
    </row>
    <row r="4739" customFormat="false" ht="15" hidden="false" customHeight="false" outlineLevel="0" collapsed="false">
      <c r="A4739" s="0" t="n">
        <v>60</v>
      </c>
      <c r="B4739" s="0" t="s">
        <v>60</v>
      </c>
      <c r="C4739" s="0" t="n">
        <v>2012</v>
      </c>
      <c r="D4739" s="0" t="n">
        <v>6</v>
      </c>
      <c r="E4739" s="38" t="n">
        <v>33155.85</v>
      </c>
    </row>
    <row r="4740" customFormat="false" ht="15" hidden="false" customHeight="false" outlineLevel="0" collapsed="false">
      <c r="A4740" s="0" t="n">
        <v>60</v>
      </c>
      <c r="B4740" s="0" t="s">
        <v>60</v>
      </c>
      <c r="C4740" s="0" t="n">
        <v>2012</v>
      </c>
      <c r="D4740" s="0" t="n">
        <v>7</v>
      </c>
      <c r="E4740" s="38" t="n">
        <v>33466.4</v>
      </c>
    </row>
    <row r="4741" customFormat="false" ht="15" hidden="false" customHeight="false" outlineLevel="0" collapsed="false">
      <c r="A4741" s="0" t="n">
        <v>60</v>
      </c>
      <c r="B4741" s="0" t="s">
        <v>60</v>
      </c>
      <c r="C4741" s="0" t="n">
        <v>2012</v>
      </c>
      <c r="D4741" s="0" t="n">
        <v>8</v>
      </c>
      <c r="E4741" s="38" t="n">
        <v>30898.05</v>
      </c>
    </row>
    <row r="4742" customFormat="false" ht="15" hidden="false" customHeight="false" outlineLevel="0" collapsed="false">
      <c r="A4742" s="0" t="n">
        <v>60</v>
      </c>
      <c r="B4742" s="0" t="s">
        <v>60</v>
      </c>
      <c r="C4742" s="0" t="n">
        <v>2012</v>
      </c>
      <c r="D4742" s="0" t="n">
        <v>9</v>
      </c>
      <c r="E4742" s="38" t="n">
        <v>34334.05</v>
      </c>
    </row>
    <row r="4743" customFormat="false" ht="15" hidden="false" customHeight="false" outlineLevel="0" collapsed="false">
      <c r="A4743" s="0" t="n">
        <v>60</v>
      </c>
      <c r="B4743" s="0" t="s">
        <v>60</v>
      </c>
      <c r="C4743" s="0" t="n">
        <v>2012</v>
      </c>
      <c r="D4743" s="0" t="n">
        <v>10</v>
      </c>
      <c r="E4743" s="38" t="n">
        <v>35725.93</v>
      </c>
    </row>
    <row r="4744" customFormat="false" ht="15" hidden="false" customHeight="false" outlineLevel="0" collapsed="false">
      <c r="A4744" s="0" t="n">
        <v>60</v>
      </c>
      <c r="B4744" s="0" t="s">
        <v>60</v>
      </c>
      <c r="C4744" s="0" t="n">
        <v>2012</v>
      </c>
      <c r="D4744" s="0" t="n">
        <v>11</v>
      </c>
      <c r="E4744" s="38" t="n">
        <v>59915.38</v>
      </c>
    </row>
    <row r="4745" customFormat="false" ht="15" hidden="false" customHeight="false" outlineLevel="0" collapsed="false">
      <c r="A4745" s="0" t="n">
        <v>60</v>
      </c>
      <c r="B4745" s="0" t="s">
        <v>60</v>
      </c>
      <c r="C4745" s="0" t="n">
        <v>2012</v>
      </c>
      <c r="D4745" s="0" t="n">
        <v>12</v>
      </c>
      <c r="E4745" s="38" t="n">
        <v>37566.55</v>
      </c>
    </row>
    <row r="4746" customFormat="false" ht="15" hidden="false" customHeight="false" outlineLevel="0" collapsed="false">
      <c r="A4746" s="0" t="n">
        <v>60</v>
      </c>
      <c r="B4746" s="0" t="s">
        <v>60</v>
      </c>
      <c r="C4746" s="0" t="n">
        <v>2013</v>
      </c>
      <c r="D4746" s="0" t="n">
        <v>1</v>
      </c>
      <c r="E4746" s="38" t="n">
        <v>35230.25</v>
      </c>
    </row>
    <row r="4747" customFormat="false" ht="15" hidden="false" customHeight="false" outlineLevel="0" collapsed="false">
      <c r="A4747" s="0" t="n">
        <v>60</v>
      </c>
      <c r="B4747" s="0" t="s">
        <v>60</v>
      </c>
      <c r="C4747" s="0" t="n">
        <v>2013</v>
      </c>
      <c r="D4747" s="0" t="n">
        <v>2</v>
      </c>
      <c r="E4747" s="38" t="n">
        <v>33122.34</v>
      </c>
    </row>
    <row r="4748" customFormat="false" ht="15" hidden="false" customHeight="false" outlineLevel="0" collapsed="false">
      <c r="A4748" s="0" t="n">
        <v>60</v>
      </c>
      <c r="B4748" s="0" t="s">
        <v>60</v>
      </c>
      <c r="C4748" s="0" t="n">
        <v>2013</v>
      </c>
      <c r="D4748" s="0" t="n">
        <v>3</v>
      </c>
      <c r="E4748" s="38" t="n">
        <v>34769.78</v>
      </c>
    </row>
    <row r="4749" customFormat="false" ht="15" hidden="false" customHeight="false" outlineLevel="0" collapsed="false">
      <c r="A4749" s="0" t="n">
        <v>60</v>
      </c>
      <c r="B4749" s="0" t="s">
        <v>60</v>
      </c>
      <c r="C4749" s="0" t="n">
        <v>2013</v>
      </c>
      <c r="D4749" s="0" t="n">
        <v>4</v>
      </c>
      <c r="E4749" s="38" t="n">
        <v>36758.32</v>
      </c>
    </row>
    <row r="4750" customFormat="false" ht="15" hidden="false" customHeight="false" outlineLevel="0" collapsed="false">
      <c r="A4750" s="0" t="n">
        <v>60</v>
      </c>
      <c r="B4750" s="0" t="s">
        <v>60</v>
      </c>
      <c r="C4750" s="0" t="n">
        <v>2013</v>
      </c>
      <c r="D4750" s="0" t="n">
        <v>5</v>
      </c>
      <c r="E4750" s="38" t="n">
        <v>36306.98</v>
      </c>
    </row>
    <row r="4751" customFormat="false" ht="15" hidden="false" customHeight="false" outlineLevel="0" collapsed="false">
      <c r="A4751" s="0" t="n">
        <v>60</v>
      </c>
      <c r="B4751" s="0" t="s">
        <v>60</v>
      </c>
      <c r="C4751" s="0" t="n">
        <v>2013</v>
      </c>
      <c r="D4751" s="0" t="n">
        <v>6</v>
      </c>
      <c r="E4751" s="38" t="n">
        <v>34849.28</v>
      </c>
    </row>
    <row r="4752" customFormat="false" ht="15" hidden="false" customHeight="false" outlineLevel="0" collapsed="false">
      <c r="A4752" s="0" t="n">
        <v>60</v>
      </c>
      <c r="B4752" s="0" t="s">
        <v>60</v>
      </c>
      <c r="C4752" s="0" t="n">
        <v>2013</v>
      </c>
      <c r="D4752" s="0" t="n">
        <v>7</v>
      </c>
      <c r="E4752" s="38" t="n">
        <v>33821.41</v>
      </c>
    </row>
    <row r="4753" customFormat="false" ht="15" hidden="false" customHeight="false" outlineLevel="0" collapsed="false">
      <c r="A4753" s="0" t="n">
        <v>60</v>
      </c>
      <c r="B4753" s="0" t="s">
        <v>60</v>
      </c>
      <c r="C4753" s="0" t="n">
        <v>2013</v>
      </c>
      <c r="D4753" s="0" t="n">
        <v>8</v>
      </c>
      <c r="E4753" s="38" t="n">
        <v>32582.57</v>
      </c>
    </row>
    <row r="4754" customFormat="false" ht="15" hidden="false" customHeight="false" outlineLevel="0" collapsed="false">
      <c r="A4754" s="0" t="n">
        <v>60</v>
      </c>
      <c r="B4754" s="0" t="s">
        <v>62</v>
      </c>
      <c r="C4754" s="0" t="n">
        <v>2011</v>
      </c>
      <c r="D4754" s="0" t="n">
        <v>1</v>
      </c>
      <c r="E4754" s="38" t="n">
        <v>9758.43</v>
      </c>
    </row>
    <row r="4755" customFormat="false" ht="15" hidden="false" customHeight="false" outlineLevel="0" collapsed="false">
      <c r="A4755" s="0" t="n">
        <v>60</v>
      </c>
      <c r="B4755" s="0" t="s">
        <v>62</v>
      </c>
      <c r="C4755" s="0" t="n">
        <v>2011</v>
      </c>
      <c r="D4755" s="0" t="n">
        <v>2</v>
      </c>
      <c r="E4755" s="38" t="n">
        <v>10797.39</v>
      </c>
    </row>
    <row r="4756" customFormat="false" ht="15" hidden="false" customHeight="false" outlineLevel="0" collapsed="false">
      <c r="A4756" s="0" t="n">
        <v>60</v>
      </c>
      <c r="B4756" s="0" t="s">
        <v>62</v>
      </c>
      <c r="C4756" s="0" t="n">
        <v>2011</v>
      </c>
      <c r="D4756" s="0" t="n">
        <v>3</v>
      </c>
      <c r="E4756" s="38" t="n">
        <v>10806.75</v>
      </c>
    </row>
    <row r="4757" customFormat="false" ht="15" hidden="false" customHeight="false" outlineLevel="0" collapsed="false">
      <c r="A4757" s="0" t="n">
        <v>60</v>
      </c>
      <c r="B4757" s="0" t="s">
        <v>62</v>
      </c>
      <c r="C4757" s="0" t="n">
        <v>2011</v>
      </c>
      <c r="D4757" s="0" t="n">
        <v>4</v>
      </c>
      <c r="E4757" s="38" t="n">
        <v>12394.76</v>
      </c>
    </row>
    <row r="4758" customFormat="false" ht="15" hidden="false" customHeight="false" outlineLevel="0" collapsed="false">
      <c r="A4758" s="0" t="n">
        <v>60</v>
      </c>
      <c r="B4758" s="0" t="s">
        <v>62</v>
      </c>
      <c r="C4758" s="0" t="n">
        <v>2011</v>
      </c>
      <c r="D4758" s="0" t="n">
        <v>5</v>
      </c>
      <c r="E4758" s="38" t="n">
        <v>11732.15</v>
      </c>
    </row>
    <row r="4759" customFormat="false" ht="15" hidden="false" customHeight="false" outlineLevel="0" collapsed="false">
      <c r="A4759" s="0" t="n">
        <v>60</v>
      </c>
      <c r="B4759" s="0" t="s">
        <v>62</v>
      </c>
      <c r="C4759" s="0" t="n">
        <v>2011</v>
      </c>
      <c r="D4759" s="0" t="n">
        <v>6</v>
      </c>
      <c r="E4759" s="38" t="n">
        <v>11471.47</v>
      </c>
    </row>
    <row r="4760" customFormat="false" ht="15" hidden="false" customHeight="false" outlineLevel="0" collapsed="false">
      <c r="A4760" s="0" t="n">
        <v>60</v>
      </c>
      <c r="B4760" s="0" t="s">
        <v>62</v>
      </c>
      <c r="C4760" s="0" t="n">
        <v>2011</v>
      </c>
      <c r="D4760" s="0" t="n">
        <v>7</v>
      </c>
      <c r="E4760" s="38" t="n">
        <v>10206.56</v>
      </c>
    </row>
    <row r="4761" customFormat="false" ht="15" hidden="false" customHeight="false" outlineLevel="0" collapsed="false">
      <c r="A4761" s="0" t="n">
        <v>60</v>
      </c>
      <c r="B4761" s="0" t="s">
        <v>62</v>
      </c>
      <c r="C4761" s="0" t="n">
        <v>2011</v>
      </c>
      <c r="D4761" s="0" t="n">
        <v>8</v>
      </c>
      <c r="E4761" s="38" t="n">
        <v>11291.59</v>
      </c>
    </row>
    <row r="4762" customFormat="false" ht="15" hidden="false" customHeight="false" outlineLevel="0" collapsed="false">
      <c r="A4762" s="0" t="n">
        <v>60</v>
      </c>
      <c r="B4762" s="0" t="s">
        <v>62</v>
      </c>
      <c r="C4762" s="0" t="n">
        <v>2011</v>
      </c>
      <c r="D4762" s="0" t="n">
        <v>9</v>
      </c>
      <c r="E4762" s="38" t="n">
        <v>10583.24</v>
      </c>
    </row>
    <row r="4763" customFormat="false" ht="15" hidden="false" customHeight="false" outlineLevel="0" collapsed="false">
      <c r="A4763" s="0" t="n">
        <v>60</v>
      </c>
      <c r="B4763" s="0" t="s">
        <v>62</v>
      </c>
      <c r="C4763" s="0" t="n">
        <v>2011</v>
      </c>
      <c r="D4763" s="0" t="n">
        <v>10</v>
      </c>
      <c r="E4763" s="38" t="n">
        <v>12574.34</v>
      </c>
    </row>
    <row r="4764" customFormat="false" ht="15" hidden="false" customHeight="false" outlineLevel="0" collapsed="false">
      <c r="A4764" s="0" t="n">
        <v>60</v>
      </c>
      <c r="B4764" s="0" t="s">
        <v>62</v>
      </c>
      <c r="C4764" s="0" t="n">
        <v>2011</v>
      </c>
      <c r="D4764" s="0" t="n">
        <v>11</v>
      </c>
      <c r="E4764" s="38" t="n">
        <v>25490.97</v>
      </c>
    </row>
    <row r="4765" customFormat="false" ht="15" hidden="false" customHeight="false" outlineLevel="0" collapsed="false">
      <c r="A4765" s="0" t="n">
        <v>60</v>
      </c>
      <c r="B4765" s="0" t="s">
        <v>62</v>
      </c>
      <c r="C4765" s="0" t="n">
        <v>2011</v>
      </c>
      <c r="D4765" s="0" t="n">
        <v>12</v>
      </c>
      <c r="E4765" s="38" t="n">
        <v>14476.78</v>
      </c>
    </row>
    <row r="4766" customFormat="false" ht="15" hidden="false" customHeight="false" outlineLevel="0" collapsed="false">
      <c r="A4766" s="0" t="n">
        <v>60</v>
      </c>
      <c r="B4766" s="0" t="s">
        <v>62</v>
      </c>
      <c r="C4766" s="0" t="n">
        <v>2012</v>
      </c>
      <c r="D4766" s="0" t="n">
        <v>1</v>
      </c>
      <c r="E4766" s="38" t="n">
        <v>14772.17</v>
      </c>
    </row>
    <row r="4767" customFormat="false" ht="15" hidden="false" customHeight="false" outlineLevel="0" collapsed="false">
      <c r="A4767" s="0" t="n">
        <v>60</v>
      </c>
      <c r="B4767" s="0" t="s">
        <v>62</v>
      </c>
      <c r="C4767" s="0" t="n">
        <v>2012</v>
      </c>
      <c r="D4767" s="0" t="n">
        <v>2</v>
      </c>
      <c r="E4767" s="38" t="n">
        <v>14760.05</v>
      </c>
    </row>
    <row r="4768" customFormat="false" ht="15" hidden="false" customHeight="false" outlineLevel="0" collapsed="false">
      <c r="A4768" s="0" t="n">
        <v>60</v>
      </c>
      <c r="B4768" s="0" t="s">
        <v>62</v>
      </c>
      <c r="C4768" s="0" t="n">
        <v>2012</v>
      </c>
      <c r="D4768" s="0" t="n">
        <v>3</v>
      </c>
      <c r="E4768" s="38" t="n">
        <v>13679.28</v>
      </c>
    </row>
    <row r="4769" customFormat="false" ht="15" hidden="false" customHeight="false" outlineLevel="0" collapsed="false">
      <c r="A4769" s="0" t="n">
        <v>60</v>
      </c>
      <c r="B4769" s="0" t="s">
        <v>62</v>
      </c>
      <c r="C4769" s="0" t="n">
        <v>2012</v>
      </c>
      <c r="D4769" s="0" t="n">
        <v>4</v>
      </c>
      <c r="E4769" s="38" t="n">
        <v>13603.55</v>
      </c>
    </row>
    <row r="4770" customFormat="false" ht="15" hidden="false" customHeight="false" outlineLevel="0" collapsed="false">
      <c r="A4770" s="0" t="n">
        <v>60</v>
      </c>
      <c r="B4770" s="0" t="s">
        <v>62</v>
      </c>
      <c r="C4770" s="0" t="n">
        <v>2012</v>
      </c>
      <c r="D4770" s="0" t="n">
        <v>5</v>
      </c>
      <c r="E4770" s="38" t="n">
        <v>15242.86</v>
      </c>
    </row>
    <row r="4771" customFormat="false" ht="15" hidden="false" customHeight="false" outlineLevel="0" collapsed="false">
      <c r="A4771" s="0" t="n">
        <v>60</v>
      </c>
      <c r="B4771" s="0" t="s">
        <v>62</v>
      </c>
      <c r="C4771" s="0" t="n">
        <v>2012</v>
      </c>
      <c r="D4771" s="0" t="n">
        <v>6</v>
      </c>
      <c r="E4771" s="38" t="n">
        <v>15960.67</v>
      </c>
    </row>
    <row r="4772" customFormat="false" ht="15" hidden="false" customHeight="false" outlineLevel="0" collapsed="false">
      <c r="A4772" s="0" t="n">
        <v>60</v>
      </c>
      <c r="B4772" s="0" t="s">
        <v>62</v>
      </c>
      <c r="C4772" s="0" t="n">
        <v>2012</v>
      </c>
      <c r="D4772" s="0" t="n">
        <v>7</v>
      </c>
      <c r="E4772" s="38" t="n">
        <v>15056.07</v>
      </c>
    </row>
    <row r="4773" customFormat="false" ht="15" hidden="false" customHeight="false" outlineLevel="0" collapsed="false">
      <c r="A4773" s="0" t="n">
        <v>60</v>
      </c>
      <c r="B4773" s="0" t="s">
        <v>62</v>
      </c>
      <c r="C4773" s="0" t="n">
        <v>2012</v>
      </c>
      <c r="D4773" s="0" t="n">
        <v>8</v>
      </c>
      <c r="E4773" s="38" t="n">
        <v>14865.47</v>
      </c>
    </row>
    <row r="4774" customFormat="false" ht="15" hidden="false" customHeight="false" outlineLevel="0" collapsed="false">
      <c r="A4774" s="0" t="n">
        <v>60</v>
      </c>
      <c r="B4774" s="0" t="s">
        <v>62</v>
      </c>
      <c r="C4774" s="0" t="n">
        <v>2012</v>
      </c>
      <c r="D4774" s="0" t="n">
        <v>9</v>
      </c>
      <c r="E4774" s="38" t="n">
        <v>15442.26</v>
      </c>
    </row>
    <row r="4775" customFormat="false" ht="15" hidden="false" customHeight="false" outlineLevel="0" collapsed="false">
      <c r="A4775" s="0" t="n">
        <v>60</v>
      </c>
      <c r="B4775" s="0" t="s">
        <v>62</v>
      </c>
      <c r="C4775" s="0" t="n">
        <v>2012</v>
      </c>
      <c r="D4775" s="0" t="n">
        <v>10</v>
      </c>
      <c r="E4775" s="38" t="n">
        <v>16423.31</v>
      </c>
    </row>
    <row r="4776" customFormat="false" ht="15" hidden="false" customHeight="false" outlineLevel="0" collapsed="false">
      <c r="A4776" s="0" t="n">
        <v>60</v>
      </c>
      <c r="B4776" s="0" t="s">
        <v>62</v>
      </c>
      <c r="C4776" s="0" t="n">
        <v>2012</v>
      </c>
      <c r="D4776" s="0" t="n">
        <v>11</v>
      </c>
      <c r="E4776" s="38" t="n">
        <v>27875.87</v>
      </c>
    </row>
    <row r="4777" customFormat="false" ht="15" hidden="false" customHeight="false" outlineLevel="0" collapsed="false">
      <c r="A4777" s="0" t="n">
        <v>60</v>
      </c>
      <c r="B4777" s="0" t="s">
        <v>62</v>
      </c>
      <c r="C4777" s="0" t="n">
        <v>2012</v>
      </c>
      <c r="D4777" s="0" t="n">
        <v>12</v>
      </c>
      <c r="E4777" s="38" t="n">
        <v>16145.54</v>
      </c>
    </row>
    <row r="4778" customFormat="false" ht="15" hidden="false" customHeight="false" outlineLevel="0" collapsed="false">
      <c r="A4778" s="0" t="n">
        <v>60</v>
      </c>
      <c r="B4778" s="0" t="s">
        <v>62</v>
      </c>
      <c r="C4778" s="0" t="n">
        <v>2013</v>
      </c>
      <c r="D4778" s="0" t="n">
        <v>1</v>
      </c>
      <c r="E4778" s="38" t="n">
        <v>14959.21</v>
      </c>
    </row>
    <row r="4779" customFormat="false" ht="15" hidden="false" customHeight="false" outlineLevel="0" collapsed="false">
      <c r="A4779" s="0" t="n">
        <v>60</v>
      </c>
      <c r="B4779" s="0" t="s">
        <v>62</v>
      </c>
      <c r="C4779" s="0" t="n">
        <v>2013</v>
      </c>
      <c r="D4779" s="0" t="n">
        <v>2</v>
      </c>
      <c r="E4779" s="38" t="n">
        <v>15854.57</v>
      </c>
    </row>
    <row r="4780" customFormat="false" ht="15" hidden="false" customHeight="false" outlineLevel="0" collapsed="false">
      <c r="A4780" s="0" t="n">
        <v>60</v>
      </c>
      <c r="B4780" s="0" t="s">
        <v>62</v>
      </c>
      <c r="C4780" s="0" t="n">
        <v>2013</v>
      </c>
      <c r="D4780" s="0" t="n">
        <v>3</v>
      </c>
      <c r="E4780" s="38" t="n">
        <v>15451.73</v>
      </c>
    </row>
    <row r="4781" customFormat="false" ht="15" hidden="false" customHeight="false" outlineLevel="0" collapsed="false">
      <c r="A4781" s="0" t="n">
        <v>60</v>
      </c>
      <c r="B4781" s="0" t="s">
        <v>62</v>
      </c>
      <c r="C4781" s="0" t="n">
        <v>2013</v>
      </c>
      <c r="D4781" s="0" t="n">
        <v>4</v>
      </c>
      <c r="E4781" s="38" t="n">
        <v>16700.34</v>
      </c>
    </row>
    <row r="4782" customFormat="false" ht="15" hidden="false" customHeight="false" outlineLevel="0" collapsed="false">
      <c r="A4782" s="0" t="n">
        <v>60</v>
      </c>
      <c r="B4782" s="0" t="s">
        <v>62</v>
      </c>
      <c r="C4782" s="0" t="n">
        <v>2013</v>
      </c>
      <c r="D4782" s="0" t="n">
        <v>5</v>
      </c>
      <c r="E4782" s="38" t="n">
        <v>15512.12</v>
      </c>
    </row>
    <row r="4783" customFormat="false" ht="15" hidden="false" customHeight="false" outlineLevel="0" collapsed="false">
      <c r="A4783" s="0" t="n">
        <v>60</v>
      </c>
      <c r="B4783" s="0" t="s">
        <v>62</v>
      </c>
      <c r="C4783" s="0" t="n">
        <v>2013</v>
      </c>
      <c r="D4783" s="0" t="n">
        <v>6</v>
      </c>
      <c r="E4783" s="38" t="n">
        <v>16275.08</v>
      </c>
    </row>
    <row r="4784" customFormat="false" ht="15" hidden="false" customHeight="false" outlineLevel="0" collapsed="false">
      <c r="A4784" s="0" t="n">
        <v>60</v>
      </c>
      <c r="B4784" s="0" t="s">
        <v>62</v>
      </c>
      <c r="C4784" s="0" t="n">
        <v>2013</v>
      </c>
      <c r="D4784" s="0" t="n">
        <v>7</v>
      </c>
      <c r="E4784" s="38" t="n">
        <v>15307.47</v>
      </c>
    </row>
    <row r="4785" customFormat="false" ht="15" hidden="false" customHeight="false" outlineLevel="0" collapsed="false">
      <c r="A4785" s="0" t="n">
        <v>60</v>
      </c>
      <c r="B4785" s="0" t="s">
        <v>62</v>
      </c>
      <c r="C4785" s="0" t="n">
        <v>2013</v>
      </c>
      <c r="D4785" s="0" t="n">
        <v>8</v>
      </c>
      <c r="E4785" s="38" t="n">
        <v>15921.29</v>
      </c>
    </row>
    <row r="4786" customFormat="false" ht="15" hidden="false" customHeight="false" outlineLevel="0" collapsed="false">
      <c r="A4786" s="0" t="n">
        <v>60</v>
      </c>
      <c r="B4786" s="0" t="s">
        <v>64</v>
      </c>
      <c r="C4786" s="0" t="n">
        <v>2011</v>
      </c>
      <c r="D4786" s="0" t="n">
        <v>1</v>
      </c>
      <c r="E4786" s="38" t="n">
        <v>14926.06</v>
      </c>
    </row>
    <row r="4787" customFormat="false" ht="15" hidden="false" customHeight="false" outlineLevel="0" collapsed="false">
      <c r="A4787" s="0" t="n">
        <v>60</v>
      </c>
      <c r="B4787" s="0" t="s">
        <v>64</v>
      </c>
      <c r="C4787" s="0" t="n">
        <v>2011</v>
      </c>
      <c r="D4787" s="0" t="n">
        <v>2</v>
      </c>
      <c r="E4787" s="38" t="n">
        <v>14784</v>
      </c>
    </row>
    <row r="4788" customFormat="false" ht="15" hidden="false" customHeight="false" outlineLevel="0" collapsed="false">
      <c r="A4788" s="0" t="n">
        <v>60</v>
      </c>
      <c r="B4788" s="0" t="s">
        <v>64</v>
      </c>
      <c r="C4788" s="0" t="n">
        <v>2011</v>
      </c>
      <c r="D4788" s="0" t="n">
        <v>3</v>
      </c>
      <c r="E4788" s="38" t="n">
        <v>13694.04</v>
      </c>
    </row>
    <row r="4789" customFormat="false" ht="15" hidden="false" customHeight="false" outlineLevel="0" collapsed="false">
      <c r="A4789" s="0" t="n">
        <v>60</v>
      </c>
      <c r="B4789" s="0" t="s">
        <v>64</v>
      </c>
      <c r="C4789" s="0" t="n">
        <v>2011</v>
      </c>
      <c r="D4789" s="0" t="n">
        <v>4</v>
      </c>
      <c r="E4789" s="38" t="n">
        <v>15660.24</v>
      </c>
    </row>
    <row r="4790" customFormat="false" ht="15" hidden="false" customHeight="false" outlineLevel="0" collapsed="false">
      <c r="A4790" s="0" t="n">
        <v>60</v>
      </c>
      <c r="B4790" s="0" t="s">
        <v>64</v>
      </c>
      <c r="C4790" s="0" t="n">
        <v>2011</v>
      </c>
      <c r="D4790" s="0" t="n">
        <v>5</v>
      </c>
      <c r="E4790" s="38" t="n">
        <v>14038.52</v>
      </c>
    </row>
    <row r="4791" customFormat="false" ht="15" hidden="false" customHeight="false" outlineLevel="0" collapsed="false">
      <c r="A4791" s="0" t="n">
        <v>60</v>
      </c>
      <c r="B4791" s="0" t="s">
        <v>64</v>
      </c>
      <c r="C4791" s="0" t="n">
        <v>2011</v>
      </c>
      <c r="D4791" s="0" t="n">
        <v>6</v>
      </c>
      <c r="E4791" s="38" t="n">
        <v>13443.9</v>
      </c>
    </row>
    <row r="4792" customFormat="false" ht="15" hidden="false" customHeight="false" outlineLevel="0" collapsed="false">
      <c r="A4792" s="0" t="n">
        <v>60</v>
      </c>
      <c r="B4792" s="0" t="s">
        <v>64</v>
      </c>
      <c r="C4792" s="0" t="n">
        <v>2011</v>
      </c>
      <c r="D4792" s="0" t="n">
        <v>7</v>
      </c>
      <c r="E4792" s="38" t="n">
        <v>12682.52</v>
      </c>
    </row>
    <row r="4793" customFormat="false" ht="15" hidden="false" customHeight="false" outlineLevel="0" collapsed="false">
      <c r="A4793" s="0" t="n">
        <v>60</v>
      </c>
      <c r="B4793" s="0" t="s">
        <v>64</v>
      </c>
      <c r="C4793" s="0" t="n">
        <v>2011</v>
      </c>
      <c r="D4793" s="0" t="n">
        <v>8</v>
      </c>
      <c r="E4793" s="38" t="n">
        <v>12998.25</v>
      </c>
    </row>
    <row r="4794" customFormat="false" ht="15" hidden="false" customHeight="false" outlineLevel="0" collapsed="false">
      <c r="A4794" s="0" t="n">
        <v>60</v>
      </c>
      <c r="B4794" s="0" t="s">
        <v>64</v>
      </c>
      <c r="C4794" s="0" t="n">
        <v>2011</v>
      </c>
      <c r="D4794" s="0" t="n">
        <v>9</v>
      </c>
      <c r="E4794" s="38" t="n">
        <v>13565.81</v>
      </c>
    </row>
    <row r="4795" customFormat="false" ht="15" hidden="false" customHeight="false" outlineLevel="0" collapsed="false">
      <c r="A4795" s="0" t="n">
        <v>60</v>
      </c>
      <c r="B4795" s="0" t="s">
        <v>64</v>
      </c>
      <c r="C4795" s="0" t="n">
        <v>2011</v>
      </c>
      <c r="D4795" s="0" t="n">
        <v>10</v>
      </c>
      <c r="E4795" s="38" t="n">
        <v>13636.23</v>
      </c>
    </row>
    <row r="4796" customFormat="false" ht="15" hidden="false" customHeight="false" outlineLevel="0" collapsed="false">
      <c r="A4796" s="0" t="n">
        <v>60</v>
      </c>
      <c r="B4796" s="0" t="s">
        <v>64</v>
      </c>
      <c r="C4796" s="0" t="n">
        <v>2011</v>
      </c>
      <c r="D4796" s="0" t="n">
        <v>11</v>
      </c>
      <c r="E4796" s="38" t="n">
        <v>21981.15</v>
      </c>
    </row>
    <row r="4797" customFormat="false" ht="15" hidden="false" customHeight="false" outlineLevel="0" collapsed="false">
      <c r="A4797" s="0" t="n">
        <v>60</v>
      </c>
      <c r="B4797" s="0" t="s">
        <v>64</v>
      </c>
      <c r="C4797" s="0" t="n">
        <v>2011</v>
      </c>
      <c r="D4797" s="0" t="n">
        <v>12</v>
      </c>
      <c r="E4797" s="38" t="n">
        <v>13787.07</v>
      </c>
    </row>
    <row r="4798" customFormat="false" ht="15" hidden="false" customHeight="false" outlineLevel="0" collapsed="false">
      <c r="A4798" s="0" t="n">
        <v>60</v>
      </c>
      <c r="B4798" s="0" t="s">
        <v>64</v>
      </c>
      <c r="C4798" s="0" t="n">
        <v>2012</v>
      </c>
      <c r="D4798" s="0" t="n">
        <v>1</v>
      </c>
      <c r="E4798" s="38" t="n">
        <v>12487.19</v>
      </c>
    </row>
    <row r="4799" customFormat="false" ht="15" hidden="false" customHeight="false" outlineLevel="0" collapsed="false">
      <c r="A4799" s="0" t="n">
        <v>60</v>
      </c>
      <c r="B4799" s="0" t="s">
        <v>64</v>
      </c>
      <c r="C4799" s="0" t="n">
        <v>2012</v>
      </c>
      <c r="D4799" s="0" t="n">
        <v>2</v>
      </c>
      <c r="E4799" s="38" t="n">
        <v>13275.44</v>
      </c>
    </row>
    <row r="4800" customFormat="false" ht="15" hidden="false" customHeight="false" outlineLevel="0" collapsed="false">
      <c r="A4800" s="0" t="n">
        <v>60</v>
      </c>
      <c r="B4800" s="0" t="s">
        <v>64</v>
      </c>
      <c r="C4800" s="0" t="n">
        <v>2012</v>
      </c>
      <c r="D4800" s="0" t="n">
        <v>3</v>
      </c>
      <c r="E4800" s="38" t="n">
        <v>12856.8</v>
      </c>
    </row>
    <row r="4801" customFormat="false" ht="15" hidden="false" customHeight="false" outlineLevel="0" collapsed="false">
      <c r="A4801" s="0" t="n">
        <v>60</v>
      </c>
      <c r="B4801" s="0" t="s">
        <v>64</v>
      </c>
      <c r="C4801" s="0" t="n">
        <v>2012</v>
      </c>
      <c r="D4801" s="0" t="n">
        <v>4</v>
      </c>
      <c r="E4801" s="38" t="n">
        <v>12278.52</v>
      </c>
    </row>
    <row r="4802" customFormat="false" ht="15" hidden="false" customHeight="false" outlineLevel="0" collapsed="false">
      <c r="A4802" s="0" t="n">
        <v>60</v>
      </c>
      <c r="B4802" s="0" t="s">
        <v>64</v>
      </c>
      <c r="C4802" s="0" t="n">
        <v>2012</v>
      </c>
      <c r="D4802" s="0" t="n">
        <v>5</v>
      </c>
      <c r="E4802" s="38" t="n">
        <v>12171.66</v>
      </c>
    </row>
    <row r="4803" customFormat="false" ht="15" hidden="false" customHeight="false" outlineLevel="0" collapsed="false">
      <c r="A4803" s="0" t="n">
        <v>60</v>
      </c>
      <c r="B4803" s="0" t="s">
        <v>64</v>
      </c>
      <c r="C4803" s="0" t="n">
        <v>2012</v>
      </c>
      <c r="D4803" s="0" t="n">
        <v>6</v>
      </c>
      <c r="E4803" s="38" t="n">
        <v>11793.25</v>
      </c>
    </row>
    <row r="4804" customFormat="false" ht="15" hidden="false" customHeight="false" outlineLevel="0" collapsed="false">
      <c r="A4804" s="0" t="n">
        <v>60</v>
      </c>
      <c r="B4804" s="0" t="s">
        <v>64</v>
      </c>
      <c r="C4804" s="0" t="n">
        <v>2012</v>
      </c>
      <c r="D4804" s="0" t="n">
        <v>7</v>
      </c>
      <c r="E4804" s="38" t="n">
        <v>11398.52</v>
      </c>
    </row>
    <row r="4805" customFormat="false" ht="15" hidden="false" customHeight="false" outlineLevel="0" collapsed="false">
      <c r="A4805" s="0" t="n">
        <v>60</v>
      </c>
      <c r="B4805" s="0" t="s">
        <v>64</v>
      </c>
      <c r="C4805" s="0" t="n">
        <v>2012</v>
      </c>
      <c r="D4805" s="0" t="n">
        <v>8</v>
      </c>
      <c r="E4805" s="38" t="n">
        <v>9863.55</v>
      </c>
    </row>
    <row r="4806" customFormat="false" ht="15" hidden="false" customHeight="false" outlineLevel="0" collapsed="false">
      <c r="A4806" s="0" t="n">
        <v>60</v>
      </c>
      <c r="B4806" s="0" t="s">
        <v>64</v>
      </c>
      <c r="C4806" s="0" t="n">
        <v>2012</v>
      </c>
      <c r="D4806" s="0" t="n">
        <v>9</v>
      </c>
      <c r="E4806" s="38" t="n">
        <v>12076.11</v>
      </c>
    </row>
    <row r="4807" customFormat="false" ht="15" hidden="false" customHeight="false" outlineLevel="0" collapsed="false">
      <c r="A4807" s="0" t="n">
        <v>60</v>
      </c>
      <c r="B4807" s="0" t="s">
        <v>64</v>
      </c>
      <c r="C4807" s="0" t="n">
        <v>2012</v>
      </c>
      <c r="D4807" s="0" t="n">
        <v>10</v>
      </c>
      <c r="E4807" s="38" t="n">
        <v>12956.11</v>
      </c>
    </row>
    <row r="4808" customFormat="false" ht="15" hidden="false" customHeight="false" outlineLevel="0" collapsed="false">
      <c r="A4808" s="0" t="n">
        <v>60</v>
      </c>
      <c r="B4808" s="0" t="s">
        <v>64</v>
      </c>
      <c r="C4808" s="0" t="n">
        <v>2012</v>
      </c>
      <c r="D4808" s="0" t="n">
        <v>11</v>
      </c>
      <c r="E4808" s="38" t="n">
        <v>17719.43</v>
      </c>
    </row>
    <row r="4809" customFormat="false" ht="15" hidden="false" customHeight="false" outlineLevel="0" collapsed="false">
      <c r="A4809" s="0" t="n">
        <v>60</v>
      </c>
      <c r="B4809" s="0" t="s">
        <v>64</v>
      </c>
      <c r="C4809" s="0" t="n">
        <v>2012</v>
      </c>
      <c r="D4809" s="0" t="n">
        <v>12</v>
      </c>
      <c r="E4809" s="38" t="n">
        <v>11047.51</v>
      </c>
    </row>
    <row r="4810" customFormat="false" ht="15" hidden="false" customHeight="false" outlineLevel="0" collapsed="false">
      <c r="A4810" s="0" t="n">
        <v>60</v>
      </c>
      <c r="B4810" s="0" t="s">
        <v>64</v>
      </c>
      <c r="C4810" s="0" t="n">
        <v>2013</v>
      </c>
      <c r="D4810" s="0" t="n">
        <v>1</v>
      </c>
      <c r="E4810" s="38" t="n">
        <v>9760.98</v>
      </c>
    </row>
    <row r="4811" customFormat="false" ht="15" hidden="false" customHeight="false" outlineLevel="0" collapsed="false">
      <c r="A4811" s="0" t="n">
        <v>60</v>
      </c>
      <c r="B4811" s="0" t="s">
        <v>64</v>
      </c>
      <c r="C4811" s="0" t="n">
        <v>2013</v>
      </c>
      <c r="D4811" s="0" t="n">
        <v>2</v>
      </c>
      <c r="E4811" s="38" t="n">
        <v>10844.99</v>
      </c>
    </row>
    <row r="4812" customFormat="false" ht="15" hidden="false" customHeight="false" outlineLevel="0" collapsed="false">
      <c r="A4812" s="0" t="n">
        <v>60</v>
      </c>
      <c r="B4812" s="0" t="s">
        <v>64</v>
      </c>
      <c r="C4812" s="0" t="n">
        <v>2013</v>
      </c>
      <c r="D4812" s="0" t="n">
        <v>3</v>
      </c>
      <c r="E4812" s="38" t="n">
        <v>11694.86</v>
      </c>
    </row>
    <row r="4813" customFormat="false" ht="15" hidden="false" customHeight="false" outlineLevel="0" collapsed="false">
      <c r="A4813" s="0" t="n">
        <v>60</v>
      </c>
      <c r="B4813" s="0" t="s">
        <v>64</v>
      </c>
      <c r="C4813" s="0" t="n">
        <v>2013</v>
      </c>
      <c r="D4813" s="0" t="n">
        <v>4</v>
      </c>
      <c r="E4813" s="38" t="n">
        <v>12574.27</v>
      </c>
    </row>
    <row r="4814" customFormat="false" ht="15" hidden="false" customHeight="false" outlineLevel="0" collapsed="false">
      <c r="A4814" s="0" t="n">
        <v>60</v>
      </c>
      <c r="B4814" s="0" t="s">
        <v>64</v>
      </c>
      <c r="C4814" s="0" t="n">
        <v>2013</v>
      </c>
      <c r="D4814" s="0" t="n">
        <v>5</v>
      </c>
      <c r="E4814" s="38" t="n">
        <v>11144.56</v>
      </c>
    </row>
    <row r="4815" customFormat="false" ht="15" hidden="false" customHeight="false" outlineLevel="0" collapsed="false">
      <c r="A4815" s="0" t="n">
        <v>60</v>
      </c>
      <c r="B4815" s="0" t="s">
        <v>64</v>
      </c>
      <c r="C4815" s="0" t="n">
        <v>2013</v>
      </c>
      <c r="D4815" s="0" t="n">
        <v>6</v>
      </c>
      <c r="E4815" s="38" t="n">
        <v>11345.15</v>
      </c>
    </row>
    <row r="4816" customFormat="false" ht="15" hidden="false" customHeight="false" outlineLevel="0" collapsed="false">
      <c r="A4816" s="0" t="n">
        <v>60</v>
      </c>
      <c r="B4816" s="0" t="s">
        <v>64</v>
      </c>
      <c r="C4816" s="0" t="n">
        <v>2013</v>
      </c>
      <c r="D4816" s="0" t="n">
        <v>7</v>
      </c>
      <c r="E4816" s="38" t="n">
        <v>11349</v>
      </c>
    </row>
    <row r="4817" customFormat="false" ht="15" hidden="false" customHeight="false" outlineLevel="0" collapsed="false">
      <c r="A4817" s="0" t="n">
        <v>60</v>
      </c>
      <c r="B4817" s="0" t="s">
        <v>64</v>
      </c>
      <c r="C4817" s="0" t="n">
        <v>2013</v>
      </c>
      <c r="D4817" s="0" t="n">
        <v>8</v>
      </c>
      <c r="E4817" s="38" t="n">
        <v>11259.01</v>
      </c>
    </row>
    <row r="4818" customFormat="false" ht="15" hidden="false" customHeight="false" outlineLevel="0" collapsed="false">
      <c r="A4818" s="0" t="n">
        <v>65</v>
      </c>
      <c r="B4818" s="0" t="s">
        <v>60</v>
      </c>
      <c r="C4818" s="0" t="n">
        <v>2011</v>
      </c>
      <c r="D4818" s="0" t="n">
        <v>1</v>
      </c>
      <c r="E4818" s="38" t="n">
        <v>166650.67</v>
      </c>
    </row>
    <row r="4819" customFormat="false" ht="15" hidden="false" customHeight="false" outlineLevel="0" collapsed="false">
      <c r="A4819" s="0" t="n">
        <v>65</v>
      </c>
      <c r="B4819" s="0" t="s">
        <v>60</v>
      </c>
      <c r="C4819" s="0" t="n">
        <v>2011</v>
      </c>
      <c r="D4819" s="0" t="n">
        <v>2</v>
      </c>
      <c r="E4819" s="38" t="n">
        <v>221007.37</v>
      </c>
    </row>
    <row r="4820" customFormat="false" ht="15" hidden="false" customHeight="false" outlineLevel="0" collapsed="false">
      <c r="A4820" s="0" t="n">
        <v>65</v>
      </c>
      <c r="B4820" s="0" t="s">
        <v>60</v>
      </c>
      <c r="C4820" s="0" t="n">
        <v>2011</v>
      </c>
      <c r="D4820" s="0" t="n">
        <v>3</v>
      </c>
      <c r="E4820" s="38" t="n">
        <v>207959.58</v>
      </c>
    </row>
    <row r="4821" customFormat="false" ht="15" hidden="false" customHeight="false" outlineLevel="0" collapsed="false">
      <c r="A4821" s="0" t="n">
        <v>65</v>
      </c>
      <c r="B4821" s="0" t="s">
        <v>60</v>
      </c>
      <c r="C4821" s="0" t="n">
        <v>2011</v>
      </c>
      <c r="D4821" s="0" t="n">
        <v>4</v>
      </c>
      <c r="E4821" s="38" t="n">
        <v>219926.41</v>
      </c>
    </row>
    <row r="4822" customFormat="false" ht="15" hidden="false" customHeight="false" outlineLevel="0" collapsed="false">
      <c r="A4822" s="0" t="n">
        <v>65</v>
      </c>
      <c r="B4822" s="0" t="s">
        <v>60</v>
      </c>
      <c r="C4822" s="0" t="n">
        <v>2011</v>
      </c>
      <c r="D4822" s="0" t="n">
        <v>5</v>
      </c>
      <c r="E4822" s="38" t="n">
        <v>206247.02</v>
      </c>
    </row>
    <row r="4823" customFormat="false" ht="15" hidden="false" customHeight="false" outlineLevel="0" collapsed="false">
      <c r="A4823" s="0" t="n">
        <v>65</v>
      </c>
      <c r="B4823" s="0" t="s">
        <v>60</v>
      </c>
      <c r="C4823" s="0" t="n">
        <v>2011</v>
      </c>
      <c r="D4823" s="0" t="n">
        <v>6</v>
      </c>
      <c r="E4823" s="38" t="n">
        <v>231763.61</v>
      </c>
    </row>
    <row r="4824" customFormat="false" ht="15" hidden="false" customHeight="false" outlineLevel="0" collapsed="false">
      <c r="A4824" s="0" t="n">
        <v>65</v>
      </c>
      <c r="B4824" s="0" t="s">
        <v>60</v>
      </c>
      <c r="C4824" s="0" t="n">
        <v>2011</v>
      </c>
      <c r="D4824" s="0" t="n">
        <v>7</v>
      </c>
      <c r="E4824" s="38" t="n">
        <v>244998.94</v>
      </c>
    </row>
    <row r="4825" customFormat="false" ht="15" hidden="false" customHeight="false" outlineLevel="0" collapsed="false">
      <c r="A4825" s="0" t="n">
        <v>65</v>
      </c>
      <c r="B4825" s="0" t="s">
        <v>60</v>
      </c>
      <c r="C4825" s="0" t="n">
        <v>2011</v>
      </c>
      <c r="D4825" s="0" t="n">
        <v>8</v>
      </c>
      <c r="E4825" s="38" t="n">
        <v>219144.79</v>
      </c>
    </row>
    <row r="4826" customFormat="false" ht="15" hidden="false" customHeight="false" outlineLevel="0" collapsed="false">
      <c r="A4826" s="0" t="n">
        <v>65</v>
      </c>
      <c r="B4826" s="0" t="s">
        <v>60</v>
      </c>
      <c r="C4826" s="0" t="n">
        <v>2011</v>
      </c>
      <c r="D4826" s="0" t="n">
        <v>9</v>
      </c>
      <c r="E4826" s="38" t="n">
        <v>215661.04</v>
      </c>
    </row>
    <row r="4827" customFormat="false" ht="15" hidden="false" customHeight="false" outlineLevel="0" collapsed="false">
      <c r="A4827" s="0" t="n">
        <v>65</v>
      </c>
      <c r="B4827" s="0" t="s">
        <v>60</v>
      </c>
      <c r="C4827" s="0" t="n">
        <v>2011</v>
      </c>
      <c r="D4827" s="0" t="n">
        <v>10</v>
      </c>
      <c r="E4827" s="38" t="n">
        <v>206288.19</v>
      </c>
    </row>
    <row r="4828" customFormat="false" ht="15" hidden="false" customHeight="false" outlineLevel="0" collapsed="false">
      <c r="A4828" s="0" t="n">
        <v>65</v>
      </c>
      <c r="B4828" s="0" t="s">
        <v>60</v>
      </c>
      <c r="C4828" s="0" t="n">
        <v>2011</v>
      </c>
      <c r="D4828" s="0" t="n">
        <v>11</v>
      </c>
      <c r="E4828" s="38" t="n">
        <v>205215.41</v>
      </c>
    </row>
    <row r="4829" customFormat="false" ht="15" hidden="false" customHeight="false" outlineLevel="0" collapsed="false">
      <c r="A4829" s="0" t="n">
        <v>65</v>
      </c>
      <c r="B4829" s="0" t="s">
        <v>60</v>
      </c>
      <c r="C4829" s="0" t="n">
        <v>2011</v>
      </c>
      <c r="D4829" s="0" t="n">
        <v>12</v>
      </c>
      <c r="E4829" s="38" t="n">
        <v>201571.31</v>
      </c>
    </row>
    <row r="4830" customFormat="false" ht="15" hidden="false" customHeight="false" outlineLevel="0" collapsed="false">
      <c r="A4830" s="0" t="n">
        <v>65</v>
      </c>
      <c r="B4830" s="0" t="s">
        <v>60</v>
      </c>
      <c r="C4830" s="0" t="n">
        <v>2012</v>
      </c>
      <c r="D4830" s="0" t="n">
        <v>1</v>
      </c>
      <c r="E4830" s="38" t="n">
        <v>190777.36</v>
      </c>
    </row>
    <row r="4831" customFormat="false" ht="15" hidden="false" customHeight="false" outlineLevel="0" collapsed="false">
      <c r="A4831" s="0" t="n">
        <v>65</v>
      </c>
      <c r="B4831" s="0" t="s">
        <v>60</v>
      </c>
      <c r="C4831" s="0" t="n">
        <v>2012</v>
      </c>
      <c r="D4831" s="0" t="n">
        <v>2</v>
      </c>
      <c r="E4831" s="38" t="n">
        <v>209323.05</v>
      </c>
    </row>
    <row r="4832" customFormat="false" ht="15" hidden="false" customHeight="false" outlineLevel="0" collapsed="false">
      <c r="A4832" s="0" t="n">
        <v>65</v>
      </c>
      <c r="B4832" s="0" t="s">
        <v>60</v>
      </c>
      <c r="C4832" s="0" t="n">
        <v>2012</v>
      </c>
      <c r="D4832" s="0" t="n">
        <v>3</v>
      </c>
      <c r="E4832" s="38" t="n">
        <v>218756.68</v>
      </c>
    </row>
    <row r="4833" customFormat="false" ht="15" hidden="false" customHeight="false" outlineLevel="0" collapsed="false">
      <c r="A4833" s="0" t="n">
        <v>65</v>
      </c>
      <c r="B4833" s="0" t="s">
        <v>60</v>
      </c>
      <c r="C4833" s="0" t="n">
        <v>2012</v>
      </c>
      <c r="D4833" s="0" t="n">
        <v>4</v>
      </c>
      <c r="E4833" s="38" t="n">
        <v>236596.1</v>
      </c>
    </row>
    <row r="4834" customFormat="false" ht="15" hidden="false" customHeight="false" outlineLevel="0" collapsed="false">
      <c r="A4834" s="0" t="n">
        <v>65</v>
      </c>
      <c r="B4834" s="0" t="s">
        <v>60</v>
      </c>
      <c r="C4834" s="0" t="n">
        <v>2012</v>
      </c>
      <c r="D4834" s="0" t="n">
        <v>5</v>
      </c>
      <c r="E4834" s="38" t="n">
        <v>167616.33</v>
      </c>
    </row>
    <row r="4835" customFormat="false" ht="15" hidden="false" customHeight="false" outlineLevel="0" collapsed="false">
      <c r="A4835" s="0" t="n">
        <v>65</v>
      </c>
      <c r="B4835" s="0" t="s">
        <v>60</v>
      </c>
      <c r="C4835" s="0" t="n">
        <v>2012</v>
      </c>
      <c r="D4835" s="0" t="n">
        <v>6</v>
      </c>
      <c r="E4835" s="38" t="n">
        <v>188428.21</v>
      </c>
    </row>
    <row r="4836" customFormat="false" ht="15" hidden="false" customHeight="false" outlineLevel="0" collapsed="false">
      <c r="A4836" s="0" t="n">
        <v>65</v>
      </c>
      <c r="B4836" s="0" t="s">
        <v>60</v>
      </c>
      <c r="C4836" s="0" t="n">
        <v>2012</v>
      </c>
      <c r="D4836" s="0" t="n">
        <v>7</v>
      </c>
      <c r="E4836" s="38" t="n">
        <v>168098.98</v>
      </c>
    </row>
    <row r="4837" customFormat="false" ht="15" hidden="false" customHeight="false" outlineLevel="0" collapsed="false">
      <c r="A4837" s="0" t="n">
        <v>65</v>
      </c>
      <c r="B4837" s="0" t="s">
        <v>60</v>
      </c>
      <c r="C4837" s="0" t="n">
        <v>2012</v>
      </c>
      <c r="D4837" s="0" t="n">
        <v>8</v>
      </c>
      <c r="E4837" s="38" t="n">
        <v>145599.89</v>
      </c>
    </row>
    <row r="4838" customFormat="false" ht="15" hidden="false" customHeight="false" outlineLevel="0" collapsed="false">
      <c r="A4838" s="0" t="n">
        <v>65</v>
      </c>
      <c r="B4838" s="0" t="s">
        <v>60</v>
      </c>
      <c r="C4838" s="0" t="n">
        <v>2012</v>
      </c>
      <c r="D4838" s="0" t="n">
        <v>9</v>
      </c>
      <c r="E4838" s="38" t="n">
        <v>154486.84</v>
      </c>
    </row>
    <row r="4839" customFormat="false" ht="15" hidden="false" customHeight="false" outlineLevel="0" collapsed="false">
      <c r="A4839" s="0" t="n">
        <v>65</v>
      </c>
      <c r="B4839" s="0" t="s">
        <v>60</v>
      </c>
      <c r="C4839" s="0" t="n">
        <v>2012</v>
      </c>
      <c r="D4839" s="0" t="n">
        <v>10</v>
      </c>
      <c r="E4839" s="38" t="n">
        <v>137318.12</v>
      </c>
    </row>
    <row r="4840" customFormat="false" ht="15" hidden="false" customHeight="false" outlineLevel="0" collapsed="false">
      <c r="A4840" s="0" t="n">
        <v>65</v>
      </c>
      <c r="B4840" s="0" t="s">
        <v>60</v>
      </c>
      <c r="C4840" s="0" t="n">
        <v>2012</v>
      </c>
      <c r="D4840" s="0" t="n">
        <v>11</v>
      </c>
      <c r="E4840" s="38" t="n">
        <v>134305.16</v>
      </c>
    </row>
    <row r="4841" customFormat="false" ht="15" hidden="false" customHeight="false" outlineLevel="0" collapsed="false">
      <c r="A4841" s="0" t="n">
        <v>65</v>
      </c>
      <c r="B4841" s="0" t="s">
        <v>60</v>
      </c>
      <c r="C4841" s="0" t="n">
        <v>2012</v>
      </c>
      <c r="D4841" s="0" t="n">
        <v>12</v>
      </c>
      <c r="E4841" s="38" t="n">
        <v>160936.07</v>
      </c>
    </row>
    <row r="4842" customFormat="false" ht="15" hidden="false" customHeight="false" outlineLevel="0" collapsed="false">
      <c r="A4842" s="0" t="n">
        <v>65</v>
      </c>
      <c r="B4842" s="0" t="s">
        <v>60</v>
      </c>
      <c r="C4842" s="0" t="n">
        <v>2013</v>
      </c>
      <c r="D4842" s="0" t="n">
        <v>1</v>
      </c>
      <c r="E4842" s="38" t="n">
        <v>169256.12</v>
      </c>
    </row>
    <row r="4843" customFormat="false" ht="15" hidden="false" customHeight="false" outlineLevel="0" collapsed="false">
      <c r="A4843" s="0" t="n">
        <v>65</v>
      </c>
      <c r="B4843" s="0" t="s">
        <v>60</v>
      </c>
      <c r="C4843" s="0" t="n">
        <v>2013</v>
      </c>
      <c r="D4843" s="0" t="n">
        <v>2</v>
      </c>
      <c r="E4843" s="38" t="n">
        <v>217595.09</v>
      </c>
    </row>
    <row r="4844" customFormat="false" ht="15" hidden="false" customHeight="false" outlineLevel="0" collapsed="false">
      <c r="A4844" s="0" t="n">
        <v>65</v>
      </c>
      <c r="B4844" s="0" t="s">
        <v>60</v>
      </c>
      <c r="C4844" s="0" t="n">
        <v>2013</v>
      </c>
      <c r="D4844" s="0" t="n">
        <v>3</v>
      </c>
      <c r="E4844" s="38" t="n">
        <v>213763.6</v>
      </c>
    </row>
    <row r="4845" customFormat="false" ht="15" hidden="false" customHeight="false" outlineLevel="0" collapsed="false">
      <c r="A4845" s="0" t="n">
        <v>65</v>
      </c>
      <c r="B4845" s="0" t="s">
        <v>60</v>
      </c>
      <c r="C4845" s="0" t="n">
        <v>2013</v>
      </c>
      <c r="D4845" s="0" t="n">
        <v>4</v>
      </c>
      <c r="E4845" s="38" t="n">
        <v>207776.2</v>
      </c>
    </row>
    <row r="4846" customFormat="false" ht="15" hidden="false" customHeight="false" outlineLevel="0" collapsed="false">
      <c r="A4846" s="0" t="n">
        <v>65</v>
      </c>
      <c r="B4846" s="0" t="s">
        <v>60</v>
      </c>
      <c r="C4846" s="0" t="n">
        <v>2013</v>
      </c>
      <c r="D4846" s="0" t="n">
        <v>5</v>
      </c>
      <c r="E4846" s="38" t="n">
        <v>188980.09</v>
      </c>
    </row>
    <row r="4847" customFormat="false" ht="15" hidden="false" customHeight="false" outlineLevel="0" collapsed="false">
      <c r="A4847" s="0" t="n">
        <v>65</v>
      </c>
      <c r="B4847" s="0" t="s">
        <v>60</v>
      </c>
      <c r="C4847" s="0" t="n">
        <v>2013</v>
      </c>
      <c r="D4847" s="0" t="n">
        <v>6</v>
      </c>
      <c r="E4847" s="38" t="n">
        <v>204293.28</v>
      </c>
    </row>
    <row r="4848" customFormat="false" ht="15" hidden="false" customHeight="false" outlineLevel="0" collapsed="false">
      <c r="A4848" s="0" t="n">
        <v>65</v>
      </c>
      <c r="B4848" s="0" t="s">
        <v>60</v>
      </c>
      <c r="C4848" s="0" t="n">
        <v>2013</v>
      </c>
      <c r="D4848" s="0" t="n">
        <v>7</v>
      </c>
      <c r="E4848" s="38" t="n">
        <v>241205.55</v>
      </c>
    </row>
    <row r="4849" customFormat="false" ht="15" hidden="false" customHeight="false" outlineLevel="0" collapsed="false">
      <c r="A4849" s="0" t="n">
        <v>65</v>
      </c>
      <c r="B4849" s="0" t="s">
        <v>60</v>
      </c>
      <c r="C4849" s="0" t="n">
        <v>2013</v>
      </c>
      <c r="D4849" s="0" t="n">
        <v>8</v>
      </c>
      <c r="E4849" s="38" t="n">
        <v>216711.42</v>
      </c>
    </row>
    <row r="4850" customFormat="false" ht="15" hidden="false" customHeight="false" outlineLevel="0" collapsed="false">
      <c r="A4850" s="0" t="n">
        <v>67</v>
      </c>
      <c r="B4850" s="0" t="s">
        <v>60</v>
      </c>
      <c r="C4850" s="0" t="n">
        <v>2011</v>
      </c>
      <c r="D4850" s="0" t="n">
        <v>1</v>
      </c>
      <c r="E4850" s="38" t="n">
        <v>1122443.11</v>
      </c>
    </row>
    <row r="4851" customFormat="false" ht="15" hidden="false" customHeight="false" outlineLevel="0" collapsed="false">
      <c r="A4851" s="0" t="n">
        <v>67</v>
      </c>
      <c r="B4851" s="0" t="s">
        <v>60</v>
      </c>
      <c r="C4851" s="0" t="n">
        <v>2011</v>
      </c>
      <c r="D4851" s="0" t="n">
        <v>2</v>
      </c>
      <c r="E4851" s="38" t="n">
        <v>829167.2</v>
      </c>
    </row>
    <row r="4852" customFormat="false" ht="15" hidden="false" customHeight="false" outlineLevel="0" collapsed="false">
      <c r="A4852" s="0" t="n">
        <v>67</v>
      </c>
      <c r="B4852" s="0" t="s">
        <v>60</v>
      </c>
      <c r="C4852" s="0" t="n">
        <v>2011</v>
      </c>
      <c r="D4852" s="0" t="n">
        <v>3</v>
      </c>
      <c r="E4852" s="38" t="n">
        <v>795417.15</v>
      </c>
    </row>
    <row r="4853" customFormat="false" ht="15" hidden="false" customHeight="false" outlineLevel="0" collapsed="false">
      <c r="A4853" s="0" t="n">
        <v>67</v>
      </c>
      <c r="B4853" s="0" t="s">
        <v>60</v>
      </c>
      <c r="C4853" s="0" t="n">
        <v>2011</v>
      </c>
      <c r="D4853" s="0" t="n">
        <v>4</v>
      </c>
      <c r="E4853" s="38" t="n">
        <v>1395354.21</v>
      </c>
    </row>
    <row r="4854" customFormat="false" ht="15" hidden="false" customHeight="false" outlineLevel="0" collapsed="false">
      <c r="A4854" s="0" t="n">
        <v>67</v>
      </c>
      <c r="B4854" s="0" t="s">
        <v>60</v>
      </c>
      <c r="C4854" s="0" t="n">
        <v>2011</v>
      </c>
      <c r="D4854" s="0" t="n">
        <v>5</v>
      </c>
      <c r="E4854" s="38" t="n">
        <v>1135536.43</v>
      </c>
    </row>
    <row r="4855" customFormat="false" ht="15" hidden="false" customHeight="false" outlineLevel="0" collapsed="false">
      <c r="A4855" s="0" t="n">
        <v>67</v>
      </c>
      <c r="B4855" s="0" t="s">
        <v>60</v>
      </c>
      <c r="C4855" s="0" t="n">
        <v>2011</v>
      </c>
      <c r="D4855" s="0" t="n">
        <v>6</v>
      </c>
      <c r="E4855" s="38" t="n">
        <v>728838.29</v>
      </c>
    </row>
    <row r="4856" customFormat="false" ht="15" hidden="false" customHeight="false" outlineLevel="0" collapsed="false">
      <c r="A4856" s="0" t="n">
        <v>67</v>
      </c>
      <c r="B4856" s="0" t="s">
        <v>60</v>
      </c>
      <c r="C4856" s="0" t="n">
        <v>2011</v>
      </c>
      <c r="D4856" s="0" t="n">
        <v>7</v>
      </c>
      <c r="E4856" s="38" t="n">
        <v>716634.5</v>
      </c>
    </row>
    <row r="4857" customFormat="false" ht="15" hidden="false" customHeight="false" outlineLevel="0" collapsed="false">
      <c r="A4857" s="0" t="n">
        <v>67</v>
      </c>
      <c r="B4857" s="0" t="s">
        <v>60</v>
      </c>
      <c r="C4857" s="0" t="n">
        <v>2011</v>
      </c>
      <c r="D4857" s="0" t="n">
        <v>8</v>
      </c>
      <c r="E4857" s="38" t="n">
        <v>709475.38</v>
      </c>
    </row>
    <row r="4858" customFormat="false" ht="15" hidden="false" customHeight="false" outlineLevel="0" collapsed="false">
      <c r="A4858" s="0" t="n">
        <v>67</v>
      </c>
      <c r="B4858" s="0" t="s">
        <v>60</v>
      </c>
      <c r="C4858" s="0" t="n">
        <v>2011</v>
      </c>
      <c r="D4858" s="0" t="n">
        <v>9</v>
      </c>
      <c r="E4858" s="38" t="n">
        <v>788873.68</v>
      </c>
    </row>
    <row r="4859" customFormat="false" ht="15" hidden="false" customHeight="false" outlineLevel="0" collapsed="false">
      <c r="A4859" s="0" t="n">
        <v>67</v>
      </c>
      <c r="B4859" s="0" t="s">
        <v>60</v>
      </c>
      <c r="C4859" s="0" t="n">
        <v>2011</v>
      </c>
      <c r="D4859" s="0" t="n">
        <v>10</v>
      </c>
      <c r="E4859" s="38" t="n">
        <v>744222.87</v>
      </c>
    </row>
    <row r="4860" customFormat="false" ht="15" hidden="false" customHeight="false" outlineLevel="0" collapsed="false">
      <c r="A4860" s="0" t="n">
        <v>67</v>
      </c>
      <c r="B4860" s="0" t="s">
        <v>60</v>
      </c>
      <c r="C4860" s="0" t="n">
        <v>2011</v>
      </c>
      <c r="D4860" s="0" t="n">
        <v>11</v>
      </c>
      <c r="E4860" s="38" t="n">
        <v>1330666.21</v>
      </c>
    </row>
    <row r="4861" customFormat="false" ht="15" hidden="false" customHeight="false" outlineLevel="0" collapsed="false">
      <c r="A4861" s="0" t="n">
        <v>67</v>
      </c>
      <c r="B4861" s="0" t="s">
        <v>60</v>
      </c>
      <c r="C4861" s="0" t="n">
        <v>2011</v>
      </c>
      <c r="D4861" s="0" t="n">
        <v>12</v>
      </c>
      <c r="E4861" s="38" t="n">
        <v>627004.57</v>
      </c>
    </row>
    <row r="4862" customFormat="false" ht="15" hidden="false" customHeight="false" outlineLevel="0" collapsed="false">
      <c r="A4862" s="0" t="n">
        <v>67</v>
      </c>
      <c r="B4862" s="0" t="s">
        <v>60</v>
      </c>
      <c r="C4862" s="0" t="n">
        <v>2012</v>
      </c>
      <c r="D4862" s="0" t="n">
        <v>1</v>
      </c>
      <c r="E4862" s="38" t="n">
        <v>1108090.9</v>
      </c>
    </row>
    <row r="4863" customFormat="false" ht="15" hidden="false" customHeight="false" outlineLevel="0" collapsed="false">
      <c r="A4863" s="0" t="n">
        <v>67</v>
      </c>
      <c r="B4863" s="0" t="s">
        <v>60</v>
      </c>
      <c r="C4863" s="0" t="n">
        <v>2012</v>
      </c>
      <c r="D4863" s="0" t="n">
        <v>2</v>
      </c>
      <c r="E4863" s="38" t="n">
        <v>694580.61</v>
      </c>
    </row>
    <row r="4864" customFormat="false" ht="15" hidden="false" customHeight="false" outlineLevel="0" collapsed="false">
      <c r="A4864" s="0" t="n">
        <v>67</v>
      </c>
      <c r="B4864" s="0" t="s">
        <v>60</v>
      </c>
      <c r="C4864" s="0" t="n">
        <v>2012</v>
      </c>
      <c r="D4864" s="0" t="n">
        <v>3</v>
      </c>
      <c r="E4864" s="38" t="n">
        <v>892343.66</v>
      </c>
    </row>
    <row r="4865" customFormat="false" ht="15" hidden="false" customHeight="false" outlineLevel="0" collapsed="false">
      <c r="A4865" s="0" t="n">
        <v>67</v>
      </c>
      <c r="B4865" s="0" t="s">
        <v>60</v>
      </c>
      <c r="C4865" s="0" t="n">
        <v>2012</v>
      </c>
      <c r="D4865" s="0" t="n">
        <v>4</v>
      </c>
      <c r="E4865" s="38" t="n">
        <v>1335427.8</v>
      </c>
    </row>
    <row r="4866" customFormat="false" ht="15" hidden="false" customHeight="false" outlineLevel="0" collapsed="false">
      <c r="A4866" s="0" t="n">
        <v>67</v>
      </c>
      <c r="B4866" s="0" t="s">
        <v>60</v>
      </c>
      <c r="C4866" s="0" t="n">
        <v>2012</v>
      </c>
      <c r="D4866" s="0" t="n">
        <v>5</v>
      </c>
      <c r="E4866" s="38" t="n">
        <v>1083705.21</v>
      </c>
    </row>
    <row r="4867" customFormat="false" ht="15" hidden="false" customHeight="false" outlineLevel="0" collapsed="false">
      <c r="A4867" s="0" t="n">
        <v>67</v>
      </c>
      <c r="B4867" s="0" t="s">
        <v>60</v>
      </c>
      <c r="C4867" s="0" t="n">
        <v>2012</v>
      </c>
      <c r="D4867" s="0" t="n">
        <v>6</v>
      </c>
      <c r="E4867" s="38" t="n">
        <v>673312.88</v>
      </c>
    </row>
    <row r="4868" customFormat="false" ht="15" hidden="false" customHeight="false" outlineLevel="0" collapsed="false">
      <c r="A4868" s="0" t="n">
        <v>67</v>
      </c>
      <c r="B4868" s="0" t="s">
        <v>60</v>
      </c>
      <c r="C4868" s="0" t="n">
        <v>2012</v>
      </c>
      <c r="D4868" s="0" t="n">
        <v>7</v>
      </c>
      <c r="E4868" s="38" t="n">
        <v>660055.9</v>
      </c>
    </row>
    <row r="4869" customFormat="false" ht="15" hidden="false" customHeight="false" outlineLevel="0" collapsed="false">
      <c r="A4869" s="0" t="n">
        <v>67</v>
      </c>
      <c r="B4869" s="0" t="s">
        <v>60</v>
      </c>
      <c r="C4869" s="0" t="n">
        <v>2012</v>
      </c>
      <c r="D4869" s="0" t="n">
        <v>8</v>
      </c>
      <c r="E4869" s="38" t="n">
        <v>696967.17</v>
      </c>
    </row>
    <row r="4870" customFormat="false" ht="15" hidden="false" customHeight="false" outlineLevel="0" collapsed="false">
      <c r="A4870" s="0" t="n">
        <v>67</v>
      </c>
      <c r="B4870" s="0" t="s">
        <v>60</v>
      </c>
      <c r="C4870" s="0" t="n">
        <v>2012</v>
      </c>
      <c r="D4870" s="0" t="n">
        <v>9</v>
      </c>
      <c r="E4870" s="38" t="n">
        <v>798563.09</v>
      </c>
    </row>
    <row r="4871" customFormat="false" ht="15" hidden="false" customHeight="false" outlineLevel="0" collapsed="false">
      <c r="A4871" s="0" t="n">
        <v>67</v>
      </c>
      <c r="B4871" s="0" t="s">
        <v>60</v>
      </c>
      <c r="C4871" s="0" t="n">
        <v>2012</v>
      </c>
      <c r="D4871" s="0" t="n">
        <v>10</v>
      </c>
      <c r="E4871" s="38" t="n">
        <v>777290.59</v>
      </c>
    </row>
    <row r="4872" customFormat="false" ht="15" hidden="false" customHeight="false" outlineLevel="0" collapsed="false">
      <c r="A4872" s="0" t="n">
        <v>67</v>
      </c>
      <c r="B4872" s="0" t="s">
        <v>60</v>
      </c>
      <c r="C4872" s="0" t="n">
        <v>2012</v>
      </c>
      <c r="D4872" s="0" t="n">
        <v>11</v>
      </c>
      <c r="E4872" s="38" t="n">
        <v>1423657.36</v>
      </c>
    </row>
    <row r="4873" customFormat="false" ht="15" hidden="false" customHeight="false" outlineLevel="0" collapsed="false">
      <c r="A4873" s="0" t="n">
        <v>67</v>
      </c>
      <c r="B4873" s="0" t="s">
        <v>60</v>
      </c>
      <c r="C4873" s="0" t="n">
        <v>2012</v>
      </c>
      <c r="D4873" s="0" t="n">
        <v>12</v>
      </c>
      <c r="E4873" s="38" t="n">
        <v>685838.45</v>
      </c>
    </row>
    <row r="4874" customFormat="false" ht="15" hidden="false" customHeight="false" outlineLevel="0" collapsed="false">
      <c r="A4874" s="0" t="n">
        <v>67</v>
      </c>
      <c r="B4874" s="0" t="s">
        <v>60</v>
      </c>
      <c r="C4874" s="0" t="n">
        <v>2013</v>
      </c>
      <c r="D4874" s="0" t="n">
        <v>1</v>
      </c>
      <c r="E4874" s="38" t="n">
        <v>1193952.81</v>
      </c>
    </row>
    <row r="4875" customFormat="false" ht="15" hidden="false" customHeight="false" outlineLevel="0" collapsed="false">
      <c r="A4875" s="0" t="n">
        <v>67</v>
      </c>
      <c r="B4875" s="0" t="s">
        <v>60</v>
      </c>
      <c r="C4875" s="0" t="n">
        <v>2013</v>
      </c>
      <c r="D4875" s="0" t="n">
        <v>2</v>
      </c>
      <c r="E4875" s="38" t="n">
        <v>756432.17</v>
      </c>
    </row>
    <row r="4876" customFormat="false" ht="15" hidden="false" customHeight="false" outlineLevel="0" collapsed="false">
      <c r="A4876" s="0" t="n">
        <v>67</v>
      </c>
      <c r="B4876" s="0" t="s">
        <v>60</v>
      </c>
      <c r="C4876" s="0" t="n">
        <v>2013</v>
      </c>
      <c r="D4876" s="0" t="n">
        <v>3</v>
      </c>
      <c r="E4876" s="38" t="n">
        <v>853519.58</v>
      </c>
    </row>
    <row r="4877" customFormat="false" ht="15" hidden="false" customHeight="false" outlineLevel="0" collapsed="false">
      <c r="A4877" s="0" t="n">
        <v>67</v>
      </c>
      <c r="B4877" s="0" t="s">
        <v>60</v>
      </c>
      <c r="C4877" s="0" t="n">
        <v>2013</v>
      </c>
      <c r="D4877" s="0" t="n">
        <v>4</v>
      </c>
      <c r="E4877" s="38" t="n">
        <v>1469723.06</v>
      </c>
    </row>
    <row r="4878" customFormat="false" ht="15" hidden="false" customHeight="false" outlineLevel="0" collapsed="false">
      <c r="A4878" s="0" t="n">
        <v>67</v>
      </c>
      <c r="B4878" s="0" t="s">
        <v>60</v>
      </c>
      <c r="C4878" s="0" t="n">
        <v>2013</v>
      </c>
      <c r="D4878" s="0" t="n">
        <v>5</v>
      </c>
      <c r="E4878" s="38" t="n">
        <v>1111020.42</v>
      </c>
    </row>
    <row r="4879" customFormat="false" ht="15" hidden="false" customHeight="false" outlineLevel="0" collapsed="false">
      <c r="A4879" s="0" t="n">
        <v>67</v>
      </c>
      <c r="B4879" s="0" t="s">
        <v>60</v>
      </c>
      <c r="C4879" s="0" t="n">
        <v>2013</v>
      </c>
      <c r="D4879" s="0" t="n">
        <v>6</v>
      </c>
      <c r="E4879" s="38" t="n">
        <v>742379.95</v>
      </c>
    </row>
    <row r="4880" customFormat="false" ht="15" hidden="false" customHeight="false" outlineLevel="0" collapsed="false">
      <c r="A4880" s="0" t="n">
        <v>67</v>
      </c>
      <c r="B4880" s="0" t="s">
        <v>60</v>
      </c>
      <c r="C4880" s="0" t="n">
        <v>2013</v>
      </c>
      <c r="D4880" s="0" t="n">
        <v>7</v>
      </c>
      <c r="E4880" s="38" t="n">
        <v>721461.4</v>
      </c>
    </row>
    <row r="4881" customFormat="false" ht="15" hidden="false" customHeight="false" outlineLevel="0" collapsed="false">
      <c r="A4881" s="0" t="n">
        <v>67</v>
      </c>
      <c r="B4881" s="0" t="s">
        <v>60</v>
      </c>
      <c r="C4881" s="0" t="n">
        <v>2013</v>
      </c>
      <c r="D4881" s="0" t="n">
        <v>8</v>
      </c>
      <c r="E4881" s="38" t="n">
        <v>731791.64</v>
      </c>
    </row>
    <row r="4882" customFormat="false" ht="15" hidden="false" customHeight="false" outlineLevel="0" collapsed="false">
      <c r="A4882" s="0" t="n">
        <v>67</v>
      </c>
      <c r="B4882" s="0" t="s">
        <v>62</v>
      </c>
      <c r="C4882" s="0" t="n">
        <v>2011</v>
      </c>
      <c r="D4882" s="0" t="n">
        <v>1</v>
      </c>
      <c r="E4882" s="38" t="n">
        <v>616164.68</v>
      </c>
    </row>
    <row r="4883" customFormat="false" ht="15" hidden="false" customHeight="false" outlineLevel="0" collapsed="false">
      <c r="A4883" s="0" t="n">
        <v>67</v>
      </c>
      <c r="B4883" s="0" t="s">
        <v>62</v>
      </c>
      <c r="C4883" s="0" t="n">
        <v>2011</v>
      </c>
      <c r="D4883" s="0" t="n">
        <v>2</v>
      </c>
      <c r="E4883" s="38" t="n">
        <v>493657.77</v>
      </c>
    </row>
    <row r="4884" customFormat="false" ht="15" hidden="false" customHeight="false" outlineLevel="0" collapsed="false">
      <c r="A4884" s="0" t="n">
        <v>67</v>
      </c>
      <c r="B4884" s="0" t="s">
        <v>62</v>
      </c>
      <c r="C4884" s="0" t="n">
        <v>2011</v>
      </c>
      <c r="D4884" s="0" t="n">
        <v>3</v>
      </c>
      <c r="E4884" s="38" t="n">
        <v>455634.77</v>
      </c>
    </row>
    <row r="4885" customFormat="false" ht="15" hidden="false" customHeight="false" outlineLevel="0" collapsed="false">
      <c r="A4885" s="0" t="n">
        <v>67</v>
      </c>
      <c r="B4885" s="0" t="s">
        <v>62</v>
      </c>
      <c r="C4885" s="0" t="n">
        <v>2011</v>
      </c>
      <c r="D4885" s="0" t="n">
        <v>4</v>
      </c>
      <c r="E4885" s="38" t="n">
        <v>713795.17</v>
      </c>
    </row>
    <row r="4886" customFormat="false" ht="15" hidden="false" customHeight="false" outlineLevel="0" collapsed="false">
      <c r="A4886" s="0" t="n">
        <v>67</v>
      </c>
      <c r="B4886" s="0" t="s">
        <v>62</v>
      </c>
      <c r="C4886" s="0" t="n">
        <v>2011</v>
      </c>
      <c r="D4886" s="0" t="n">
        <v>5</v>
      </c>
      <c r="E4886" s="38" t="n">
        <v>639306.42</v>
      </c>
    </row>
    <row r="4887" customFormat="false" ht="15" hidden="false" customHeight="false" outlineLevel="0" collapsed="false">
      <c r="A4887" s="0" t="n">
        <v>67</v>
      </c>
      <c r="B4887" s="0" t="s">
        <v>62</v>
      </c>
      <c r="C4887" s="0" t="n">
        <v>2011</v>
      </c>
      <c r="D4887" s="0" t="n">
        <v>6</v>
      </c>
      <c r="E4887" s="38" t="n">
        <v>408898.17</v>
      </c>
    </row>
    <row r="4888" customFormat="false" ht="15" hidden="false" customHeight="false" outlineLevel="0" collapsed="false">
      <c r="A4888" s="0" t="n">
        <v>67</v>
      </c>
      <c r="B4888" s="0" t="s">
        <v>62</v>
      </c>
      <c r="C4888" s="0" t="n">
        <v>2011</v>
      </c>
      <c r="D4888" s="0" t="n">
        <v>7</v>
      </c>
      <c r="E4888" s="38" t="n">
        <v>400444.22</v>
      </c>
    </row>
    <row r="4889" customFormat="false" ht="15" hidden="false" customHeight="false" outlineLevel="0" collapsed="false">
      <c r="A4889" s="0" t="n">
        <v>67</v>
      </c>
      <c r="B4889" s="0" t="s">
        <v>62</v>
      </c>
      <c r="C4889" s="0" t="n">
        <v>2011</v>
      </c>
      <c r="D4889" s="0" t="n">
        <v>8</v>
      </c>
      <c r="E4889" s="38" t="n">
        <v>384244.04</v>
      </c>
    </row>
    <row r="4890" customFormat="false" ht="15" hidden="false" customHeight="false" outlineLevel="0" collapsed="false">
      <c r="A4890" s="0" t="n">
        <v>67</v>
      </c>
      <c r="B4890" s="0" t="s">
        <v>62</v>
      </c>
      <c r="C4890" s="0" t="n">
        <v>2011</v>
      </c>
      <c r="D4890" s="0" t="n">
        <v>9</v>
      </c>
      <c r="E4890" s="38" t="n">
        <v>451968.55</v>
      </c>
    </row>
    <row r="4891" customFormat="false" ht="15" hidden="false" customHeight="false" outlineLevel="0" collapsed="false">
      <c r="A4891" s="0" t="n">
        <v>67</v>
      </c>
      <c r="B4891" s="0" t="s">
        <v>62</v>
      </c>
      <c r="C4891" s="0" t="n">
        <v>2011</v>
      </c>
      <c r="D4891" s="0" t="n">
        <v>10</v>
      </c>
      <c r="E4891" s="38" t="n">
        <v>439301.36</v>
      </c>
    </row>
    <row r="4892" customFormat="false" ht="15" hidden="false" customHeight="false" outlineLevel="0" collapsed="false">
      <c r="A4892" s="0" t="n">
        <v>67</v>
      </c>
      <c r="B4892" s="0" t="s">
        <v>62</v>
      </c>
      <c r="C4892" s="0" t="n">
        <v>2011</v>
      </c>
      <c r="D4892" s="0" t="n">
        <v>11</v>
      </c>
      <c r="E4892" s="38" t="n">
        <v>780142.25</v>
      </c>
    </row>
    <row r="4893" customFormat="false" ht="15" hidden="false" customHeight="false" outlineLevel="0" collapsed="false">
      <c r="A4893" s="0" t="n">
        <v>67</v>
      </c>
      <c r="B4893" s="0" t="s">
        <v>62</v>
      </c>
      <c r="C4893" s="0" t="n">
        <v>2011</v>
      </c>
      <c r="D4893" s="0" t="n">
        <v>12</v>
      </c>
      <c r="E4893" s="38" t="n">
        <v>351958.76</v>
      </c>
    </row>
    <row r="4894" customFormat="false" ht="15" hidden="false" customHeight="false" outlineLevel="0" collapsed="false">
      <c r="A4894" s="0" t="n">
        <v>67</v>
      </c>
      <c r="B4894" s="0" t="s">
        <v>62</v>
      </c>
      <c r="C4894" s="0" t="n">
        <v>2012</v>
      </c>
      <c r="D4894" s="0" t="n">
        <v>1</v>
      </c>
      <c r="E4894" s="38" t="n">
        <v>596693.62</v>
      </c>
    </row>
    <row r="4895" customFormat="false" ht="15" hidden="false" customHeight="false" outlineLevel="0" collapsed="false">
      <c r="A4895" s="0" t="n">
        <v>67</v>
      </c>
      <c r="B4895" s="0" t="s">
        <v>62</v>
      </c>
      <c r="C4895" s="0" t="n">
        <v>2012</v>
      </c>
      <c r="D4895" s="0" t="n">
        <v>2</v>
      </c>
      <c r="E4895" s="38" t="n">
        <v>402307.2</v>
      </c>
    </row>
    <row r="4896" customFormat="false" ht="15" hidden="false" customHeight="false" outlineLevel="0" collapsed="false">
      <c r="A4896" s="0" t="n">
        <v>67</v>
      </c>
      <c r="B4896" s="0" t="s">
        <v>62</v>
      </c>
      <c r="C4896" s="0" t="n">
        <v>2012</v>
      </c>
      <c r="D4896" s="0" t="n">
        <v>3</v>
      </c>
      <c r="E4896" s="38" t="n">
        <v>502731.99</v>
      </c>
    </row>
    <row r="4897" customFormat="false" ht="15" hidden="false" customHeight="false" outlineLevel="0" collapsed="false">
      <c r="A4897" s="0" t="n">
        <v>67</v>
      </c>
      <c r="B4897" s="0" t="s">
        <v>62</v>
      </c>
      <c r="C4897" s="0" t="n">
        <v>2012</v>
      </c>
      <c r="D4897" s="0" t="n">
        <v>4</v>
      </c>
      <c r="E4897" s="38" t="n">
        <v>673336.82</v>
      </c>
    </row>
    <row r="4898" customFormat="false" ht="15" hidden="false" customHeight="false" outlineLevel="0" collapsed="false">
      <c r="A4898" s="0" t="n">
        <v>67</v>
      </c>
      <c r="B4898" s="0" t="s">
        <v>62</v>
      </c>
      <c r="C4898" s="0" t="n">
        <v>2012</v>
      </c>
      <c r="D4898" s="0" t="n">
        <v>5</v>
      </c>
      <c r="E4898" s="38" t="n">
        <v>599206.82</v>
      </c>
    </row>
    <row r="4899" customFormat="false" ht="15" hidden="false" customHeight="false" outlineLevel="0" collapsed="false">
      <c r="A4899" s="0" t="n">
        <v>67</v>
      </c>
      <c r="B4899" s="0" t="s">
        <v>62</v>
      </c>
      <c r="C4899" s="0" t="n">
        <v>2012</v>
      </c>
      <c r="D4899" s="0" t="n">
        <v>6</v>
      </c>
      <c r="E4899" s="38" t="n">
        <v>374455.25</v>
      </c>
    </row>
    <row r="4900" customFormat="false" ht="15" hidden="false" customHeight="false" outlineLevel="0" collapsed="false">
      <c r="A4900" s="0" t="n">
        <v>67</v>
      </c>
      <c r="B4900" s="0" t="s">
        <v>62</v>
      </c>
      <c r="C4900" s="0" t="n">
        <v>2012</v>
      </c>
      <c r="D4900" s="0" t="n">
        <v>7</v>
      </c>
      <c r="E4900" s="38" t="n">
        <v>357548.16</v>
      </c>
    </row>
    <row r="4901" customFormat="false" ht="15" hidden="false" customHeight="false" outlineLevel="0" collapsed="false">
      <c r="A4901" s="0" t="n">
        <v>67</v>
      </c>
      <c r="B4901" s="0" t="s">
        <v>62</v>
      </c>
      <c r="C4901" s="0" t="n">
        <v>2012</v>
      </c>
      <c r="D4901" s="0" t="n">
        <v>8</v>
      </c>
      <c r="E4901" s="38" t="n">
        <v>380149.96</v>
      </c>
    </row>
    <row r="4902" customFormat="false" ht="15" hidden="false" customHeight="false" outlineLevel="0" collapsed="false">
      <c r="A4902" s="0" t="n">
        <v>67</v>
      </c>
      <c r="B4902" s="0" t="s">
        <v>62</v>
      </c>
      <c r="C4902" s="0" t="n">
        <v>2012</v>
      </c>
      <c r="D4902" s="0" t="n">
        <v>9</v>
      </c>
      <c r="E4902" s="38" t="n">
        <v>446661.15</v>
      </c>
    </row>
    <row r="4903" customFormat="false" ht="15" hidden="false" customHeight="false" outlineLevel="0" collapsed="false">
      <c r="A4903" s="0" t="n">
        <v>67</v>
      </c>
      <c r="B4903" s="0" t="s">
        <v>62</v>
      </c>
      <c r="C4903" s="0" t="n">
        <v>2012</v>
      </c>
      <c r="D4903" s="0" t="n">
        <v>10</v>
      </c>
      <c r="E4903" s="38" t="n">
        <v>452994.14</v>
      </c>
    </row>
    <row r="4904" customFormat="false" ht="15" hidden="false" customHeight="false" outlineLevel="0" collapsed="false">
      <c r="A4904" s="0" t="n">
        <v>67</v>
      </c>
      <c r="B4904" s="0" t="s">
        <v>62</v>
      </c>
      <c r="C4904" s="0" t="n">
        <v>2012</v>
      </c>
      <c r="D4904" s="0" t="n">
        <v>11</v>
      </c>
      <c r="E4904" s="38" t="n">
        <v>838595.26</v>
      </c>
    </row>
    <row r="4905" customFormat="false" ht="15" hidden="false" customHeight="false" outlineLevel="0" collapsed="false">
      <c r="A4905" s="0" t="n">
        <v>67</v>
      </c>
      <c r="B4905" s="0" t="s">
        <v>62</v>
      </c>
      <c r="C4905" s="0" t="n">
        <v>2012</v>
      </c>
      <c r="D4905" s="0" t="n">
        <v>12</v>
      </c>
      <c r="E4905" s="38" t="n">
        <v>389399.34</v>
      </c>
    </row>
    <row r="4906" customFormat="false" ht="15" hidden="false" customHeight="false" outlineLevel="0" collapsed="false">
      <c r="A4906" s="0" t="n">
        <v>67</v>
      </c>
      <c r="B4906" s="0" t="s">
        <v>62</v>
      </c>
      <c r="C4906" s="0" t="n">
        <v>2013</v>
      </c>
      <c r="D4906" s="0" t="n">
        <v>1</v>
      </c>
      <c r="E4906" s="38" t="n">
        <v>623188.78</v>
      </c>
    </row>
    <row r="4907" customFormat="false" ht="15" hidden="false" customHeight="false" outlineLevel="0" collapsed="false">
      <c r="A4907" s="0" t="n">
        <v>67</v>
      </c>
      <c r="B4907" s="0" t="s">
        <v>62</v>
      </c>
      <c r="C4907" s="0" t="n">
        <v>2013</v>
      </c>
      <c r="D4907" s="0" t="n">
        <v>2</v>
      </c>
      <c r="E4907" s="38" t="n">
        <v>431445.74</v>
      </c>
    </row>
    <row r="4908" customFormat="false" ht="15" hidden="false" customHeight="false" outlineLevel="0" collapsed="false">
      <c r="A4908" s="0" t="n">
        <v>67</v>
      </c>
      <c r="B4908" s="0" t="s">
        <v>62</v>
      </c>
      <c r="C4908" s="0" t="n">
        <v>2013</v>
      </c>
      <c r="D4908" s="0" t="n">
        <v>3</v>
      </c>
      <c r="E4908" s="38" t="n">
        <v>462278.77</v>
      </c>
    </row>
    <row r="4909" customFormat="false" ht="15" hidden="false" customHeight="false" outlineLevel="0" collapsed="false">
      <c r="A4909" s="0" t="n">
        <v>67</v>
      </c>
      <c r="B4909" s="0" t="s">
        <v>62</v>
      </c>
      <c r="C4909" s="0" t="n">
        <v>2013</v>
      </c>
      <c r="D4909" s="0" t="n">
        <v>4</v>
      </c>
      <c r="E4909" s="38" t="n">
        <v>712158.18</v>
      </c>
    </row>
    <row r="4910" customFormat="false" ht="15" hidden="false" customHeight="false" outlineLevel="0" collapsed="false">
      <c r="A4910" s="0" t="n">
        <v>67</v>
      </c>
      <c r="B4910" s="0" t="s">
        <v>62</v>
      </c>
      <c r="C4910" s="0" t="n">
        <v>2013</v>
      </c>
      <c r="D4910" s="0" t="n">
        <v>5</v>
      </c>
      <c r="E4910" s="38" t="n">
        <v>600990.22</v>
      </c>
    </row>
    <row r="4911" customFormat="false" ht="15" hidden="false" customHeight="false" outlineLevel="0" collapsed="false">
      <c r="A4911" s="0" t="n">
        <v>67</v>
      </c>
      <c r="B4911" s="0" t="s">
        <v>62</v>
      </c>
      <c r="C4911" s="0" t="n">
        <v>2013</v>
      </c>
      <c r="D4911" s="0" t="n">
        <v>6</v>
      </c>
      <c r="E4911" s="38" t="n">
        <v>408840.97</v>
      </c>
    </row>
    <row r="4912" customFormat="false" ht="15" hidden="false" customHeight="false" outlineLevel="0" collapsed="false">
      <c r="A4912" s="0" t="n">
        <v>67</v>
      </c>
      <c r="B4912" s="0" t="s">
        <v>62</v>
      </c>
      <c r="C4912" s="0" t="n">
        <v>2013</v>
      </c>
      <c r="D4912" s="0" t="n">
        <v>7</v>
      </c>
      <c r="E4912" s="38" t="n">
        <v>394976.87</v>
      </c>
    </row>
    <row r="4913" customFormat="false" ht="15" hidden="false" customHeight="false" outlineLevel="0" collapsed="false">
      <c r="A4913" s="0" t="n">
        <v>67</v>
      </c>
      <c r="B4913" s="0" t="s">
        <v>62</v>
      </c>
      <c r="C4913" s="0" t="n">
        <v>2013</v>
      </c>
      <c r="D4913" s="0" t="n">
        <v>8</v>
      </c>
      <c r="E4913" s="38" t="n">
        <v>395307.61</v>
      </c>
    </row>
    <row r="4914" customFormat="false" ht="15" hidden="false" customHeight="false" outlineLevel="0" collapsed="false">
      <c r="A4914" s="0" t="n">
        <v>67</v>
      </c>
      <c r="B4914" s="0" t="s">
        <v>64</v>
      </c>
      <c r="C4914" s="0" t="n">
        <v>2011</v>
      </c>
      <c r="D4914" s="0" t="n">
        <v>1</v>
      </c>
      <c r="E4914" s="38" t="n">
        <v>47272.62</v>
      </c>
    </row>
    <row r="4915" customFormat="false" ht="15" hidden="false" customHeight="false" outlineLevel="0" collapsed="false">
      <c r="A4915" s="0" t="n">
        <v>67</v>
      </c>
      <c r="B4915" s="0" t="s">
        <v>64</v>
      </c>
      <c r="C4915" s="0" t="n">
        <v>2011</v>
      </c>
      <c r="D4915" s="0" t="n">
        <v>2</v>
      </c>
      <c r="E4915" s="38" t="n">
        <v>30641.32</v>
      </c>
    </row>
    <row r="4916" customFormat="false" ht="15" hidden="false" customHeight="false" outlineLevel="0" collapsed="false">
      <c r="A4916" s="0" t="n">
        <v>67</v>
      </c>
      <c r="B4916" s="0" t="s">
        <v>64</v>
      </c>
      <c r="C4916" s="0" t="n">
        <v>2011</v>
      </c>
      <c r="D4916" s="0" t="n">
        <v>3</v>
      </c>
      <c r="E4916" s="38" t="n">
        <v>30657.43</v>
      </c>
    </row>
    <row r="4917" customFormat="false" ht="15" hidden="false" customHeight="false" outlineLevel="0" collapsed="false">
      <c r="A4917" s="0" t="n">
        <v>67</v>
      </c>
      <c r="B4917" s="0" t="s">
        <v>64</v>
      </c>
      <c r="C4917" s="0" t="n">
        <v>2011</v>
      </c>
      <c r="D4917" s="0" t="n">
        <v>4</v>
      </c>
      <c r="E4917" s="38" t="n">
        <v>59480.13</v>
      </c>
    </row>
    <row r="4918" customFormat="false" ht="15" hidden="false" customHeight="false" outlineLevel="0" collapsed="false">
      <c r="A4918" s="0" t="n">
        <v>67</v>
      </c>
      <c r="B4918" s="0" t="s">
        <v>64</v>
      </c>
      <c r="C4918" s="0" t="n">
        <v>2011</v>
      </c>
      <c r="D4918" s="0" t="n">
        <v>5</v>
      </c>
      <c r="E4918" s="38" t="n">
        <v>46852.19</v>
      </c>
    </row>
    <row r="4919" customFormat="false" ht="15" hidden="false" customHeight="false" outlineLevel="0" collapsed="false">
      <c r="A4919" s="0" t="n">
        <v>67</v>
      </c>
      <c r="B4919" s="0" t="s">
        <v>64</v>
      </c>
      <c r="C4919" s="0" t="n">
        <v>2011</v>
      </c>
      <c r="D4919" s="0" t="n">
        <v>6</v>
      </c>
      <c r="E4919" s="38" t="n">
        <v>28535.91</v>
      </c>
    </row>
    <row r="4920" customFormat="false" ht="15" hidden="false" customHeight="false" outlineLevel="0" collapsed="false">
      <c r="A4920" s="0" t="n">
        <v>67</v>
      </c>
      <c r="B4920" s="0" t="s">
        <v>64</v>
      </c>
      <c r="C4920" s="0" t="n">
        <v>2011</v>
      </c>
      <c r="D4920" s="0" t="n">
        <v>7</v>
      </c>
      <c r="E4920" s="38" t="n">
        <v>29173.06</v>
      </c>
    </row>
    <row r="4921" customFormat="false" ht="15" hidden="false" customHeight="false" outlineLevel="0" collapsed="false">
      <c r="A4921" s="0" t="n">
        <v>67</v>
      </c>
      <c r="B4921" s="0" t="s">
        <v>64</v>
      </c>
      <c r="C4921" s="0" t="n">
        <v>2011</v>
      </c>
      <c r="D4921" s="0" t="n">
        <v>8</v>
      </c>
      <c r="E4921" s="38" t="n">
        <v>29271.82</v>
      </c>
    </row>
    <row r="4922" customFormat="false" ht="15" hidden="false" customHeight="false" outlineLevel="0" collapsed="false">
      <c r="A4922" s="0" t="n">
        <v>67</v>
      </c>
      <c r="B4922" s="0" t="s">
        <v>64</v>
      </c>
      <c r="C4922" s="0" t="n">
        <v>2011</v>
      </c>
      <c r="D4922" s="0" t="n">
        <v>9</v>
      </c>
      <c r="E4922" s="38" t="n">
        <v>32240.03</v>
      </c>
    </row>
    <row r="4923" customFormat="false" ht="15" hidden="false" customHeight="false" outlineLevel="0" collapsed="false">
      <c r="A4923" s="0" t="n">
        <v>67</v>
      </c>
      <c r="B4923" s="0" t="s">
        <v>64</v>
      </c>
      <c r="C4923" s="0" t="n">
        <v>2011</v>
      </c>
      <c r="D4923" s="0" t="n">
        <v>10</v>
      </c>
      <c r="E4923" s="38" t="n">
        <v>27392.45</v>
      </c>
    </row>
    <row r="4924" customFormat="false" ht="15" hidden="false" customHeight="false" outlineLevel="0" collapsed="false">
      <c r="A4924" s="0" t="n">
        <v>67</v>
      </c>
      <c r="B4924" s="0" t="s">
        <v>64</v>
      </c>
      <c r="C4924" s="0" t="n">
        <v>2011</v>
      </c>
      <c r="D4924" s="0" t="n">
        <v>11</v>
      </c>
      <c r="E4924" s="38" t="n">
        <v>42465.83</v>
      </c>
    </row>
    <row r="4925" customFormat="false" ht="15" hidden="false" customHeight="false" outlineLevel="0" collapsed="false">
      <c r="A4925" s="0" t="n">
        <v>67</v>
      </c>
      <c r="B4925" s="0" t="s">
        <v>64</v>
      </c>
      <c r="C4925" s="0" t="n">
        <v>2011</v>
      </c>
      <c r="D4925" s="0" t="n">
        <v>12</v>
      </c>
      <c r="E4925" s="38" t="n">
        <v>24810.41</v>
      </c>
    </row>
    <row r="4926" customFormat="false" ht="15" hidden="false" customHeight="false" outlineLevel="0" collapsed="false">
      <c r="A4926" s="0" t="n">
        <v>67</v>
      </c>
      <c r="B4926" s="0" t="s">
        <v>64</v>
      </c>
      <c r="C4926" s="0" t="n">
        <v>2012</v>
      </c>
      <c r="D4926" s="0" t="n">
        <v>1</v>
      </c>
      <c r="E4926" s="38" t="n">
        <v>44138.07</v>
      </c>
    </row>
    <row r="4927" customFormat="false" ht="15" hidden="false" customHeight="false" outlineLevel="0" collapsed="false">
      <c r="A4927" s="0" t="n">
        <v>67</v>
      </c>
      <c r="B4927" s="0" t="s">
        <v>64</v>
      </c>
      <c r="C4927" s="0" t="n">
        <v>2012</v>
      </c>
      <c r="D4927" s="0" t="n">
        <v>2</v>
      </c>
      <c r="E4927" s="38" t="n">
        <v>26141.48</v>
      </c>
    </row>
    <row r="4928" customFormat="false" ht="15" hidden="false" customHeight="false" outlineLevel="0" collapsed="false">
      <c r="A4928" s="0" t="n">
        <v>67</v>
      </c>
      <c r="B4928" s="0" t="s">
        <v>64</v>
      </c>
      <c r="C4928" s="0" t="n">
        <v>2012</v>
      </c>
      <c r="D4928" s="0" t="n">
        <v>3</v>
      </c>
      <c r="E4928" s="38" t="n">
        <v>31997</v>
      </c>
    </row>
    <row r="4929" customFormat="false" ht="15" hidden="false" customHeight="false" outlineLevel="0" collapsed="false">
      <c r="A4929" s="0" t="n">
        <v>67</v>
      </c>
      <c r="B4929" s="0" t="s">
        <v>64</v>
      </c>
      <c r="C4929" s="0" t="n">
        <v>2012</v>
      </c>
      <c r="D4929" s="0" t="n">
        <v>4</v>
      </c>
      <c r="E4929" s="38" t="n">
        <v>56471.55</v>
      </c>
    </row>
    <row r="4930" customFormat="false" ht="15" hidden="false" customHeight="false" outlineLevel="0" collapsed="false">
      <c r="A4930" s="0" t="n">
        <v>67</v>
      </c>
      <c r="B4930" s="0" t="s">
        <v>64</v>
      </c>
      <c r="C4930" s="0" t="n">
        <v>2012</v>
      </c>
      <c r="D4930" s="0" t="n">
        <v>5</v>
      </c>
      <c r="E4930" s="38" t="n">
        <v>41231.67</v>
      </c>
    </row>
    <row r="4931" customFormat="false" ht="15" hidden="false" customHeight="false" outlineLevel="0" collapsed="false">
      <c r="A4931" s="0" t="n">
        <v>67</v>
      </c>
      <c r="B4931" s="0" t="s">
        <v>64</v>
      </c>
      <c r="C4931" s="0" t="n">
        <v>2012</v>
      </c>
      <c r="D4931" s="0" t="n">
        <v>6</v>
      </c>
      <c r="E4931" s="38" t="n">
        <v>24061.64</v>
      </c>
    </row>
    <row r="4932" customFormat="false" ht="15" hidden="false" customHeight="false" outlineLevel="0" collapsed="false">
      <c r="A4932" s="0" t="n">
        <v>67</v>
      </c>
      <c r="B4932" s="0" t="s">
        <v>64</v>
      </c>
      <c r="C4932" s="0" t="n">
        <v>2012</v>
      </c>
      <c r="D4932" s="0" t="n">
        <v>7</v>
      </c>
      <c r="E4932" s="38" t="n">
        <v>25185.25</v>
      </c>
    </row>
    <row r="4933" customFormat="false" ht="15" hidden="false" customHeight="false" outlineLevel="0" collapsed="false">
      <c r="A4933" s="0" t="n">
        <v>67</v>
      </c>
      <c r="B4933" s="0" t="s">
        <v>64</v>
      </c>
      <c r="C4933" s="0" t="n">
        <v>2012</v>
      </c>
      <c r="D4933" s="0" t="n">
        <v>8</v>
      </c>
      <c r="E4933" s="38" t="n">
        <v>26794.85</v>
      </c>
    </row>
    <row r="4934" customFormat="false" ht="15" hidden="false" customHeight="false" outlineLevel="0" collapsed="false">
      <c r="A4934" s="0" t="n">
        <v>67</v>
      </c>
      <c r="B4934" s="0" t="s">
        <v>64</v>
      </c>
      <c r="C4934" s="0" t="n">
        <v>2012</v>
      </c>
      <c r="D4934" s="0" t="n">
        <v>9</v>
      </c>
      <c r="E4934" s="38" t="n">
        <v>27625.05</v>
      </c>
    </row>
    <row r="4935" customFormat="false" ht="15" hidden="false" customHeight="false" outlineLevel="0" collapsed="false">
      <c r="A4935" s="0" t="n">
        <v>67</v>
      </c>
      <c r="B4935" s="0" t="s">
        <v>64</v>
      </c>
      <c r="C4935" s="0" t="n">
        <v>2012</v>
      </c>
      <c r="D4935" s="0" t="n">
        <v>10</v>
      </c>
      <c r="E4935" s="38" t="n">
        <v>26319.04</v>
      </c>
    </row>
    <row r="4936" customFormat="false" ht="15" hidden="false" customHeight="false" outlineLevel="0" collapsed="false">
      <c r="A4936" s="0" t="n">
        <v>67</v>
      </c>
      <c r="B4936" s="0" t="s">
        <v>64</v>
      </c>
      <c r="C4936" s="0" t="n">
        <v>2012</v>
      </c>
      <c r="D4936" s="0" t="n">
        <v>11</v>
      </c>
      <c r="E4936" s="38" t="n">
        <v>45342.76</v>
      </c>
    </row>
    <row r="4937" customFormat="false" ht="15" hidden="false" customHeight="false" outlineLevel="0" collapsed="false">
      <c r="A4937" s="0" t="n">
        <v>67</v>
      </c>
      <c r="B4937" s="0" t="s">
        <v>64</v>
      </c>
      <c r="C4937" s="0" t="n">
        <v>2012</v>
      </c>
      <c r="D4937" s="0" t="n">
        <v>12</v>
      </c>
      <c r="E4937" s="38" t="n">
        <v>27306.18</v>
      </c>
    </row>
    <row r="4938" customFormat="false" ht="15" hidden="false" customHeight="false" outlineLevel="0" collapsed="false">
      <c r="A4938" s="0" t="n">
        <v>67</v>
      </c>
      <c r="B4938" s="0" t="s">
        <v>64</v>
      </c>
      <c r="C4938" s="0" t="n">
        <v>2013</v>
      </c>
      <c r="D4938" s="0" t="n">
        <v>1</v>
      </c>
      <c r="E4938" s="38" t="n">
        <v>49369.45</v>
      </c>
    </row>
    <row r="4939" customFormat="false" ht="15" hidden="false" customHeight="false" outlineLevel="0" collapsed="false">
      <c r="A4939" s="0" t="n">
        <v>67</v>
      </c>
      <c r="B4939" s="0" t="s">
        <v>64</v>
      </c>
      <c r="C4939" s="0" t="n">
        <v>2013</v>
      </c>
      <c r="D4939" s="0" t="n">
        <v>2</v>
      </c>
      <c r="E4939" s="38" t="n">
        <v>30265.94</v>
      </c>
    </row>
    <row r="4940" customFormat="false" ht="15" hidden="false" customHeight="false" outlineLevel="0" collapsed="false">
      <c r="A4940" s="0" t="n">
        <v>67</v>
      </c>
      <c r="B4940" s="0" t="s">
        <v>64</v>
      </c>
      <c r="C4940" s="0" t="n">
        <v>2013</v>
      </c>
      <c r="D4940" s="0" t="n">
        <v>3</v>
      </c>
      <c r="E4940" s="38" t="n">
        <v>33364.7</v>
      </c>
    </row>
    <row r="4941" customFormat="false" ht="15" hidden="false" customHeight="false" outlineLevel="0" collapsed="false">
      <c r="A4941" s="0" t="n">
        <v>67</v>
      </c>
      <c r="B4941" s="0" t="s">
        <v>64</v>
      </c>
      <c r="C4941" s="0" t="n">
        <v>2013</v>
      </c>
      <c r="D4941" s="0" t="n">
        <v>4</v>
      </c>
      <c r="E4941" s="38" t="n">
        <v>62723.9</v>
      </c>
    </row>
    <row r="4942" customFormat="false" ht="15" hidden="false" customHeight="false" outlineLevel="0" collapsed="false">
      <c r="A4942" s="0" t="n">
        <v>67</v>
      </c>
      <c r="B4942" s="0" t="s">
        <v>64</v>
      </c>
      <c r="C4942" s="0" t="n">
        <v>2013</v>
      </c>
      <c r="D4942" s="0" t="n">
        <v>5</v>
      </c>
      <c r="E4942" s="38" t="n">
        <v>46164.89</v>
      </c>
    </row>
    <row r="4943" customFormat="false" ht="15" hidden="false" customHeight="false" outlineLevel="0" collapsed="false">
      <c r="A4943" s="0" t="n">
        <v>67</v>
      </c>
      <c r="B4943" s="0" t="s">
        <v>64</v>
      </c>
      <c r="C4943" s="0" t="n">
        <v>2013</v>
      </c>
      <c r="D4943" s="0" t="n">
        <v>6</v>
      </c>
      <c r="E4943" s="38" t="n">
        <v>29238.03</v>
      </c>
    </row>
    <row r="4944" customFormat="false" ht="15" hidden="false" customHeight="false" outlineLevel="0" collapsed="false">
      <c r="A4944" s="0" t="n">
        <v>67</v>
      </c>
      <c r="B4944" s="0" t="s">
        <v>64</v>
      </c>
      <c r="C4944" s="0" t="n">
        <v>2013</v>
      </c>
      <c r="D4944" s="0" t="n">
        <v>7</v>
      </c>
      <c r="E4944" s="38" t="n">
        <v>30216.01</v>
      </c>
    </row>
    <row r="4945" customFormat="false" ht="15" hidden="false" customHeight="false" outlineLevel="0" collapsed="false">
      <c r="A4945" s="0" t="n">
        <v>67</v>
      </c>
      <c r="B4945" s="0" t="s">
        <v>64</v>
      </c>
      <c r="C4945" s="0" t="n">
        <v>2013</v>
      </c>
      <c r="D4945" s="0" t="n">
        <v>8</v>
      </c>
      <c r="E4945" s="38" t="n">
        <v>31993.28</v>
      </c>
    </row>
    <row r="4946" customFormat="false" ht="15" hidden="false" customHeight="false" outlineLevel="0" collapsed="false">
      <c r="A4946" s="0" t="n">
        <v>71</v>
      </c>
      <c r="B4946" s="0" t="s">
        <v>60</v>
      </c>
      <c r="C4946" s="0" t="n">
        <v>2011</v>
      </c>
      <c r="D4946" s="0" t="n">
        <v>1</v>
      </c>
      <c r="E4946" s="38" t="n">
        <v>708459.54</v>
      </c>
    </row>
    <row r="4947" customFormat="false" ht="15" hidden="false" customHeight="false" outlineLevel="0" collapsed="false">
      <c r="A4947" s="0" t="n">
        <v>71</v>
      </c>
      <c r="B4947" s="0" t="s">
        <v>60</v>
      </c>
      <c r="C4947" s="0" t="n">
        <v>2011</v>
      </c>
      <c r="D4947" s="0" t="n">
        <v>2</v>
      </c>
      <c r="E4947" s="38" t="n">
        <v>605565.34</v>
      </c>
    </row>
    <row r="4948" customFormat="false" ht="15" hidden="false" customHeight="false" outlineLevel="0" collapsed="false">
      <c r="A4948" s="0" t="n">
        <v>71</v>
      </c>
      <c r="B4948" s="0" t="s">
        <v>60</v>
      </c>
      <c r="C4948" s="0" t="n">
        <v>2011</v>
      </c>
      <c r="D4948" s="0" t="n">
        <v>3</v>
      </c>
      <c r="E4948" s="38" t="n">
        <v>456632.94</v>
      </c>
    </row>
    <row r="4949" customFormat="false" ht="15" hidden="false" customHeight="false" outlineLevel="0" collapsed="false">
      <c r="A4949" s="0" t="n">
        <v>71</v>
      </c>
      <c r="B4949" s="0" t="s">
        <v>60</v>
      </c>
      <c r="C4949" s="0" t="n">
        <v>2011</v>
      </c>
      <c r="D4949" s="0" t="n">
        <v>4</v>
      </c>
      <c r="E4949" s="38" t="n">
        <v>464620.16</v>
      </c>
    </row>
    <row r="4950" customFormat="false" ht="15" hidden="false" customHeight="false" outlineLevel="0" collapsed="false">
      <c r="A4950" s="0" t="n">
        <v>71</v>
      </c>
      <c r="B4950" s="0" t="s">
        <v>60</v>
      </c>
      <c r="C4950" s="0" t="n">
        <v>2011</v>
      </c>
      <c r="D4950" s="0" t="n">
        <v>5</v>
      </c>
      <c r="E4950" s="38" t="n">
        <v>494871.76</v>
      </c>
    </row>
    <row r="4951" customFormat="false" ht="15" hidden="false" customHeight="false" outlineLevel="0" collapsed="false">
      <c r="A4951" s="0" t="n">
        <v>71</v>
      </c>
      <c r="B4951" s="0" t="s">
        <v>60</v>
      </c>
      <c r="C4951" s="0" t="n">
        <v>2011</v>
      </c>
      <c r="D4951" s="0" t="n">
        <v>6</v>
      </c>
      <c r="E4951" s="38" t="n">
        <v>536431.67</v>
      </c>
    </row>
    <row r="4952" customFormat="false" ht="15" hidden="false" customHeight="false" outlineLevel="0" collapsed="false">
      <c r="A4952" s="0" t="n">
        <v>71</v>
      </c>
      <c r="B4952" s="0" t="s">
        <v>60</v>
      </c>
      <c r="C4952" s="0" t="n">
        <v>2011</v>
      </c>
      <c r="D4952" s="0" t="n">
        <v>7</v>
      </c>
      <c r="E4952" s="38" t="n">
        <v>616991.64</v>
      </c>
    </row>
    <row r="4953" customFormat="false" ht="15" hidden="false" customHeight="false" outlineLevel="0" collapsed="false">
      <c r="A4953" s="0" t="n">
        <v>71</v>
      </c>
      <c r="B4953" s="0" t="s">
        <v>60</v>
      </c>
      <c r="C4953" s="0" t="n">
        <v>2011</v>
      </c>
      <c r="D4953" s="0" t="n">
        <v>8</v>
      </c>
      <c r="E4953" s="38" t="n">
        <v>475287.11</v>
      </c>
    </row>
    <row r="4954" customFormat="false" ht="15" hidden="false" customHeight="false" outlineLevel="0" collapsed="false">
      <c r="A4954" s="0" t="n">
        <v>71</v>
      </c>
      <c r="B4954" s="0" t="s">
        <v>60</v>
      </c>
      <c r="C4954" s="0" t="n">
        <v>2011</v>
      </c>
      <c r="D4954" s="0" t="n">
        <v>9</v>
      </c>
      <c r="E4954" s="38" t="n">
        <v>414485.74</v>
      </c>
    </row>
    <row r="4955" customFormat="false" ht="15" hidden="false" customHeight="false" outlineLevel="0" collapsed="false">
      <c r="A4955" s="0" t="n">
        <v>71</v>
      </c>
      <c r="B4955" s="0" t="s">
        <v>60</v>
      </c>
      <c r="C4955" s="0" t="n">
        <v>2011</v>
      </c>
      <c r="D4955" s="0" t="n">
        <v>10</v>
      </c>
      <c r="E4955" s="38" t="n">
        <v>533641.55</v>
      </c>
    </row>
    <row r="4956" customFormat="false" ht="15" hidden="false" customHeight="false" outlineLevel="0" collapsed="false">
      <c r="A4956" s="0" t="n">
        <v>71</v>
      </c>
      <c r="B4956" s="0" t="s">
        <v>60</v>
      </c>
      <c r="C4956" s="0" t="n">
        <v>2011</v>
      </c>
      <c r="D4956" s="0" t="n">
        <v>11</v>
      </c>
      <c r="E4956" s="38" t="n">
        <v>571315.33</v>
      </c>
    </row>
    <row r="4957" customFormat="false" ht="15" hidden="false" customHeight="false" outlineLevel="0" collapsed="false">
      <c r="A4957" s="0" t="n">
        <v>71</v>
      </c>
      <c r="B4957" s="0" t="s">
        <v>60</v>
      </c>
      <c r="C4957" s="0" t="n">
        <v>2011</v>
      </c>
      <c r="D4957" s="0" t="n">
        <v>12</v>
      </c>
      <c r="E4957" s="38" t="n">
        <v>464910.99</v>
      </c>
    </row>
    <row r="4958" customFormat="false" ht="15" hidden="false" customHeight="false" outlineLevel="0" collapsed="false">
      <c r="A4958" s="0" t="n">
        <v>71</v>
      </c>
      <c r="B4958" s="0" t="s">
        <v>60</v>
      </c>
      <c r="C4958" s="0" t="n">
        <v>2012</v>
      </c>
      <c r="D4958" s="0" t="n">
        <v>1</v>
      </c>
      <c r="E4958" s="38" t="n">
        <v>620390.45</v>
      </c>
    </row>
    <row r="4959" customFormat="false" ht="15" hidden="false" customHeight="false" outlineLevel="0" collapsed="false">
      <c r="A4959" s="0" t="n">
        <v>71</v>
      </c>
      <c r="B4959" s="0" t="s">
        <v>60</v>
      </c>
      <c r="C4959" s="0" t="n">
        <v>2012</v>
      </c>
      <c r="D4959" s="0" t="n">
        <v>2</v>
      </c>
      <c r="E4959" s="38" t="n">
        <v>548213.78</v>
      </c>
    </row>
    <row r="4960" customFormat="false" ht="15" hidden="false" customHeight="false" outlineLevel="0" collapsed="false">
      <c r="A4960" s="0" t="n">
        <v>71</v>
      </c>
      <c r="B4960" s="0" t="s">
        <v>60</v>
      </c>
      <c r="C4960" s="0" t="n">
        <v>2012</v>
      </c>
      <c r="D4960" s="0" t="n">
        <v>3</v>
      </c>
      <c r="E4960" s="38" t="n">
        <v>454387.86</v>
      </c>
    </row>
    <row r="4961" customFormat="false" ht="15" hidden="false" customHeight="false" outlineLevel="0" collapsed="false">
      <c r="A4961" s="0" t="n">
        <v>71</v>
      </c>
      <c r="B4961" s="0" t="s">
        <v>60</v>
      </c>
      <c r="C4961" s="0" t="n">
        <v>2012</v>
      </c>
      <c r="D4961" s="0" t="n">
        <v>4</v>
      </c>
      <c r="E4961" s="38" t="n">
        <v>440209.96</v>
      </c>
    </row>
    <row r="4962" customFormat="false" ht="15" hidden="false" customHeight="false" outlineLevel="0" collapsed="false">
      <c r="A4962" s="0" t="n">
        <v>71</v>
      </c>
      <c r="B4962" s="0" t="s">
        <v>60</v>
      </c>
      <c r="C4962" s="0" t="n">
        <v>2012</v>
      </c>
      <c r="D4962" s="0" t="n">
        <v>5</v>
      </c>
      <c r="E4962" s="38" t="n">
        <v>437209.97</v>
      </c>
    </row>
    <row r="4963" customFormat="false" ht="15" hidden="false" customHeight="false" outlineLevel="0" collapsed="false">
      <c r="A4963" s="0" t="n">
        <v>71</v>
      </c>
      <c r="B4963" s="0" t="s">
        <v>60</v>
      </c>
      <c r="C4963" s="0" t="n">
        <v>2012</v>
      </c>
      <c r="D4963" s="0" t="n">
        <v>6</v>
      </c>
      <c r="E4963" s="38" t="n">
        <v>504282.27</v>
      </c>
    </row>
    <row r="4964" customFormat="false" ht="15" hidden="false" customHeight="false" outlineLevel="0" collapsed="false">
      <c r="A4964" s="0" t="n">
        <v>71</v>
      </c>
      <c r="B4964" s="0" t="s">
        <v>60</v>
      </c>
      <c r="C4964" s="0" t="n">
        <v>2012</v>
      </c>
      <c r="D4964" s="0" t="n">
        <v>7</v>
      </c>
      <c r="E4964" s="38" t="n">
        <v>585032.28</v>
      </c>
    </row>
    <row r="4965" customFormat="false" ht="15" hidden="false" customHeight="false" outlineLevel="0" collapsed="false">
      <c r="A4965" s="0" t="n">
        <v>71</v>
      </c>
      <c r="B4965" s="0" t="s">
        <v>60</v>
      </c>
      <c r="C4965" s="0" t="n">
        <v>2012</v>
      </c>
      <c r="D4965" s="0" t="n">
        <v>8</v>
      </c>
      <c r="E4965" s="38" t="n">
        <v>477987.93</v>
      </c>
    </row>
    <row r="4966" customFormat="false" ht="15" hidden="false" customHeight="false" outlineLevel="0" collapsed="false">
      <c r="A4966" s="0" t="n">
        <v>71</v>
      </c>
      <c r="B4966" s="0" t="s">
        <v>60</v>
      </c>
      <c r="C4966" s="0" t="n">
        <v>2012</v>
      </c>
      <c r="D4966" s="0" t="n">
        <v>9</v>
      </c>
      <c r="E4966" s="38" t="n">
        <v>449979.69</v>
      </c>
    </row>
    <row r="4967" customFormat="false" ht="15" hidden="false" customHeight="false" outlineLevel="0" collapsed="false">
      <c r="A4967" s="0" t="n">
        <v>71</v>
      </c>
      <c r="B4967" s="0" t="s">
        <v>60</v>
      </c>
      <c r="C4967" s="0" t="n">
        <v>2012</v>
      </c>
      <c r="D4967" s="0" t="n">
        <v>10</v>
      </c>
      <c r="E4967" s="38" t="n">
        <v>578631.94</v>
      </c>
    </row>
    <row r="4968" customFormat="false" ht="15" hidden="false" customHeight="false" outlineLevel="0" collapsed="false">
      <c r="A4968" s="0" t="n">
        <v>71</v>
      </c>
      <c r="B4968" s="0" t="s">
        <v>60</v>
      </c>
      <c r="C4968" s="0" t="n">
        <v>2012</v>
      </c>
      <c r="D4968" s="0" t="n">
        <v>11</v>
      </c>
      <c r="E4968" s="38" t="n">
        <v>640077.06</v>
      </c>
    </row>
    <row r="4969" customFormat="false" ht="15" hidden="false" customHeight="false" outlineLevel="0" collapsed="false">
      <c r="A4969" s="0" t="n">
        <v>71</v>
      </c>
      <c r="B4969" s="0" t="s">
        <v>60</v>
      </c>
      <c r="C4969" s="0" t="n">
        <v>2012</v>
      </c>
      <c r="D4969" s="0" t="n">
        <v>12</v>
      </c>
      <c r="E4969" s="38" t="n">
        <v>477001.89</v>
      </c>
    </row>
    <row r="4970" customFormat="false" ht="15" hidden="false" customHeight="false" outlineLevel="0" collapsed="false">
      <c r="A4970" s="0" t="n">
        <v>71</v>
      </c>
      <c r="B4970" s="0" t="s">
        <v>60</v>
      </c>
      <c r="C4970" s="0" t="n">
        <v>2013</v>
      </c>
      <c r="D4970" s="0" t="n">
        <v>1</v>
      </c>
      <c r="E4970" s="38" t="n">
        <v>667229.13</v>
      </c>
    </row>
    <row r="4971" customFormat="false" ht="15" hidden="false" customHeight="false" outlineLevel="0" collapsed="false">
      <c r="A4971" s="0" t="n">
        <v>71</v>
      </c>
      <c r="B4971" s="0" t="s">
        <v>60</v>
      </c>
      <c r="C4971" s="0" t="n">
        <v>2013</v>
      </c>
      <c r="D4971" s="0" t="n">
        <v>2</v>
      </c>
      <c r="E4971" s="38" t="n">
        <v>537821.02</v>
      </c>
    </row>
    <row r="4972" customFormat="false" ht="15" hidden="false" customHeight="false" outlineLevel="0" collapsed="false">
      <c r="A4972" s="0" t="n">
        <v>71</v>
      </c>
      <c r="B4972" s="0" t="s">
        <v>60</v>
      </c>
      <c r="C4972" s="0" t="n">
        <v>2013</v>
      </c>
      <c r="D4972" s="0" t="n">
        <v>3</v>
      </c>
      <c r="E4972" s="38" t="n">
        <v>435115.71</v>
      </c>
    </row>
    <row r="4973" customFormat="false" ht="15" hidden="false" customHeight="false" outlineLevel="0" collapsed="false">
      <c r="A4973" s="0" t="n">
        <v>71</v>
      </c>
      <c r="B4973" s="0" t="s">
        <v>60</v>
      </c>
      <c r="C4973" s="0" t="n">
        <v>2013</v>
      </c>
      <c r="D4973" s="0" t="n">
        <v>4</v>
      </c>
      <c r="E4973" s="38" t="n">
        <v>457347.7</v>
      </c>
    </row>
    <row r="4974" customFormat="false" ht="15" hidden="false" customHeight="false" outlineLevel="0" collapsed="false">
      <c r="A4974" s="0" t="n">
        <v>71</v>
      </c>
      <c r="B4974" s="0" t="s">
        <v>60</v>
      </c>
      <c r="C4974" s="0" t="n">
        <v>2013</v>
      </c>
      <c r="D4974" s="0" t="n">
        <v>5</v>
      </c>
      <c r="E4974" s="38" t="n">
        <v>471134.74</v>
      </c>
    </row>
    <row r="4975" customFormat="false" ht="15" hidden="false" customHeight="false" outlineLevel="0" collapsed="false">
      <c r="A4975" s="0" t="n">
        <v>71</v>
      </c>
      <c r="B4975" s="0" t="s">
        <v>60</v>
      </c>
      <c r="C4975" s="0" t="n">
        <v>2013</v>
      </c>
      <c r="D4975" s="0" t="n">
        <v>6</v>
      </c>
      <c r="E4975" s="38" t="n">
        <v>535815.73</v>
      </c>
    </row>
    <row r="4976" customFormat="false" ht="15" hidden="false" customHeight="false" outlineLevel="0" collapsed="false">
      <c r="A4976" s="0" t="n">
        <v>71</v>
      </c>
      <c r="B4976" s="0" t="s">
        <v>60</v>
      </c>
      <c r="C4976" s="0" t="n">
        <v>2013</v>
      </c>
      <c r="D4976" s="0" t="n">
        <v>7</v>
      </c>
      <c r="E4976" s="38" t="n">
        <v>590204.5</v>
      </c>
    </row>
    <row r="4977" customFormat="false" ht="15" hidden="false" customHeight="false" outlineLevel="0" collapsed="false">
      <c r="A4977" s="0" t="n">
        <v>71</v>
      </c>
      <c r="B4977" s="0" t="s">
        <v>60</v>
      </c>
      <c r="C4977" s="0" t="n">
        <v>2013</v>
      </c>
      <c r="D4977" s="0" t="n">
        <v>8</v>
      </c>
      <c r="E4977" s="38" t="n">
        <v>453068.06</v>
      </c>
    </row>
    <row r="4978" customFormat="false" ht="15" hidden="false" customHeight="false" outlineLevel="0" collapsed="false">
      <c r="A4978" s="0" t="n">
        <v>71</v>
      </c>
      <c r="B4978" s="0" t="s">
        <v>62</v>
      </c>
      <c r="C4978" s="0" t="n">
        <v>2011</v>
      </c>
      <c r="D4978" s="0" t="n">
        <v>1</v>
      </c>
      <c r="E4978" s="38" t="n">
        <v>543768.95</v>
      </c>
    </row>
    <row r="4979" customFormat="false" ht="15" hidden="false" customHeight="false" outlineLevel="0" collapsed="false">
      <c r="A4979" s="0" t="n">
        <v>71</v>
      </c>
      <c r="B4979" s="0" t="s">
        <v>62</v>
      </c>
      <c r="C4979" s="0" t="n">
        <v>2011</v>
      </c>
      <c r="D4979" s="0" t="n">
        <v>2</v>
      </c>
      <c r="E4979" s="38" t="n">
        <v>468979.51</v>
      </c>
    </row>
    <row r="4980" customFormat="false" ht="15" hidden="false" customHeight="false" outlineLevel="0" collapsed="false">
      <c r="A4980" s="0" t="n">
        <v>71</v>
      </c>
      <c r="B4980" s="0" t="s">
        <v>62</v>
      </c>
      <c r="C4980" s="0" t="n">
        <v>2011</v>
      </c>
      <c r="D4980" s="0" t="n">
        <v>3</v>
      </c>
      <c r="E4980" s="38" t="n">
        <v>385402.05</v>
      </c>
    </row>
    <row r="4981" customFormat="false" ht="15" hidden="false" customHeight="false" outlineLevel="0" collapsed="false">
      <c r="A4981" s="0" t="n">
        <v>71</v>
      </c>
      <c r="B4981" s="0" t="s">
        <v>62</v>
      </c>
      <c r="C4981" s="0" t="n">
        <v>2011</v>
      </c>
      <c r="D4981" s="0" t="n">
        <v>4</v>
      </c>
      <c r="E4981" s="38" t="n">
        <v>383847.69</v>
      </c>
    </row>
    <row r="4982" customFormat="false" ht="15" hidden="false" customHeight="false" outlineLevel="0" collapsed="false">
      <c r="A4982" s="0" t="n">
        <v>71</v>
      </c>
      <c r="B4982" s="0" t="s">
        <v>62</v>
      </c>
      <c r="C4982" s="0" t="n">
        <v>2011</v>
      </c>
      <c r="D4982" s="0" t="n">
        <v>5</v>
      </c>
      <c r="E4982" s="38" t="n">
        <v>409119.76</v>
      </c>
    </row>
    <row r="4983" customFormat="false" ht="15" hidden="false" customHeight="false" outlineLevel="0" collapsed="false">
      <c r="A4983" s="0" t="n">
        <v>71</v>
      </c>
      <c r="B4983" s="0" t="s">
        <v>62</v>
      </c>
      <c r="C4983" s="0" t="n">
        <v>2011</v>
      </c>
      <c r="D4983" s="0" t="n">
        <v>6</v>
      </c>
      <c r="E4983" s="38" t="n">
        <v>454225.27</v>
      </c>
    </row>
    <row r="4984" customFormat="false" ht="15" hidden="false" customHeight="false" outlineLevel="0" collapsed="false">
      <c r="A4984" s="0" t="n">
        <v>71</v>
      </c>
      <c r="B4984" s="0" t="s">
        <v>62</v>
      </c>
      <c r="C4984" s="0" t="n">
        <v>2011</v>
      </c>
      <c r="D4984" s="0" t="n">
        <v>7</v>
      </c>
      <c r="E4984" s="38" t="n">
        <v>495895.98</v>
      </c>
    </row>
    <row r="4985" customFormat="false" ht="15" hidden="false" customHeight="false" outlineLevel="0" collapsed="false">
      <c r="A4985" s="0" t="n">
        <v>71</v>
      </c>
      <c r="B4985" s="0" t="s">
        <v>62</v>
      </c>
      <c r="C4985" s="0" t="n">
        <v>2011</v>
      </c>
      <c r="D4985" s="0" t="n">
        <v>8</v>
      </c>
      <c r="E4985" s="38" t="n">
        <v>371894.4</v>
      </c>
    </row>
    <row r="4986" customFormat="false" ht="15" hidden="false" customHeight="false" outlineLevel="0" collapsed="false">
      <c r="A4986" s="0" t="n">
        <v>71</v>
      </c>
      <c r="B4986" s="0" t="s">
        <v>62</v>
      </c>
      <c r="C4986" s="0" t="n">
        <v>2011</v>
      </c>
      <c r="D4986" s="0" t="n">
        <v>9</v>
      </c>
      <c r="E4986" s="38" t="n">
        <v>328139.12</v>
      </c>
    </row>
    <row r="4987" customFormat="false" ht="15" hidden="false" customHeight="false" outlineLevel="0" collapsed="false">
      <c r="A4987" s="0" t="n">
        <v>71</v>
      </c>
      <c r="B4987" s="0" t="s">
        <v>62</v>
      </c>
      <c r="C4987" s="0" t="n">
        <v>2011</v>
      </c>
      <c r="D4987" s="0" t="n">
        <v>10</v>
      </c>
      <c r="E4987" s="38" t="n">
        <v>419028.07</v>
      </c>
    </row>
    <row r="4988" customFormat="false" ht="15" hidden="false" customHeight="false" outlineLevel="0" collapsed="false">
      <c r="A4988" s="0" t="n">
        <v>71</v>
      </c>
      <c r="B4988" s="0" t="s">
        <v>62</v>
      </c>
      <c r="C4988" s="0" t="n">
        <v>2011</v>
      </c>
      <c r="D4988" s="0" t="n">
        <v>11</v>
      </c>
      <c r="E4988" s="38" t="n">
        <v>398007.33</v>
      </c>
    </row>
    <row r="4989" customFormat="false" ht="15" hidden="false" customHeight="false" outlineLevel="0" collapsed="false">
      <c r="A4989" s="0" t="n">
        <v>71</v>
      </c>
      <c r="B4989" s="0" t="s">
        <v>62</v>
      </c>
      <c r="C4989" s="0" t="n">
        <v>2011</v>
      </c>
      <c r="D4989" s="0" t="n">
        <v>12</v>
      </c>
      <c r="E4989" s="38" t="n">
        <v>352528.08</v>
      </c>
    </row>
    <row r="4990" customFormat="false" ht="15" hidden="false" customHeight="false" outlineLevel="0" collapsed="false">
      <c r="A4990" s="0" t="n">
        <v>71</v>
      </c>
      <c r="B4990" s="0" t="s">
        <v>62</v>
      </c>
      <c r="C4990" s="0" t="n">
        <v>2012</v>
      </c>
      <c r="D4990" s="0" t="n">
        <v>1</v>
      </c>
      <c r="E4990" s="38" t="n">
        <v>455762.55</v>
      </c>
    </row>
    <row r="4991" customFormat="false" ht="15" hidden="false" customHeight="false" outlineLevel="0" collapsed="false">
      <c r="A4991" s="0" t="n">
        <v>71</v>
      </c>
      <c r="B4991" s="0" t="s">
        <v>62</v>
      </c>
      <c r="C4991" s="0" t="n">
        <v>2012</v>
      </c>
      <c r="D4991" s="0" t="n">
        <v>2</v>
      </c>
      <c r="E4991" s="38" t="n">
        <v>412564</v>
      </c>
    </row>
    <row r="4992" customFormat="false" ht="15" hidden="false" customHeight="false" outlineLevel="0" collapsed="false">
      <c r="A4992" s="0" t="n">
        <v>71</v>
      </c>
      <c r="B4992" s="0" t="s">
        <v>62</v>
      </c>
      <c r="C4992" s="0" t="n">
        <v>2012</v>
      </c>
      <c r="D4992" s="0" t="n">
        <v>3</v>
      </c>
      <c r="E4992" s="38" t="n">
        <v>360432.98</v>
      </c>
    </row>
    <row r="4993" customFormat="false" ht="15" hidden="false" customHeight="false" outlineLevel="0" collapsed="false">
      <c r="A4993" s="0" t="n">
        <v>71</v>
      </c>
      <c r="B4993" s="0" t="s">
        <v>62</v>
      </c>
      <c r="C4993" s="0" t="n">
        <v>2012</v>
      </c>
      <c r="D4993" s="0" t="n">
        <v>4</v>
      </c>
      <c r="E4993" s="38" t="n">
        <v>325840.03</v>
      </c>
    </row>
    <row r="4994" customFormat="false" ht="15" hidden="false" customHeight="false" outlineLevel="0" collapsed="false">
      <c r="A4994" s="0" t="n">
        <v>71</v>
      </c>
      <c r="B4994" s="0" t="s">
        <v>62</v>
      </c>
      <c r="C4994" s="0" t="n">
        <v>2012</v>
      </c>
      <c r="D4994" s="0" t="n">
        <v>5</v>
      </c>
      <c r="E4994" s="38" t="n">
        <v>339243.51</v>
      </c>
    </row>
    <row r="4995" customFormat="false" ht="15" hidden="false" customHeight="false" outlineLevel="0" collapsed="false">
      <c r="A4995" s="0" t="n">
        <v>71</v>
      </c>
      <c r="B4995" s="0" t="s">
        <v>62</v>
      </c>
      <c r="C4995" s="0" t="n">
        <v>2012</v>
      </c>
      <c r="D4995" s="0" t="n">
        <v>6</v>
      </c>
      <c r="E4995" s="38" t="n">
        <v>388352.16</v>
      </c>
    </row>
    <row r="4996" customFormat="false" ht="15" hidden="false" customHeight="false" outlineLevel="0" collapsed="false">
      <c r="A4996" s="0" t="n">
        <v>71</v>
      </c>
      <c r="B4996" s="0" t="s">
        <v>62</v>
      </c>
      <c r="C4996" s="0" t="n">
        <v>2012</v>
      </c>
      <c r="D4996" s="0" t="n">
        <v>7</v>
      </c>
      <c r="E4996" s="38" t="n">
        <v>457686.21</v>
      </c>
    </row>
    <row r="4997" customFormat="false" ht="15" hidden="false" customHeight="false" outlineLevel="0" collapsed="false">
      <c r="A4997" s="0" t="n">
        <v>71</v>
      </c>
      <c r="B4997" s="0" t="s">
        <v>62</v>
      </c>
      <c r="C4997" s="0" t="n">
        <v>2012</v>
      </c>
      <c r="D4997" s="0" t="n">
        <v>8</v>
      </c>
      <c r="E4997" s="38" t="n">
        <v>366655.58</v>
      </c>
    </row>
    <row r="4998" customFormat="false" ht="15" hidden="false" customHeight="false" outlineLevel="0" collapsed="false">
      <c r="A4998" s="0" t="n">
        <v>71</v>
      </c>
      <c r="B4998" s="0" t="s">
        <v>62</v>
      </c>
      <c r="C4998" s="0" t="n">
        <v>2012</v>
      </c>
      <c r="D4998" s="0" t="n">
        <v>9</v>
      </c>
      <c r="E4998" s="38" t="n">
        <v>351797.44</v>
      </c>
    </row>
    <row r="4999" customFormat="false" ht="15" hidden="false" customHeight="false" outlineLevel="0" collapsed="false">
      <c r="A4999" s="0" t="n">
        <v>71</v>
      </c>
      <c r="B4999" s="0" t="s">
        <v>62</v>
      </c>
      <c r="C4999" s="0" t="n">
        <v>2012</v>
      </c>
      <c r="D4999" s="0" t="n">
        <v>10</v>
      </c>
      <c r="E4999" s="38" t="n">
        <v>427477.47</v>
      </c>
    </row>
    <row r="5000" customFormat="false" ht="15" hidden="false" customHeight="false" outlineLevel="0" collapsed="false">
      <c r="A5000" s="0" t="n">
        <v>71</v>
      </c>
      <c r="B5000" s="0" t="s">
        <v>62</v>
      </c>
      <c r="C5000" s="0" t="n">
        <v>2012</v>
      </c>
      <c r="D5000" s="0" t="n">
        <v>11</v>
      </c>
      <c r="E5000" s="38" t="n">
        <v>445283.34</v>
      </c>
    </row>
    <row r="5001" customFormat="false" ht="15" hidden="false" customHeight="false" outlineLevel="0" collapsed="false">
      <c r="A5001" s="0" t="n">
        <v>71</v>
      </c>
      <c r="B5001" s="0" t="s">
        <v>62</v>
      </c>
      <c r="C5001" s="0" t="n">
        <v>2012</v>
      </c>
      <c r="D5001" s="0" t="n">
        <v>12</v>
      </c>
      <c r="E5001" s="38" t="n">
        <v>359627.66</v>
      </c>
    </row>
    <row r="5002" customFormat="false" ht="15" hidden="false" customHeight="false" outlineLevel="0" collapsed="false">
      <c r="A5002" s="0" t="n">
        <v>71</v>
      </c>
      <c r="B5002" s="0" t="s">
        <v>62</v>
      </c>
      <c r="C5002" s="0" t="n">
        <v>2013</v>
      </c>
      <c r="D5002" s="0" t="n">
        <v>1</v>
      </c>
      <c r="E5002" s="38" t="n">
        <v>534044.13</v>
      </c>
    </row>
    <row r="5003" customFormat="false" ht="15" hidden="false" customHeight="false" outlineLevel="0" collapsed="false">
      <c r="A5003" s="0" t="n">
        <v>71</v>
      </c>
      <c r="B5003" s="0" t="s">
        <v>62</v>
      </c>
      <c r="C5003" s="0" t="n">
        <v>2013</v>
      </c>
      <c r="D5003" s="0" t="n">
        <v>2</v>
      </c>
      <c r="E5003" s="38" t="n">
        <v>437174.35</v>
      </c>
    </row>
    <row r="5004" customFormat="false" ht="15" hidden="false" customHeight="false" outlineLevel="0" collapsed="false">
      <c r="A5004" s="0" t="n">
        <v>71</v>
      </c>
      <c r="B5004" s="0" t="s">
        <v>62</v>
      </c>
      <c r="C5004" s="0" t="n">
        <v>2013</v>
      </c>
      <c r="D5004" s="0" t="n">
        <v>3</v>
      </c>
      <c r="E5004" s="38" t="n">
        <v>360218.71</v>
      </c>
    </row>
    <row r="5005" customFormat="false" ht="15" hidden="false" customHeight="false" outlineLevel="0" collapsed="false">
      <c r="A5005" s="0" t="n">
        <v>71</v>
      </c>
      <c r="B5005" s="0" t="s">
        <v>62</v>
      </c>
      <c r="C5005" s="0" t="n">
        <v>2013</v>
      </c>
      <c r="D5005" s="0" t="n">
        <v>4</v>
      </c>
      <c r="E5005" s="38" t="n">
        <v>354200.38</v>
      </c>
    </row>
    <row r="5006" customFormat="false" ht="15" hidden="false" customHeight="false" outlineLevel="0" collapsed="false">
      <c r="A5006" s="0" t="n">
        <v>71</v>
      </c>
      <c r="B5006" s="0" t="s">
        <v>62</v>
      </c>
      <c r="C5006" s="0" t="n">
        <v>2013</v>
      </c>
      <c r="D5006" s="0" t="n">
        <v>5</v>
      </c>
      <c r="E5006" s="38" t="n">
        <v>357813.51</v>
      </c>
    </row>
    <row r="5007" customFormat="false" ht="15" hidden="false" customHeight="false" outlineLevel="0" collapsed="false">
      <c r="A5007" s="0" t="n">
        <v>71</v>
      </c>
      <c r="B5007" s="0" t="s">
        <v>62</v>
      </c>
      <c r="C5007" s="0" t="n">
        <v>2013</v>
      </c>
      <c r="D5007" s="0" t="n">
        <v>6</v>
      </c>
      <c r="E5007" s="38" t="n">
        <v>385731.33</v>
      </c>
    </row>
    <row r="5008" customFormat="false" ht="15" hidden="false" customHeight="false" outlineLevel="0" collapsed="false">
      <c r="A5008" s="0" t="n">
        <v>71</v>
      </c>
      <c r="B5008" s="0" t="s">
        <v>62</v>
      </c>
      <c r="C5008" s="0" t="n">
        <v>2013</v>
      </c>
      <c r="D5008" s="0" t="n">
        <v>7</v>
      </c>
      <c r="E5008" s="38" t="n">
        <v>446012.13</v>
      </c>
    </row>
    <row r="5009" customFormat="false" ht="15" hidden="false" customHeight="false" outlineLevel="0" collapsed="false">
      <c r="A5009" s="0" t="n">
        <v>71</v>
      </c>
      <c r="B5009" s="0" t="s">
        <v>62</v>
      </c>
      <c r="C5009" s="0" t="n">
        <v>2013</v>
      </c>
      <c r="D5009" s="0" t="n">
        <v>8</v>
      </c>
      <c r="E5009" s="38" t="n">
        <v>358830.48</v>
      </c>
    </row>
    <row r="5010" customFormat="false" ht="15" hidden="false" customHeight="false" outlineLevel="0" collapsed="false">
      <c r="A5010" s="0" t="n">
        <v>71</v>
      </c>
      <c r="B5010" s="0" t="s">
        <v>64</v>
      </c>
      <c r="C5010" s="0" t="n">
        <v>2011</v>
      </c>
      <c r="D5010" s="0" t="n">
        <v>7</v>
      </c>
      <c r="E5010" s="38" t="n">
        <v>14</v>
      </c>
    </row>
    <row r="5011" customFormat="false" ht="15" hidden="false" customHeight="false" outlineLevel="0" collapsed="false">
      <c r="A5011" s="0" t="n">
        <v>71</v>
      </c>
      <c r="B5011" s="0" t="s">
        <v>64</v>
      </c>
      <c r="C5011" s="0" t="n">
        <v>2011</v>
      </c>
      <c r="D5011" s="0" t="n">
        <v>11</v>
      </c>
      <c r="E5011" s="38" t="n">
        <v>39</v>
      </c>
    </row>
    <row r="5012" customFormat="false" ht="15" hidden="false" customHeight="false" outlineLevel="0" collapsed="false">
      <c r="A5012" s="0" t="n">
        <v>71</v>
      </c>
      <c r="B5012" s="0" t="s">
        <v>64</v>
      </c>
      <c r="C5012" s="0" t="n">
        <v>2012</v>
      </c>
      <c r="D5012" s="0" t="n">
        <v>1</v>
      </c>
      <c r="E5012" s="38" t="n">
        <v>-74.71</v>
      </c>
    </row>
    <row r="5013" customFormat="false" ht="15" hidden="false" customHeight="false" outlineLevel="0" collapsed="false">
      <c r="A5013" s="0" t="n">
        <v>71</v>
      </c>
      <c r="B5013" s="0" t="s">
        <v>64</v>
      </c>
      <c r="C5013" s="0" t="n">
        <v>2012</v>
      </c>
      <c r="D5013" s="0" t="n">
        <v>2</v>
      </c>
      <c r="E5013" s="38" t="n">
        <v>-34.29</v>
      </c>
    </row>
    <row r="5014" customFormat="false" ht="15" hidden="false" customHeight="false" outlineLevel="0" collapsed="false">
      <c r="A5014" s="0" t="n">
        <v>71</v>
      </c>
      <c r="B5014" s="0" t="s">
        <v>64</v>
      </c>
      <c r="C5014" s="0" t="n">
        <v>2012</v>
      </c>
      <c r="D5014" s="0" t="n">
        <v>5</v>
      </c>
      <c r="E5014" s="38" t="n">
        <v>-114.48</v>
      </c>
    </row>
    <row r="5015" customFormat="false" ht="15" hidden="false" customHeight="false" outlineLevel="0" collapsed="false">
      <c r="A5015" s="0" t="n">
        <v>71</v>
      </c>
      <c r="B5015" s="0" t="s">
        <v>64</v>
      </c>
      <c r="C5015" s="0" t="n">
        <v>2012</v>
      </c>
      <c r="D5015" s="0" t="n">
        <v>6</v>
      </c>
      <c r="E5015" s="38" t="n">
        <v>-19.08</v>
      </c>
    </row>
    <row r="5016" customFormat="false" ht="15" hidden="false" customHeight="false" outlineLevel="0" collapsed="false">
      <c r="A5016" s="0" t="n">
        <v>71</v>
      </c>
      <c r="B5016" s="0" t="s">
        <v>64</v>
      </c>
      <c r="C5016" s="0" t="n">
        <v>2012</v>
      </c>
      <c r="D5016" s="0" t="n">
        <v>8</v>
      </c>
      <c r="E5016" s="38" t="n">
        <v>-138</v>
      </c>
    </row>
    <row r="5017" customFormat="false" ht="15" hidden="false" customHeight="false" outlineLevel="0" collapsed="false">
      <c r="A5017" s="0" t="n">
        <v>71</v>
      </c>
      <c r="B5017" s="0" t="s">
        <v>64</v>
      </c>
      <c r="C5017" s="0" t="n">
        <v>2012</v>
      </c>
      <c r="D5017" s="0" t="n">
        <v>10</v>
      </c>
      <c r="E5017" s="38" t="n">
        <v>3</v>
      </c>
    </row>
    <row r="5018" customFormat="false" ht="15" hidden="false" customHeight="false" outlineLevel="0" collapsed="false">
      <c r="A5018" s="0" t="n">
        <v>71</v>
      </c>
      <c r="B5018" s="0" t="s">
        <v>64</v>
      </c>
      <c r="C5018" s="0" t="n">
        <v>2012</v>
      </c>
      <c r="D5018" s="0" t="n">
        <v>12</v>
      </c>
      <c r="E5018" s="38" t="n">
        <v>6</v>
      </c>
    </row>
    <row r="5019" customFormat="false" ht="15" hidden="false" customHeight="false" outlineLevel="0" collapsed="false">
      <c r="A5019" s="0" t="n">
        <v>71</v>
      </c>
      <c r="B5019" s="0" t="s">
        <v>64</v>
      </c>
      <c r="C5019" s="0" t="n">
        <v>2013</v>
      </c>
      <c r="D5019" s="0" t="n">
        <v>3</v>
      </c>
      <c r="E5019" s="38" t="n">
        <v>49.83</v>
      </c>
    </row>
    <row r="5020" customFormat="false" ht="15" hidden="false" customHeight="false" outlineLevel="0" collapsed="false">
      <c r="A5020" s="0" t="n">
        <v>71</v>
      </c>
      <c r="B5020" s="0" t="s">
        <v>64</v>
      </c>
      <c r="C5020" s="0" t="n">
        <v>2013</v>
      </c>
      <c r="D5020" s="0" t="n">
        <v>4</v>
      </c>
      <c r="E5020" s="38" t="n">
        <v>-0.07</v>
      </c>
    </row>
    <row r="5021" customFormat="false" ht="15" hidden="false" customHeight="false" outlineLevel="0" collapsed="false">
      <c r="A5021" s="0" t="n">
        <v>71</v>
      </c>
      <c r="B5021" s="0" t="s">
        <v>64</v>
      </c>
      <c r="C5021" s="0" t="n">
        <v>2013</v>
      </c>
      <c r="D5021" s="0" t="n">
        <v>5</v>
      </c>
      <c r="E5021" s="38" t="n">
        <v>-24.97</v>
      </c>
    </row>
    <row r="5022" customFormat="false" ht="15" hidden="false" customHeight="false" outlineLevel="0" collapsed="false">
      <c r="A5022" s="0" t="n">
        <v>71</v>
      </c>
      <c r="B5022" s="0" t="s">
        <v>64</v>
      </c>
      <c r="C5022" s="0" t="n">
        <v>2013</v>
      </c>
      <c r="D5022" s="0" t="n">
        <v>6</v>
      </c>
      <c r="E5022" s="38" t="n">
        <v>-22.22</v>
      </c>
    </row>
    <row r="5023" customFormat="false" ht="15" hidden="false" customHeight="false" outlineLevel="0" collapsed="false">
      <c r="A5023" s="0" t="n">
        <v>71</v>
      </c>
      <c r="B5023" s="0" t="s">
        <v>64</v>
      </c>
      <c r="C5023" s="0" t="n">
        <v>2013</v>
      </c>
      <c r="D5023" s="0" t="n">
        <v>7</v>
      </c>
      <c r="E5023" s="38" t="n">
        <v>-2.66</v>
      </c>
    </row>
    <row r="5024" customFormat="false" ht="15" hidden="false" customHeight="false" outlineLevel="0" collapsed="false">
      <c r="A5024" s="0" t="n">
        <v>72</v>
      </c>
      <c r="B5024" s="0" t="s">
        <v>60</v>
      </c>
      <c r="C5024" s="0" t="n">
        <v>2011</v>
      </c>
      <c r="D5024" s="0" t="n">
        <v>1</v>
      </c>
      <c r="E5024" s="38" t="n">
        <v>6891467.39</v>
      </c>
    </row>
    <row r="5025" customFormat="false" ht="15" hidden="false" customHeight="false" outlineLevel="0" collapsed="false">
      <c r="A5025" s="0" t="n">
        <v>72</v>
      </c>
      <c r="B5025" s="0" t="s">
        <v>60</v>
      </c>
      <c r="C5025" s="0" t="n">
        <v>2011</v>
      </c>
      <c r="D5025" s="0" t="n">
        <v>2</v>
      </c>
      <c r="E5025" s="38" t="n">
        <v>5338736.17</v>
      </c>
    </row>
    <row r="5026" customFormat="false" ht="15" hidden="false" customHeight="false" outlineLevel="0" collapsed="false">
      <c r="A5026" s="0" t="n">
        <v>72</v>
      </c>
      <c r="B5026" s="0" t="s">
        <v>60</v>
      </c>
      <c r="C5026" s="0" t="n">
        <v>2011</v>
      </c>
      <c r="D5026" s="0" t="n">
        <v>3</v>
      </c>
      <c r="E5026" s="38" t="n">
        <v>4430337.97</v>
      </c>
    </row>
    <row r="5027" customFormat="false" ht="15" hidden="false" customHeight="false" outlineLevel="0" collapsed="false">
      <c r="A5027" s="0" t="n">
        <v>72</v>
      </c>
      <c r="B5027" s="0" t="s">
        <v>60</v>
      </c>
      <c r="C5027" s="0" t="n">
        <v>2011</v>
      </c>
      <c r="D5027" s="0" t="n">
        <v>4</v>
      </c>
      <c r="E5027" s="38" t="n">
        <v>4346821.84</v>
      </c>
    </row>
    <row r="5028" customFormat="false" ht="15" hidden="false" customHeight="false" outlineLevel="0" collapsed="false">
      <c r="A5028" s="0" t="n">
        <v>72</v>
      </c>
      <c r="B5028" s="0" t="s">
        <v>60</v>
      </c>
      <c r="C5028" s="0" t="n">
        <v>2011</v>
      </c>
      <c r="D5028" s="0" t="n">
        <v>5</v>
      </c>
      <c r="E5028" s="38" t="n">
        <v>4418502.11</v>
      </c>
    </row>
    <row r="5029" customFormat="false" ht="15" hidden="false" customHeight="false" outlineLevel="0" collapsed="false">
      <c r="A5029" s="0" t="n">
        <v>72</v>
      </c>
      <c r="B5029" s="0" t="s">
        <v>60</v>
      </c>
      <c r="C5029" s="0" t="n">
        <v>2011</v>
      </c>
      <c r="D5029" s="0" t="n">
        <v>6</v>
      </c>
      <c r="E5029" s="38" t="n">
        <v>4549050.22</v>
      </c>
    </row>
    <row r="5030" customFormat="false" ht="15" hidden="false" customHeight="false" outlineLevel="0" collapsed="false">
      <c r="A5030" s="0" t="n">
        <v>72</v>
      </c>
      <c r="B5030" s="0" t="s">
        <v>60</v>
      </c>
      <c r="C5030" s="0" t="n">
        <v>2011</v>
      </c>
      <c r="D5030" s="0" t="n">
        <v>7</v>
      </c>
      <c r="E5030" s="38" t="n">
        <v>5146237.87</v>
      </c>
    </row>
    <row r="5031" customFormat="false" ht="15" hidden="false" customHeight="false" outlineLevel="0" collapsed="false">
      <c r="A5031" s="0" t="n">
        <v>72</v>
      </c>
      <c r="B5031" s="0" t="s">
        <v>60</v>
      </c>
      <c r="C5031" s="0" t="n">
        <v>2011</v>
      </c>
      <c r="D5031" s="0" t="n">
        <v>8</v>
      </c>
      <c r="E5031" s="38" t="n">
        <v>4504603.95</v>
      </c>
    </row>
    <row r="5032" customFormat="false" ht="15" hidden="false" customHeight="false" outlineLevel="0" collapsed="false">
      <c r="A5032" s="0" t="n">
        <v>72</v>
      </c>
      <c r="B5032" s="0" t="s">
        <v>60</v>
      </c>
      <c r="C5032" s="0" t="n">
        <v>2011</v>
      </c>
      <c r="D5032" s="0" t="n">
        <v>9</v>
      </c>
      <c r="E5032" s="38" t="n">
        <v>4240509.79</v>
      </c>
    </row>
    <row r="5033" customFormat="false" ht="15" hidden="false" customHeight="false" outlineLevel="0" collapsed="false">
      <c r="A5033" s="0" t="n">
        <v>72</v>
      </c>
      <c r="B5033" s="0" t="s">
        <v>60</v>
      </c>
      <c r="C5033" s="0" t="n">
        <v>2011</v>
      </c>
      <c r="D5033" s="0" t="n">
        <v>10</v>
      </c>
      <c r="E5033" s="38" t="n">
        <v>9909121.98</v>
      </c>
    </row>
    <row r="5034" customFormat="false" ht="15" hidden="false" customHeight="false" outlineLevel="0" collapsed="false">
      <c r="A5034" s="0" t="n">
        <v>72</v>
      </c>
      <c r="B5034" s="0" t="s">
        <v>60</v>
      </c>
      <c r="C5034" s="0" t="n">
        <v>2011</v>
      </c>
      <c r="D5034" s="0" t="n">
        <v>11</v>
      </c>
      <c r="E5034" s="38" t="n">
        <v>9467481.57</v>
      </c>
    </row>
    <row r="5035" customFormat="false" ht="15" hidden="false" customHeight="false" outlineLevel="0" collapsed="false">
      <c r="A5035" s="0" t="n">
        <v>72</v>
      </c>
      <c r="B5035" s="0" t="s">
        <v>60</v>
      </c>
      <c r="C5035" s="0" t="n">
        <v>2011</v>
      </c>
      <c r="D5035" s="0" t="n">
        <v>12</v>
      </c>
      <c r="E5035" s="38" t="n">
        <v>4970438.48</v>
      </c>
    </row>
    <row r="5036" customFormat="false" ht="15" hidden="false" customHeight="false" outlineLevel="0" collapsed="false">
      <c r="A5036" s="0" t="n">
        <v>72</v>
      </c>
      <c r="B5036" s="0" t="s">
        <v>60</v>
      </c>
      <c r="C5036" s="0" t="n">
        <v>2012</v>
      </c>
      <c r="D5036" s="0" t="n">
        <v>1</v>
      </c>
      <c r="E5036" s="38" t="n">
        <v>6463810.46</v>
      </c>
    </row>
    <row r="5037" customFormat="false" ht="15" hidden="false" customHeight="false" outlineLevel="0" collapsed="false">
      <c r="A5037" s="0" t="n">
        <v>72</v>
      </c>
      <c r="B5037" s="0" t="s">
        <v>60</v>
      </c>
      <c r="C5037" s="0" t="n">
        <v>2012</v>
      </c>
      <c r="D5037" s="0" t="n">
        <v>2</v>
      </c>
      <c r="E5037" s="38" t="n">
        <v>5294172.74</v>
      </c>
    </row>
    <row r="5038" customFormat="false" ht="15" hidden="false" customHeight="false" outlineLevel="0" collapsed="false">
      <c r="A5038" s="0" t="n">
        <v>72</v>
      </c>
      <c r="B5038" s="0" t="s">
        <v>60</v>
      </c>
      <c r="C5038" s="0" t="n">
        <v>2012</v>
      </c>
      <c r="D5038" s="0" t="n">
        <v>3</v>
      </c>
      <c r="E5038" s="38" t="n">
        <v>4474355.17</v>
      </c>
    </row>
    <row r="5039" customFormat="false" ht="15" hidden="false" customHeight="false" outlineLevel="0" collapsed="false">
      <c r="A5039" s="0" t="n">
        <v>72</v>
      </c>
      <c r="B5039" s="0" t="s">
        <v>60</v>
      </c>
      <c r="C5039" s="0" t="n">
        <v>2012</v>
      </c>
      <c r="D5039" s="0" t="n">
        <v>4</v>
      </c>
      <c r="E5039" s="38" t="n">
        <v>4227962.57</v>
      </c>
    </row>
    <row r="5040" customFormat="false" ht="15" hidden="false" customHeight="false" outlineLevel="0" collapsed="false">
      <c r="A5040" s="0" t="n">
        <v>72</v>
      </c>
      <c r="B5040" s="0" t="s">
        <v>60</v>
      </c>
      <c r="C5040" s="0" t="n">
        <v>2012</v>
      </c>
      <c r="D5040" s="0" t="n">
        <v>5</v>
      </c>
      <c r="E5040" s="38" t="n">
        <v>4367199.66</v>
      </c>
    </row>
    <row r="5041" customFormat="false" ht="15" hidden="false" customHeight="false" outlineLevel="0" collapsed="false">
      <c r="A5041" s="0" t="n">
        <v>72</v>
      </c>
      <c r="B5041" s="0" t="s">
        <v>60</v>
      </c>
      <c r="C5041" s="0" t="n">
        <v>2012</v>
      </c>
      <c r="D5041" s="0" t="n">
        <v>6</v>
      </c>
      <c r="E5041" s="38" t="n">
        <v>4285722.88</v>
      </c>
    </row>
    <row r="5042" customFormat="false" ht="15" hidden="false" customHeight="false" outlineLevel="0" collapsed="false">
      <c r="A5042" s="0" t="n">
        <v>72</v>
      </c>
      <c r="B5042" s="0" t="s">
        <v>60</v>
      </c>
      <c r="C5042" s="0" t="n">
        <v>2012</v>
      </c>
      <c r="D5042" s="0" t="n">
        <v>7</v>
      </c>
      <c r="E5042" s="38" t="n">
        <v>4833885.92</v>
      </c>
    </row>
    <row r="5043" customFormat="false" ht="15" hidden="false" customHeight="false" outlineLevel="0" collapsed="false">
      <c r="A5043" s="0" t="n">
        <v>72</v>
      </c>
      <c r="B5043" s="0" t="s">
        <v>60</v>
      </c>
      <c r="C5043" s="0" t="n">
        <v>2012</v>
      </c>
      <c r="D5043" s="0" t="n">
        <v>8</v>
      </c>
      <c r="E5043" s="38" t="n">
        <v>4371014.12</v>
      </c>
    </row>
    <row r="5044" customFormat="false" ht="15" hidden="false" customHeight="false" outlineLevel="0" collapsed="false">
      <c r="A5044" s="0" t="n">
        <v>72</v>
      </c>
      <c r="B5044" s="0" t="s">
        <v>60</v>
      </c>
      <c r="C5044" s="0" t="n">
        <v>2012</v>
      </c>
      <c r="D5044" s="0" t="n">
        <v>9</v>
      </c>
      <c r="E5044" s="38" t="n">
        <v>5458144.06</v>
      </c>
    </row>
    <row r="5045" customFormat="false" ht="15" hidden="false" customHeight="false" outlineLevel="0" collapsed="false">
      <c r="A5045" s="0" t="n">
        <v>72</v>
      </c>
      <c r="B5045" s="0" t="s">
        <v>60</v>
      </c>
      <c r="C5045" s="0" t="n">
        <v>2012</v>
      </c>
      <c r="D5045" s="0" t="n">
        <v>10</v>
      </c>
      <c r="E5045" s="38" t="n">
        <v>9959560.89</v>
      </c>
    </row>
    <row r="5046" customFormat="false" ht="15" hidden="false" customHeight="false" outlineLevel="0" collapsed="false">
      <c r="A5046" s="0" t="n">
        <v>72</v>
      </c>
      <c r="B5046" s="0" t="s">
        <v>60</v>
      </c>
      <c r="C5046" s="0" t="n">
        <v>2012</v>
      </c>
      <c r="D5046" s="0" t="n">
        <v>11</v>
      </c>
      <c r="E5046" s="38" t="n">
        <v>8418363.63</v>
      </c>
    </row>
    <row r="5047" customFormat="false" ht="15" hidden="false" customHeight="false" outlineLevel="0" collapsed="false">
      <c r="A5047" s="0" t="n">
        <v>72</v>
      </c>
      <c r="B5047" s="0" t="s">
        <v>60</v>
      </c>
      <c r="C5047" s="0" t="n">
        <v>2012</v>
      </c>
      <c r="D5047" s="0" t="n">
        <v>12</v>
      </c>
      <c r="E5047" s="38" t="n">
        <v>4867553.83</v>
      </c>
    </row>
    <row r="5048" customFormat="false" ht="15" hidden="false" customHeight="false" outlineLevel="0" collapsed="false">
      <c r="A5048" s="0" t="n">
        <v>72</v>
      </c>
      <c r="B5048" s="0" t="s">
        <v>60</v>
      </c>
      <c r="C5048" s="0" t="n">
        <v>2013</v>
      </c>
      <c r="D5048" s="0" t="n">
        <v>1</v>
      </c>
      <c r="E5048" s="38" t="n">
        <v>6625028.76</v>
      </c>
    </row>
    <row r="5049" customFormat="false" ht="15" hidden="false" customHeight="false" outlineLevel="0" collapsed="false">
      <c r="A5049" s="0" t="n">
        <v>72</v>
      </c>
      <c r="B5049" s="0" t="s">
        <v>60</v>
      </c>
      <c r="C5049" s="0" t="n">
        <v>2013</v>
      </c>
      <c r="D5049" s="0" t="n">
        <v>2</v>
      </c>
      <c r="E5049" s="38" t="n">
        <v>4988723.83</v>
      </c>
    </row>
    <row r="5050" customFormat="false" ht="15" hidden="false" customHeight="false" outlineLevel="0" collapsed="false">
      <c r="A5050" s="0" t="n">
        <v>72</v>
      </c>
      <c r="B5050" s="0" t="s">
        <v>60</v>
      </c>
      <c r="C5050" s="0" t="n">
        <v>2013</v>
      </c>
      <c r="D5050" s="0" t="n">
        <v>3</v>
      </c>
      <c r="E5050" s="38" t="n">
        <v>4227695.87</v>
      </c>
    </row>
    <row r="5051" customFormat="false" ht="15" hidden="false" customHeight="false" outlineLevel="0" collapsed="false">
      <c r="A5051" s="0" t="n">
        <v>72</v>
      </c>
      <c r="B5051" s="0" t="s">
        <v>60</v>
      </c>
      <c r="C5051" s="0" t="n">
        <v>2013</v>
      </c>
      <c r="D5051" s="0" t="n">
        <v>4</v>
      </c>
      <c r="E5051" s="38" t="n">
        <v>4333873.45</v>
      </c>
    </row>
    <row r="5052" customFormat="false" ht="15" hidden="false" customHeight="false" outlineLevel="0" collapsed="false">
      <c r="A5052" s="0" t="n">
        <v>72</v>
      </c>
      <c r="B5052" s="0" t="s">
        <v>60</v>
      </c>
      <c r="C5052" s="0" t="n">
        <v>2013</v>
      </c>
      <c r="D5052" s="0" t="n">
        <v>5</v>
      </c>
      <c r="E5052" s="38" t="n">
        <v>4283099.82</v>
      </c>
    </row>
    <row r="5053" customFormat="false" ht="15" hidden="false" customHeight="false" outlineLevel="0" collapsed="false">
      <c r="A5053" s="0" t="n">
        <v>72</v>
      </c>
      <c r="B5053" s="0" t="s">
        <v>60</v>
      </c>
      <c r="C5053" s="0" t="n">
        <v>2013</v>
      </c>
      <c r="D5053" s="0" t="n">
        <v>6</v>
      </c>
      <c r="E5053" s="38" t="n">
        <v>4310851.71</v>
      </c>
    </row>
    <row r="5054" customFormat="false" ht="15" hidden="false" customHeight="false" outlineLevel="0" collapsed="false">
      <c r="A5054" s="0" t="n">
        <v>72</v>
      </c>
      <c r="B5054" s="0" t="s">
        <v>60</v>
      </c>
      <c r="C5054" s="0" t="n">
        <v>2013</v>
      </c>
      <c r="D5054" s="0" t="n">
        <v>7</v>
      </c>
      <c r="E5054" s="38" t="n">
        <v>4780006.95</v>
      </c>
    </row>
    <row r="5055" customFormat="false" ht="15" hidden="false" customHeight="false" outlineLevel="0" collapsed="false">
      <c r="A5055" s="0" t="n">
        <v>72</v>
      </c>
      <c r="B5055" s="0" t="s">
        <v>60</v>
      </c>
      <c r="C5055" s="0" t="n">
        <v>2013</v>
      </c>
      <c r="D5055" s="0" t="n">
        <v>8</v>
      </c>
      <c r="E5055" s="38" t="n">
        <v>5007973.22</v>
      </c>
    </row>
    <row r="5056" customFormat="false" ht="15" hidden="false" customHeight="false" outlineLevel="0" collapsed="false">
      <c r="A5056" s="0" t="n">
        <v>72</v>
      </c>
      <c r="B5056" s="0" t="s">
        <v>62</v>
      </c>
      <c r="C5056" s="0" t="n">
        <v>2011</v>
      </c>
      <c r="D5056" s="0" t="n">
        <v>1</v>
      </c>
      <c r="E5056" s="38" t="n">
        <v>4979796.71</v>
      </c>
    </row>
    <row r="5057" customFormat="false" ht="15" hidden="false" customHeight="false" outlineLevel="0" collapsed="false">
      <c r="A5057" s="0" t="n">
        <v>72</v>
      </c>
      <c r="B5057" s="0" t="s">
        <v>62</v>
      </c>
      <c r="C5057" s="0" t="n">
        <v>2011</v>
      </c>
      <c r="D5057" s="0" t="n">
        <v>2</v>
      </c>
      <c r="E5057" s="38" t="n">
        <v>3960227.57</v>
      </c>
    </row>
    <row r="5058" customFormat="false" ht="15" hidden="false" customHeight="false" outlineLevel="0" collapsed="false">
      <c r="A5058" s="0" t="n">
        <v>72</v>
      </c>
      <c r="B5058" s="0" t="s">
        <v>62</v>
      </c>
      <c r="C5058" s="0" t="n">
        <v>2011</v>
      </c>
      <c r="D5058" s="0" t="n">
        <v>3</v>
      </c>
      <c r="E5058" s="38" t="n">
        <v>3209927</v>
      </c>
    </row>
    <row r="5059" customFormat="false" ht="15" hidden="false" customHeight="false" outlineLevel="0" collapsed="false">
      <c r="A5059" s="0" t="n">
        <v>72</v>
      </c>
      <c r="B5059" s="0" t="s">
        <v>62</v>
      </c>
      <c r="C5059" s="0" t="n">
        <v>2011</v>
      </c>
      <c r="D5059" s="0" t="n">
        <v>4</v>
      </c>
      <c r="E5059" s="38" t="n">
        <v>3106696.13</v>
      </c>
    </row>
    <row r="5060" customFormat="false" ht="15" hidden="false" customHeight="false" outlineLevel="0" collapsed="false">
      <c r="A5060" s="0" t="n">
        <v>72</v>
      </c>
      <c r="B5060" s="0" t="s">
        <v>62</v>
      </c>
      <c r="C5060" s="0" t="n">
        <v>2011</v>
      </c>
      <c r="D5060" s="0" t="n">
        <v>5</v>
      </c>
      <c r="E5060" s="38" t="n">
        <v>3283371.46</v>
      </c>
    </row>
    <row r="5061" customFormat="false" ht="15" hidden="false" customHeight="false" outlineLevel="0" collapsed="false">
      <c r="A5061" s="0" t="n">
        <v>72</v>
      </c>
      <c r="B5061" s="0" t="s">
        <v>62</v>
      </c>
      <c r="C5061" s="0" t="n">
        <v>2011</v>
      </c>
      <c r="D5061" s="0" t="n">
        <v>6</v>
      </c>
      <c r="E5061" s="38" t="n">
        <v>3350647.25</v>
      </c>
    </row>
    <row r="5062" customFormat="false" ht="15" hidden="false" customHeight="false" outlineLevel="0" collapsed="false">
      <c r="A5062" s="0" t="n">
        <v>72</v>
      </c>
      <c r="B5062" s="0" t="s">
        <v>62</v>
      </c>
      <c r="C5062" s="0" t="n">
        <v>2011</v>
      </c>
      <c r="D5062" s="0" t="n">
        <v>7</v>
      </c>
      <c r="E5062" s="38" t="n">
        <v>3729987.76</v>
      </c>
    </row>
    <row r="5063" customFormat="false" ht="15" hidden="false" customHeight="false" outlineLevel="0" collapsed="false">
      <c r="A5063" s="0" t="n">
        <v>72</v>
      </c>
      <c r="B5063" s="0" t="s">
        <v>62</v>
      </c>
      <c r="C5063" s="0" t="n">
        <v>2011</v>
      </c>
      <c r="D5063" s="0" t="n">
        <v>8</v>
      </c>
      <c r="E5063" s="38" t="n">
        <v>3226114.52</v>
      </c>
    </row>
    <row r="5064" customFormat="false" ht="15" hidden="false" customHeight="false" outlineLevel="0" collapsed="false">
      <c r="A5064" s="0" t="n">
        <v>72</v>
      </c>
      <c r="B5064" s="0" t="s">
        <v>62</v>
      </c>
      <c r="C5064" s="0" t="n">
        <v>2011</v>
      </c>
      <c r="D5064" s="0" t="n">
        <v>9</v>
      </c>
      <c r="E5064" s="38" t="n">
        <v>3059717.49</v>
      </c>
    </row>
    <row r="5065" customFormat="false" ht="15" hidden="false" customHeight="false" outlineLevel="0" collapsed="false">
      <c r="A5065" s="0" t="n">
        <v>72</v>
      </c>
      <c r="B5065" s="0" t="s">
        <v>62</v>
      </c>
      <c r="C5065" s="0" t="n">
        <v>2011</v>
      </c>
      <c r="D5065" s="0" t="n">
        <v>10</v>
      </c>
      <c r="E5065" s="38" t="n">
        <v>7793170.28</v>
      </c>
    </row>
    <row r="5066" customFormat="false" ht="15" hidden="false" customHeight="false" outlineLevel="0" collapsed="false">
      <c r="A5066" s="0" t="n">
        <v>72</v>
      </c>
      <c r="B5066" s="0" t="s">
        <v>62</v>
      </c>
      <c r="C5066" s="0" t="n">
        <v>2011</v>
      </c>
      <c r="D5066" s="0" t="n">
        <v>11</v>
      </c>
      <c r="E5066" s="38" t="n">
        <v>6577487.52</v>
      </c>
    </row>
    <row r="5067" customFormat="false" ht="15" hidden="false" customHeight="false" outlineLevel="0" collapsed="false">
      <c r="A5067" s="0" t="n">
        <v>72</v>
      </c>
      <c r="B5067" s="0" t="s">
        <v>62</v>
      </c>
      <c r="C5067" s="0" t="n">
        <v>2011</v>
      </c>
      <c r="D5067" s="0" t="n">
        <v>12</v>
      </c>
      <c r="E5067" s="38" t="n">
        <v>3532432.54</v>
      </c>
    </row>
    <row r="5068" customFormat="false" ht="15" hidden="false" customHeight="false" outlineLevel="0" collapsed="false">
      <c r="A5068" s="0" t="n">
        <v>72</v>
      </c>
      <c r="B5068" s="0" t="s">
        <v>62</v>
      </c>
      <c r="C5068" s="0" t="n">
        <v>2012</v>
      </c>
      <c r="D5068" s="0" t="n">
        <v>1</v>
      </c>
      <c r="E5068" s="38" t="n">
        <v>4580067.02</v>
      </c>
    </row>
    <row r="5069" customFormat="false" ht="15" hidden="false" customHeight="false" outlineLevel="0" collapsed="false">
      <c r="A5069" s="0" t="n">
        <v>72</v>
      </c>
      <c r="B5069" s="0" t="s">
        <v>62</v>
      </c>
      <c r="C5069" s="0" t="n">
        <v>2012</v>
      </c>
      <c r="D5069" s="0" t="n">
        <v>2</v>
      </c>
      <c r="E5069" s="38" t="n">
        <v>3796589.26</v>
      </c>
    </row>
    <row r="5070" customFormat="false" ht="15" hidden="false" customHeight="false" outlineLevel="0" collapsed="false">
      <c r="A5070" s="0" t="n">
        <v>72</v>
      </c>
      <c r="B5070" s="0" t="s">
        <v>62</v>
      </c>
      <c r="C5070" s="0" t="n">
        <v>2012</v>
      </c>
      <c r="D5070" s="0" t="n">
        <v>3</v>
      </c>
      <c r="E5070" s="38" t="n">
        <v>3167043.27</v>
      </c>
    </row>
    <row r="5071" customFormat="false" ht="15" hidden="false" customHeight="false" outlineLevel="0" collapsed="false">
      <c r="A5071" s="0" t="n">
        <v>72</v>
      </c>
      <c r="B5071" s="0" t="s">
        <v>62</v>
      </c>
      <c r="C5071" s="0" t="n">
        <v>2012</v>
      </c>
      <c r="D5071" s="0" t="n">
        <v>4</v>
      </c>
      <c r="E5071" s="38" t="n">
        <v>2989112.66</v>
      </c>
    </row>
    <row r="5072" customFormat="false" ht="15" hidden="false" customHeight="false" outlineLevel="0" collapsed="false">
      <c r="A5072" s="0" t="n">
        <v>72</v>
      </c>
      <c r="B5072" s="0" t="s">
        <v>62</v>
      </c>
      <c r="C5072" s="0" t="n">
        <v>2012</v>
      </c>
      <c r="D5072" s="0" t="n">
        <v>5</v>
      </c>
      <c r="E5072" s="38" t="n">
        <v>3008752.91</v>
      </c>
    </row>
    <row r="5073" customFormat="false" ht="15" hidden="false" customHeight="false" outlineLevel="0" collapsed="false">
      <c r="A5073" s="0" t="n">
        <v>72</v>
      </c>
      <c r="B5073" s="0" t="s">
        <v>62</v>
      </c>
      <c r="C5073" s="0" t="n">
        <v>2012</v>
      </c>
      <c r="D5073" s="0" t="n">
        <v>6</v>
      </c>
      <c r="E5073" s="38" t="n">
        <v>3035253.16</v>
      </c>
    </row>
    <row r="5074" customFormat="false" ht="15" hidden="false" customHeight="false" outlineLevel="0" collapsed="false">
      <c r="A5074" s="0" t="n">
        <v>72</v>
      </c>
      <c r="B5074" s="0" t="s">
        <v>62</v>
      </c>
      <c r="C5074" s="0" t="n">
        <v>2012</v>
      </c>
      <c r="D5074" s="0" t="n">
        <v>7</v>
      </c>
      <c r="E5074" s="38" t="n">
        <v>3412072.2</v>
      </c>
    </row>
    <row r="5075" customFormat="false" ht="15" hidden="false" customHeight="false" outlineLevel="0" collapsed="false">
      <c r="A5075" s="0" t="n">
        <v>72</v>
      </c>
      <c r="B5075" s="0" t="s">
        <v>62</v>
      </c>
      <c r="C5075" s="0" t="n">
        <v>2012</v>
      </c>
      <c r="D5075" s="0" t="n">
        <v>8</v>
      </c>
      <c r="E5075" s="38" t="n">
        <v>3170580.78</v>
      </c>
    </row>
    <row r="5076" customFormat="false" ht="15" hidden="false" customHeight="false" outlineLevel="0" collapsed="false">
      <c r="A5076" s="0" t="n">
        <v>72</v>
      </c>
      <c r="B5076" s="0" t="s">
        <v>62</v>
      </c>
      <c r="C5076" s="0" t="n">
        <v>2012</v>
      </c>
      <c r="D5076" s="0" t="n">
        <v>9</v>
      </c>
      <c r="E5076" s="38" t="n">
        <v>3783660.07</v>
      </c>
    </row>
    <row r="5077" customFormat="false" ht="15" hidden="false" customHeight="false" outlineLevel="0" collapsed="false">
      <c r="A5077" s="0" t="n">
        <v>72</v>
      </c>
      <c r="B5077" s="0" t="s">
        <v>62</v>
      </c>
      <c r="C5077" s="0" t="n">
        <v>2012</v>
      </c>
      <c r="D5077" s="0" t="n">
        <v>10</v>
      </c>
      <c r="E5077" s="38" t="n">
        <v>7794043.82</v>
      </c>
    </row>
    <row r="5078" customFormat="false" ht="15" hidden="false" customHeight="false" outlineLevel="0" collapsed="false">
      <c r="A5078" s="0" t="n">
        <v>72</v>
      </c>
      <c r="B5078" s="0" t="s">
        <v>62</v>
      </c>
      <c r="C5078" s="0" t="n">
        <v>2012</v>
      </c>
      <c r="D5078" s="0" t="n">
        <v>11</v>
      </c>
      <c r="E5078" s="38" t="n">
        <v>5736799.88</v>
      </c>
    </row>
    <row r="5079" customFormat="false" ht="15" hidden="false" customHeight="false" outlineLevel="0" collapsed="false">
      <c r="A5079" s="0" t="n">
        <v>72</v>
      </c>
      <c r="B5079" s="0" t="s">
        <v>62</v>
      </c>
      <c r="C5079" s="0" t="n">
        <v>2012</v>
      </c>
      <c r="D5079" s="0" t="n">
        <v>12</v>
      </c>
      <c r="E5079" s="38" t="n">
        <v>3367558.9</v>
      </c>
    </row>
    <row r="5080" customFormat="false" ht="15" hidden="false" customHeight="false" outlineLevel="0" collapsed="false">
      <c r="A5080" s="0" t="n">
        <v>72</v>
      </c>
      <c r="B5080" s="0" t="s">
        <v>62</v>
      </c>
      <c r="C5080" s="0" t="n">
        <v>2013</v>
      </c>
      <c r="D5080" s="0" t="n">
        <v>1</v>
      </c>
      <c r="E5080" s="38" t="n">
        <v>4526414.96</v>
      </c>
    </row>
    <row r="5081" customFormat="false" ht="15" hidden="false" customHeight="false" outlineLevel="0" collapsed="false">
      <c r="A5081" s="0" t="n">
        <v>72</v>
      </c>
      <c r="B5081" s="0" t="s">
        <v>62</v>
      </c>
      <c r="C5081" s="0" t="n">
        <v>2013</v>
      </c>
      <c r="D5081" s="0" t="n">
        <v>2</v>
      </c>
      <c r="E5081" s="38" t="n">
        <v>3391605.76</v>
      </c>
    </row>
    <row r="5082" customFormat="false" ht="15" hidden="false" customHeight="false" outlineLevel="0" collapsed="false">
      <c r="A5082" s="0" t="n">
        <v>72</v>
      </c>
      <c r="B5082" s="0" t="s">
        <v>62</v>
      </c>
      <c r="C5082" s="0" t="n">
        <v>2013</v>
      </c>
      <c r="D5082" s="0" t="n">
        <v>3</v>
      </c>
      <c r="E5082" s="38" t="n">
        <v>2990254.66</v>
      </c>
    </row>
    <row r="5083" customFormat="false" ht="15" hidden="false" customHeight="false" outlineLevel="0" collapsed="false">
      <c r="A5083" s="0" t="n">
        <v>72</v>
      </c>
      <c r="B5083" s="0" t="s">
        <v>62</v>
      </c>
      <c r="C5083" s="0" t="n">
        <v>2013</v>
      </c>
      <c r="D5083" s="0" t="n">
        <v>4</v>
      </c>
      <c r="E5083" s="38" t="n">
        <v>2817232.67</v>
      </c>
    </row>
    <row r="5084" customFormat="false" ht="15" hidden="false" customHeight="false" outlineLevel="0" collapsed="false">
      <c r="A5084" s="0" t="n">
        <v>72</v>
      </c>
      <c r="B5084" s="0" t="s">
        <v>62</v>
      </c>
      <c r="C5084" s="0" t="n">
        <v>2013</v>
      </c>
      <c r="D5084" s="0" t="n">
        <v>5</v>
      </c>
      <c r="E5084" s="38" t="n">
        <v>2930842.07</v>
      </c>
    </row>
    <row r="5085" customFormat="false" ht="15" hidden="false" customHeight="false" outlineLevel="0" collapsed="false">
      <c r="A5085" s="0" t="n">
        <v>72</v>
      </c>
      <c r="B5085" s="0" t="s">
        <v>62</v>
      </c>
      <c r="C5085" s="0" t="n">
        <v>2013</v>
      </c>
      <c r="D5085" s="0" t="n">
        <v>6</v>
      </c>
      <c r="E5085" s="38" t="n">
        <v>2996821.85</v>
      </c>
    </row>
    <row r="5086" customFormat="false" ht="15" hidden="false" customHeight="false" outlineLevel="0" collapsed="false">
      <c r="A5086" s="0" t="n">
        <v>72</v>
      </c>
      <c r="B5086" s="0" t="s">
        <v>62</v>
      </c>
      <c r="C5086" s="0" t="n">
        <v>2013</v>
      </c>
      <c r="D5086" s="0" t="n">
        <v>7</v>
      </c>
      <c r="E5086" s="38" t="n">
        <v>3179116.33</v>
      </c>
    </row>
    <row r="5087" customFormat="false" ht="15" hidden="false" customHeight="false" outlineLevel="0" collapsed="false">
      <c r="A5087" s="0" t="n">
        <v>72</v>
      </c>
      <c r="B5087" s="0" t="s">
        <v>62</v>
      </c>
      <c r="C5087" s="0" t="n">
        <v>2013</v>
      </c>
      <c r="D5087" s="0" t="n">
        <v>8</v>
      </c>
      <c r="E5087" s="38" t="n">
        <v>3442023.5</v>
      </c>
    </row>
    <row r="5088" customFormat="false" ht="15" hidden="false" customHeight="false" outlineLevel="0" collapsed="false">
      <c r="A5088" s="0" t="n">
        <v>72</v>
      </c>
      <c r="B5088" s="0" t="s">
        <v>64</v>
      </c>
      <c r="C5088" s="0" t="n">
        <v>2011</v>
      </c>
      <c r="D5088" s="0" t="n">
        <v>1</v>
      </c>
      <c r="E5088" s="38" t="n">
        <v>2623.55</v>
      </c>
    </row>
    <row r="5089" customFormat="false" ht="15" hidden="false" customHeight="false" outlineLevel="0" collapsed="false">
      <c r="A5089" s="0" t="n">
        <v>72</v>
      </c>
      <c r="B5089" s="0" t="s">
        <v>64</v>
      </c>
      <c r="C5089" s="0" t="n">
        <v>2011</v>
      </c>
      <c r="D5089" s="0" t="n">
        <v>2</v>
      </c>
      <c r="E5089" s="38" t="n">
        <v>2454.49</v>
      </c>
    </row>
    <row r="5090" customFormat="false" ht="15" hidden="false" customHeight="false" outlineLevel="0" collapsed="false">
      <c r="A5090" s="0" t="n">
        <v>72</v>
      </c>
      <c r="B5090" s="0" t="s">
        <v>64</v>
      </c>
      <c r="C5090" s="0" t="n">
        <v>2011</v>
      </c>
      <c r="D5090" s="0" t="n">
        <v>3</v>
      </c>
      <c r="E5090" s="38" t="n">
        <v>2481.78</v>
      </c>
    </row>
    <row r="5091" customFormat="false" ht="15" hidden="false" customHeight="false" outlineLevel="0" collapsed="false">
      <c r="A5091" s="0" t="n">
        <v>72</v>
      </c>
      <c r="B5091" s="0" t="s">
        <v>64</v>
      </c>
      <c r="C5091" s="0" t="n">
        <v>2011</v>
      </c>
      <c r="D5091" s="0" t="n">
        <v>4</v>
      </c>
      <c r="E5091" s="38" t="n">
        <v>2373.51</v>
      </c>
    </row>
    <row r="5092" customFormat="false" ht="15" hidden="false" customHeight="false" outlineLevel="0" collapsed="false">
      <c r="A5092" s="0" t="n">
        <v>72</v>
      </c>
      <c r="B5092" s="0" t="s">
        <v>64</v>
      </c>
      <c r="C5092" s="0" t="n">
        <v>2011</v>
      </c>
      <c r="D5092" s="0" t="n">
        <v>5</v>
      </c>
      <c r="E5092" s="38" t="n">
        <v>1836.8</v>
      </c>
    </row>
    <row r="5093" customFormat="false" ht="15" hidden="false" customHeight="false" outlineLevel="0" collapsed="false">
      <c r="A5093" s="0" t="n">
        <v>72</v>
      </c>
      <c r="B5093" s="0" t="s">
        <v>64</v>
      </c>
      <c r="C5093" s="0" t="n">
        <v>2011</v>
      </c>
      <c r="D5093" s="0" t="n">
        <v>6</v>
      </c>
      <c r="E5093" s="38" t="n">
        <v>2150.99</v>
      </c>
    </row>
    <row r="5094" customFormat="false" ht="15" hidden="false" customHeight="false" outlineLevel="0" collapsed="false">
      <c r="A5094" s="0" t="n">
        <v>72</v>
      </c>
      <c r="B5094" s="0" t="s">
        <v>64</v>
      </c>
      <c r="C5094" s="0" t="n">
        <v>2011</v>
      </c>
      <c r="D5094" s="0" t="n">
        <v>7</v>
      </c>
      <c r="E5094" s="38" t="n">
        <v>2337.01</v>
      </c>
    </row>
    <row r="5095" customFormat="false" ht="15" hidden="false" customHeight="false" outlineLevel="0" collapsed="false">
      <c r="A5095" s="0" t="n">
        <v>72</v>
      </c>
      <c r="B5095" s="0" t="s">
        <v>64</v>
      </c>
      <c r="C5095" s="0" t="n">
        <v>2011</v>
      </c>
      <c r="D5095" s="0" t="n">
        <v>8</v>
      </c>
      <c r="E5095" s="38" t="n">
        <v>2475.05</v>
      </c>
    </row>
    <row r="5096" customFormat="false" ht="15" hidden="false" customHeight="false" outlineLevel="0" collapsed="false">
      <c r="A5096" s="0" t="n">
        <v>72</v>
      </c>
      <c r="B5096" s="0" t="s">
        <v>64</v>
      </c>
      <c r="C5096" s="0" t="n">
        <v>2011</v>
      </c>
      <c r="D5096" s="0" t="n">
        <v>9</v>
      </c>
      <c r="E5096" s="38" t="n">
        <v>3063.72</v>
      </c>
    </row>
    <row r="5097" customFormat="false" ht="15" hidden="false" customHeight="false" outlineLevel="0" collapsed="false">
      <c r="A5097" s="0" t="n">
        <v>72</v>
      </c>
      <c r="B5097" s="0" t="s">
        <v>64</v>
      </c>
      <c r="C5097" s="0" t="n">
        <v>2011</v>
      </c>
      <c r="D5097" s="0" t="n">
        <v>10</v>
      </c>
      <c r="E5097" s="38" t="n">
        <v>2511.96</v>
      </c>
    </row>
    <row r="5098" customFormat="false" ht="15" hidden="false" customHeight="false" outlineLevel="0" collapsed="false">
      <c r="A5098" s="0" t="n">
        <v>72</v>
      </c>
      <c r="B5098" s="0" t="s">
        <v>64</v>
      </c>
      <c r="C5098" s="0" t="n">
        <v>2011</v>
      </c>
      <c r="D5098" s="0" t="n">
        <v>11</v>
      </c>
      <c r="E5098" s="38" t="n">
        <v>1129.91</v>
      </c>
    </row>
    <row r="5099" customFormat="false" ht="15" hidden="false" customHeight="false" outlineLevel="0" collapsed="false">
      <c r="A5099" s="0" t="n">
        <v>72</v>
      </c>
      <c r="B5099" s="0" t="s">
        <v>64</v>
      </c>
      <c r="C5099" s="0" t="n">
        <v>2011</v>
      </c>
      <c r="D5099" s="0" t="n">
        <v>12</v>
      </c>
      <c r="E5099" s="38" t="n">
        <v>2640.06</v>
      </c>
    </row>
    <row r="5100" customFormat="false" ht="15" hidden="false" customHeight="false" outlineLevel="0" collapsed="false">
      <c r="A5100" s="0" t="n">
        <v>72</v>
      </c>
      <c r="B5100" s="0" t="s">
        <v>64</v>
      </c>
      <c r="C5100" s="0" t="n">
        <v>2012</v>
      </c>
      <c r="D5100" s="0" t="n">
        <v>1</v>
      </c>
      <c r="E5100" s="38" t="n">
        <v>2135.33</v>
      </c>
    </row>
    <row r="5101" customFormat="false" ht="15" hidden="false" customHeight="false" outlineLevel="0" collapsed="false">
      <c r="A5101" s="0" t="n">
        <v>72</v>
      </c>
      <c r="B5101" s="0" t="s">
        <v>64</v>
      </c>
      <c r="C5101" s="0" t="n">
        <v>2012</v>
      </c>
      <c r="D5101" s="0" t="n">
        <v>2</v>
      </c>
      <c r="E5101" s="38" t="n">
        <v>2259.77</v>
      </c>
    </row>
    <row r="5102" customFormat="false" ht="15" hidden="false" customHeight="false" outlineLevel="0" collapsed="false">
      <c r="A5102" s="0" t="n">
        <v>72</v>
      </c>
      <c r="B5102" s="0" t="s">
        <v>64</v>
      </c>
      <c r="C5102" s="0" t="n">
        <v>2012</v>
      </c>
      <c r="D5102" s="0" t="n">
        <v>3</v>
      </c>
      <c r="E5102" s="38" t="n">
        <v>1884.29</v>
      </c>
    </row>
    <row r="5103" customFormat="false" ht="15" hidden="false" customHeight="false" outlineLevel="0" collapsed="false">
      <c r="A5103" s="0" t="n">
        <v>72</v>
      </c>
      <c r="B5103" s="0" t="s">
        <v>64</v>
      </c>
      <c r="C5103" s="0" t="n">
        <v>2012</v>
      </c>
      <c r="D5103" s="0" t="n">
        <v>4</v>
      </c>
      <c r="E5103" s="38" t="n">
        <v>2036.47</v>
      </c>
    </row>
    <row r="5104" customFormat="false" ht="15" hidden="false" customHeight="false" outlineLevel="0" collapsed="false">
      <c r="A5104" s="0" t="n">
        <v>72</v>
      </c>
      <c r="B5104" s="0" t="s">
        <v>64</v>
      </c>
      <c r="C5104" s="0" t="n">
        <v>2012</v>
      </c>
      <c r="D5104" s="0" t="n">
        <v>5</v>
      </c>
      <c r="E5104" s="38" t="n">
        <v>3155.6</v>
      </c>
    </row>
    <row r="5105" customFormat="false" ht="15" hidden="false" customHeight="false" outlineLevel="0" collapsed="false">
      <c r="A5105" s="0" t="n">
        <v>72</v>
      </c>
      <c r="B5105" s="0" t="s">
        <v>64</v>
      </c>
      <c r="C5105" s="0" t="n">
        <v>2012</v>
      </c>
      <c r="D5105" s="0" t="n">
        <v>6</v>
      </c>
      <c r="E5105" s="38" t="n">
        <v>1844.43</v>
      </c>
    </row>
    <row r="5106" customFormat="false" ht="15" hidden="false" customHeight="false" outlineLevel="0" collapsed="false">
      <c r="A5106" s="0" t="n">
        <v>72</v>
      </c>
      <c r="B5106" s="0" t="s">
        <v>64</v>
      </c>
      <c r="C5106" s="0" t="n">
        <v>2012</v>
      </c>
      <c r="D5106" s="0" t="n">
        <v>7</v>
      </c>
      <c r="E5106" s="38" t="n">
        <v>2040.03</v>
      </c>
    </row>
    <row r="5107" customFormat="false" ht="15" hidden="false" customHeight="false" outlineLevel="0" collapsed="false">
      <c r="A5107" s="0" t="n">
        <v>72</v>
      </c>
      <c r="B5107" s="0" t="s">
        <v>64</v>
      </c>
      <c r="C5107" s="0" t="n">
        <v>2012</v>
      </c>
      <c r="D5107" s="0" t="n">
        <v>8</v>
      </c>
      <c r="E5107" s="38" t="n">
        <v>3228.41</v>
      </c>
    </row>
    <row r="5108" customFormat="false" ht="15" hidden="false" customHeight="false" outlineLevel="0" collapsed="false">
      <c r="A5108" s="0" t="n">
        <v>72</v>
      </c>
      <c r="B5108" s="0" t="s">
        <v>64</v>
      </c>
      <c r="C5108" s="0" t="n">
        <v>2012</v>
      </c>
      <c r="D5108" s="0" t="n">
        <v>9</v>
      </c>
      <c r="E5108" s="38" t="n">
        <v>1966.16</v>
      </c>
    </row>
    <row r="5109" customFormat="false" ht="15" hidden="false" customHeight="false" outlineLevel="0" collapsed="false">
      <c r="A5109" s="0" t="n">
        <v>72</v>
      </c>
      <c r="B5109" s="0" t="s">
        <v>64</v>
      </c>
      <c r="C5109" s="0" t="n">
        <v>2012</v>
      </c>
      <c r="D5109" s="0" t="n">
        <v>10</v>
      </c>
      <c r="E5109" s="38" t="n">
        <v>3011.38</v>
      </c>
    </row>
    <row r="5110" customFormat="false" ht="15" hidden="false" customHeight="false" outlineLevel="0" collapsed="false">
      <c r="A5110" s="0" t="n">
        <v>72</v>
      </c>
      <c r="B5110" s="0" t="s">
        <v>64</v>
      </c>
      <c r="C5110" s="0" t="n">
        <v>2012</v>
      </c>
      <c r="D5110" s="0" t="n">
        <v>11</v>
      </c>
      <c r="E5110" s="38" t="n">
        <v>3688.25</v>
      </c>
    </row>
    <row r="5111" customFormat="false" ht="15" hidden="false" customHeight="false" outlineLevel="0" collapsed="false">
      <c r="A5111" s="0" t="n">
        <v>72</v>
      </c>
      <c r="B5111" s="0" t="s">
        <v>64</v>
      </c>
      <c r="C5111" s="0" t="n">
        <v>2012</v>
      </c>
      <c r="D5111" s="0" t="n">
        <v>12</v>
      </c>
      <c r="E5111" s="38" t="n">
        <v>3202.14</v>
      </c>
    </row>
    <row r="5112" customFormat="false" ht="15" hidden="false" customHeight="false" outlineLevel="0" collapsed="false">
      <c r="A5112" s="0" t="n">
        <v>72</v>
      </c>
      <c r="B5112" s="0" t="s">
        <v>64</v>
      </c>
      <c r="C5112" s="0" t="n">
        <v>2013</v>
      </c>
      <c r="D5112" s="0" t="n">
        <v>1</v>
      </c>
      <c r="E5112" s="38" t="n">
        <v>3851.29</v>
      </c>
    </row>
    <row r="5113" customFormat="false" ht="15" hidden="false" customHeight="false" outlineLevel="0" collapsed="false">
      <c r="A5113" s="0" t="n">
        <v>72</v>
      </c>
      <c r="B5113" s="0" t="s">
        <v>64</v>
      </c>
      <c r="C5113" s="0" t="n">
        <v>2013</v>
      </c>
      <c r="D5113" s="0" t="n">
        <v>2</v>
      </c>
      <c r="E5113" s="38" t="n">
        <v>4232.86</v>
      </c>
    </row>
    <row r="5114" customFormat="false" ht="15" hidden="false" customHeight="false" outlineLevel="0" collapsed="false">
      <c r="A5114" s="0" t="n">
        <v>72</v>
      </c>
      <c r="B5114" s="0" t="s">
        <v>64</v>
      </c>
      <c r="C5114" s="0" t="n">
        <v>2013</v>
      </c>
      <c r="D5114" s="0" t="n">
        <v>3</v>
      </c>
      <c r="E5114" s="38" t="n">
        <v>3785.42</v>
      </c>
    </row>
    <row r="5115" customFormat="false" ht="15" hidden="false" customHeight="false" outlineLevel="0" collapsed="false">
      <c r="A5115" s="0" t="n">
        <v>72</v>
      </c>
      <c r="B5115" s="0" t="s">
        <v>64</v>
      </c>
      <c r="C5115" s="0" t="n">
        <v>2013</v>
      </c>
      <c r="D5115" s="0" t="n">
        <v>4</v>
      </c>
      <c r="E5115" s="38" t="n">
        <v>3188.38</v>
      </c>
    </row>
    <row r="5116" customFormat="false" ht="15" hidden="false" customHeight="false" outlineLevel="0" collapsed="false">
      <c r="A5116" s="0" t="n">
        <v>72</v>
      </c>
      <c r="B5116" s="0" t="s">
        <v>64</v>
      </c>
      <c r="C5116" s="0" t="n">
        <v>2013</v>
      </c>
      <c r="D5116" s="0" t="n">
        <v>5</v>
      </c>
      <c r="E5116" s="38" t="n">
        <v>2884.72</v>
      </c>
    </row>
    <row r="5117" customFormat="false" ht="15" hidden="false" customHeight="false" outlineLevel="0" collapsed="false">
      <c r="A5117" s="0" t="n">
        <v>72</v>
      </c>
      <c r="B5117" s="0" t="s">
        <v>64</v>
      </c>
      <c r="C5117" s="0" t="n">
        <v>2013</v>
      </c>
      <c r="D5117" s="0" t="n">
        <v>6</v>
      </c>
      <c r="E5117" s="38" t="n">
        <v>3156.53</v>
      </c>
    </row>
    <row r="5118" customFormat="false" ht="15" hidden="false" customHeight="false" outlineLevel="0" collapsed="false">
      <c r="A5118" s="0" t="n">
        <v>72</v>
      </c>
      <c r="B5118" s="0" t="s">
        <v>64</v>
      </c>
      <c r="C5118" s="0" t="n">
        <v>2013</v>
      </c>
      <c r="D5118" s="0" t="n">
        <v>7</v>
      </c>
      <c r="E5118" s="38" t="n">
        <v>3938.19</v>
      </c>
    </row>
    <row r="5119" customFormat="false" ht="15" hidden="false" customHeight="false" outlineLevel="0" collapsed="false">
      <c r="A5119" s="0" t="n">
        <v>72</v>
      </c>
      <c r="B5119" s="0" t="s">
        <v>64</v>
      </c>
      <c r="C5119" s="0" t="n">
        <v>2013</v>
      </c>
      <c r="D5119" s="0" t="n">
        <v>8</v>
      </c>
      <c r="E5119" s="38" t="n">
        <v>2981.38</v>
      </c>
    </row>
    <row r="5120" customFormat="false" ht="15" hidden="false" customHeight="false" outlineLevel="0" collapsed="false">
      <c r="A5120" s="0" t="n">
        <v>74</v>
      </c>
      <c r="B5120" s="0" t="s">
        <v>60</v>
      </c>
      <c r="C5120" s="0" t="n">
        <v>2011</v>
      </c>
      <c r="D5120" s="0" t="n">
        <v>1</v>
      </c>
      <c r="E5120" s="38" t="n">
        <v>1487153.14</v>
      </c>
    </row>
    <row r="5121" customFormat="false" ht="15" hidden="false" customHeight="false" outlineLevel="0" collapsed="false">
      <c r="A5121" s="0" t="n">
        <v>74</v>
      </c>
      <c r="B5121" s="0" t="s">
        <v>60</v>
      </c>
      <c r="C5121" s="0" t="n">
        <v>2011</v>
      </c>
      <c r="D5121" s="0" t="n">
        <v>2</v>
      </c>
      <c r="E5121" s="38" t="n">
        <v>1552439.81</v>
      </c>
    </row>
    <row r="5122" customFormat="false" ht="15" hidden="false" customHeight="false" outlineLevel="0" collapsed="false">
      <c r="A5122" s="0" t="n">
        <v>74</v>
      </c>
      <c r="B5122" s="0" t="s">
        <v>60</v>
      </c>
      <c r="C5122" s="0" t="n">
        <v>2011</v>
      </c>
      <c r="D5122" s="0" t="n">
        <v>3</v>
      </c>
      <c r="E5122" s="38" t="n">
        <v>1414191.7</v>
      </c>
    </row>
    <row r="5123" customFormat="false" ht="15" hidden="false" customHeight="false" outlineLevel="0" collapsed="false">
      <c r="A5123" s="0" t="n">
        <v>74</v>
      </c>
      <c r="B5123" s="0" t="s">
        <v>60</v>
      </c>
      <c r="C5123" s="0" t="n">
        <v>2011</v>
      </c>
      <c r="D5123" s="0" t="n">
        <v>4</v>
      </c>
      <c r="E5123" s="38" t="n">
        <v>1518511.39</v>
      </c>
    </row>
    <row r="5124" customFormat="false" ht="15" hidden="false" customHeight="false" outlineLevel="0" collapsed="false">
      <c r="A5124" s="0" t="n">
        <v>74</v>
      </c>
      <c r="B5124" s="0" t="s">
        <v>60</v>
      </c>
      <c r="C5124" s="0" t="n">
        <v>2011</v>
      </c>
      <c r="D5124" s="0" t="n">
        <v>5</v>
      </c>
      <c r="E5124" s="38" t="n">
        <v>1504131.34</v>
      </c>
    </row>
    <row r="5125" customFormat="false" ht="15" hidden="false" customHeight="false" outlineLevel="0" collapsed="false">
      <c r="A5125" s="0" t="n">
        <v>74</v>
      </c>
      <c r="B5125" s="0" t="s">
        <v>60</v>
      </c>
      <c r="C5125" s="0" t="n">
        <v>2011</v>
      </c>
      <c r="D5125" s="0" t="n">
        <v>6</v>
      </c>
      <c r="E5125" s="38" t="n">
        <v>1681500.58</v>
      </c>
    </row>
    <row r="5126" customFormat="false" ht="15" hidden="false" customHeight="false" outlineLevel="0" collapsed="false">
      <c r="A5126" s="0" t="n">
        <v>74</v>
      </c>
      <c r="B5126" s="0" t="s">
        <v>60</v>
      </c>
      <c r="C5126" s="0" t="n">
        <v>2011</v>
      </c>
      <c r="D5126" s="0" t="n">
        <v>7</v>
      </c>
      <c r="E5126" s="38" t="n">
        <v>1871822.49</v>
      </c>
    </row>
    <row r="5127" customFormat="false" ht="15" hidden="false" customHeight="false" outlineLevel="0" collapsed="false">
      <c r="A5127" s="0" t="n">
        <v>74</v>
      </c>
      <c r="B5127" s="0" t="s">
        <v>60</v>
      </c>
      <c r="C5127" s="0" t="n">
        <v>2011</v>
      </c>
      <c r="D5127" s="0" t="n">
        <v>8</v>
      </c>
      <c r="E5127" s="38" t="n">
        <v>1496801.5</v>
      </c>
    </row>
    <row r="5128" customFormat="false" ht="15" hidden="false" customHeight="false" outlineLevel="0" collapsed="false">
      <c r="A5128" s="0" t="n">
        <v>74</v>
      </c>
      <c r="B5128" s="0" t="s">
        <v>60</v>
      </c>
      <c r="C5128" s="0" t="n">
        <v>2011</v>
      </c>
      <c r="D5128" s="0" t="n">
        <v>9</v>
      </c>
      <c r="E5128" s="38" t="n">
        <v>1407228.09</v>
      </c>
    </row>
    <row r="5129" customFormat="false" ht="15" hidden="false" customHeight="false" outlineLevel="0" collapsed="false">
      <c r="A5129" s="0" t="n">
        <v>74</v>
      </c>
      <c r="B5129" s="0" t="s">
        <v>60</v>
      </c>
      <c r="C5129" s="0" t="n">
        <v>2011</v>
      </c>
      <c r="D5129" s="0" t="n">
        <v>10</v>
      </c>
      <c r="E5129" s="38" t="n">
        <v>1566774.99</v>
      </c>
    </row>
    <row r="5130" customFormat="false" ht="15" hidden="false" customHeight="false" outlineLevel="0" collapsed="false">
      <c r="A5130" s="0" t="n">
        <v>74</v>
      </c>
      <c r="B5130" s="0" t="s">
        <v>60</v>
      </c>
      <c r="C5130" s="0" t="n">
        <v>2011</v>
      </c>
      <c r="D5130" s="0" t="n">
        <v>11</v>
      </c>
      <c r="E5130" s="38" t="n">
        <v>1543660.63</v>
      </c>
    </row>
    <row r="5131" customFormat="false" ht="15" hidden="false" customHeight="false" outlineLevel="0" collapsed="false">
      <c r="A5131" s="0" t="n">
        <v>74</v>
      </c>
      <c r="B5131" s="0" t="s">
        <v>60</v>
      </c>
      <c r="C5131" s="0" t="n">
        <v>2011</v>
      </c>
      <c r="D5131" s="0" t="n">
        <v>12</v>
      </c>
      <c r="E5131" s="38" t="n">
        <v>1588487.67</v>
      </c>
    </row>
    <row r="5132" customFormat="false" ht="15" hidden="false" customHeight="false" outlineLevel="0" collapsed="false">
      <c r="A5132" s="0" t="n">
        <v>74</v>
      </c>
      <c r="B5132" s="0" t="s">
        <v>60</v>
      </c>
      <c r="C5132" s="0" t="n">
        <v>2012</v>
      </c>
      <c r="D5132" s="0" t="n">
        <v>1</v>
      </c>
      <c r="E5132" s="38" t="n">
        <v>1492546.45</v>
      </c>
    </row>
    <row r="5133" customFormat="false" ht="15" hidden="false" customHeight="false" outlineLevel="0" collapsed="false">
      <c r="A5133" s="0" t="n">
        <v>74</v>
      </c>
      <c r="B5133" s="0" t="s">
        <v>60</v>
      </c>
      <c r="C5133" s="0" t="n">
        <v>2012</v>
      </c>
      <c r="D5133" s="0" t="n">
        <v>2</v>
      </c>
      <c r="E5133" s="38" t="n">
        <v>1552260.46</v>
      </c>
    </row>
    <row r="5134" customFormat="false" ht="15" hidden="false" customHeight="false" outlineLevel="0" collapsed="false">
      <c r="A5134" s="0" t="n">
        <v>74</v>
      </c>
      <c r="B5134" s="0" t="s">
        <v>60</v>
      </c>
      <c r="C5134" s="0" t="n">
        <v>2012</v>
      </c>
      <c r="D5134" s="0" t="n">
        <v>3</v>
      </c>
      <c r="E5134" s="38" t="n">
        <v>1368798.06</v>
      </c>
    </row>
    <row r="5135" customFormat="false" ht="15" hidden="false" customHeight="false" outlineLevel="0" collapsed="false">
      <c r="A5135" s="0" t="n">
        <v>74</v>
      </c>
      <c r="B5135" s="0" t="s">
        <v>60</v>
      </c>
      <c r="C5135" s="0" t="n">
        <v>2012</v>
      </c>
      <c r="D5135" s="0" t="n">
        <v>4</v>
      </c>
      <c r="E5135" s="38" t="n">
        <v>1468971.72</v>
      </c>
    </row>
    <row r="5136" customFormat="false" ht="15" hidden="false" customHeight="false" outlineLevel="0" collapsed="false">
      <c r="A5136" s="0" t="n">
        <v>74</v>
      </c>
      <c r="B5136" s="0" t="s">
        <v>60</v>
      </c>
      <c r="C5136" s="0" t="n">
        <v>2012</v>
      </c>
      <c r="D5136" s="0" t="n">
        <v>5</v>
      </c>
      <c r="E5136" s="38" t="n">
        <v>1399825.84</v>
      </c>
    </row>
    <row r="5137" customFormat="false" ht="15" hidden="false" customHeight="false" outlineLevel="0" collapsed="false">
      <c r="A5137" s="0" t="n">
        <v>74</v>
      </c>
      <c r="B5137" s="0" t="s">
        <v>60</v>
      </c>
      <c r="C5137" s="0" t="n">
        <v>2012</v>
      </c>
      <c r="D5137" s="0" t="n">
        <v>6</v>
      </c>
      <c r="E5137" s="38" t="n">
        <v>1517670.31</v>
      </c>
    </row>
    <row r="5138" customFormat="false" ht="15" hidden="false" customHeight="false" outlineLevel="0" collapsed="false">
      <c r="A5138" s="0" t="n">
        <v>74</v>
      </c>
      <c r="B5138" s="0" t="s">
        <v>60</v>
      </c>
      <c r="C5138" s="0" t="n">
        <v>2012</v>
      </c>
      <c r="D5138" s="0" t="n">
        <v>7</v>
      </c>
      <c r="E5138" s="38" t="n">
        <v>1778386.25</v>
      </c>
    </row>
    <row r="5139" customFormat="false" ht="15" hidden="false" customHeight="false" outlineLevel="0" collapsed="false">
      <c r="A5139" s="0" t="n">
        <v>74</v>
      </c>
      <c r="B5139" s="0" t="s">
        <v>60</v>
      </c>
      <c r="C5139" s="0" t="n">
        <v>2012</v>
      </c>
      <c r="D5139" s="0" t="n">
        <v>8</v>
      </c>
      <c r="E5139" s="38" t="n">
        <v>1489484.84</v>
      </c>
    </row>
    <row r="5140" customFormat="false" ht="15" hidden="false" customHeight="false" outlineLevel="0" collapsed="false">
      <c r="A5140" s="0" t="n">
        <v>74</v>
      </c>
      <c r="B5140" s="0" t="s">
        <v>60</v>
      </c>
      <c r="C5140" s="0" t="n">
        <v>2012</v>
      </c>
      <c r="D5140" s="0" t="n">
        <v>9</v>
      </c>
      <c r="E5140" s="38" t="n">
        <v>1437480.95</v>
      </c>
    </row>
    <row r="5141" customFormat="false" ht="15" hidden="false" customHeight="false" outlineLevel="0" collapsed="false">
      <c r="A5141" s="0" t="n">
        <v>74</v>
      </c>
      <c r="B5141" s="0" t="s">
        <v>60</v>
      </c>
      <c r="C5141" s="0" t="n">
        <v>2012</v>
      </c>
      <c r="D5141" s="0" t="n">
        <v>10</v>
      </c>
      <c r="E5141" s="38" t="n">
        <v>1597195.7</v>
      </c>
    </row>
    <row r="5142" customFormat="false" ht="15" hidden="false" customHeight="false" outlineLevel="0" collapsed="false">
      <c r="A5142" s="0" t="n">
        <v>74</v>
      </c>
      <c r="B5142" s="0" t="s">
        <v>60</v>
      </c>
      <c r="C5142" s="0" t="n">
        <v>2012</v>
      </c>
      <c r="D5142" s="0" t="n">
        <v>11</v>
      </c>
      <c r="E5142" s="38" t="n">
        <v>1614099.64</v>
      </c>
    </row>
    <row r="5143" customFormat="false" ht="15" hidden="false" customHeight="false" outlineLevel="0" collapsed="false">
      <c r="A5143" s="0" t="n">
        <v>74</v>
      </c>
      <c r="B5143" s="0" t="s">
        <v>60</v>
      </c>
      <c r="C5143" s="0" t="n">
        <v>2012</v>
      </c>
      <c r="D5143" s="0" t="n">
        <v>12</v>
      </c>
      <c r="E5143" s="38" t="n">
        <v>1593017.25</v>
      </c>
    </row>
    <row r="5144" customFormat="false" ht="15" hidden="false" customHeight="false" outlineLevel="0" collapsed="false">
      <c r="A5144" s="0" t="n">
        <v>74</v>
      </c>
      <c r="B5144" s="0" t="s">
        <v>60</v>
      </c>
      <c r="C5144" s="0" t="n">
        <v>2013</v>
      </c>
      <c r="D5144" s="0" t="n">
        <v>1</v>
      </c>
      <c r="E5144" s="38" t="n">
        <v>1607218.03</v>
      </c>
    </row>
    <row r="5145" customFormat="false" ht="15" hidden="false" customHeight="false" outlineLevel="0" collapsed="false">
      <c r="A5145" s="0" t="n">
        <v>74</v>
      </c>
      <c r="B5145" s="0" t="s">
        <v>60</v>
      </c>
      <c r="C5145" s="0" t="n">
        <v>2013</v>
      </c>
      <c r="D5145" s="0" t="n">
        <v>2</v>
      </c>
      <c r="E5145" s="38" t="n">
        <v>1557797.43</v>
      </c>
    </row>
    <row r="5146" customFormat="false" ht="15" hidden="false" customHeight="false" outlineLevel="0" collapsed="false">
      <c r="A5146" s="0" t="n">
        <v>74</v>
      </c>
      <c r="B5146" s="0" t="s">
        <v>60</v>
      </c>
      <c r="C5146" s="0" t="n">
        <v>2013</v>
      </c>
      <c r="D5146" s="0" t="n">
        <v>3</v>
      </c>
      <c r="E5146" s="38" t="n">
        <v>1367269.26</v>
      </c>
    </row>
    <row r="5147" customFormat="false" ht="15" hidden="false" customHeight="false" outlineLevel="0" collapsed="false">
      <c r="A5147" s="0" t="n">
        <v>74</v>
      </c>
      <c r="B5147" s="0" t="s">
        <v>60</v>
      </c>
      <c r="C5147" s="0" t="n">
        <v>2013</v>
      </c>
      <c r="D5147" s="0" t="n">
        <v>4</v>
      </c>
      <c r="E5147" s="38" t="n">
        <v>1455164.58</v>
      </c>
    </row>
    <row r="5148" customFormat="false" ht="15" hidden="false" customHeight="false" outlineLevel="0" collapsed="false">
      <c r="A5148" s="0" t="n">
        <v>74</v>
      </c>
      <c r="B5148" s="0" t="s">
        <v>60</v>
      </c>
      <c r="C5148" s="0" t="n">
        <v>2013</v>
      </c>
      <c r="D5148" s="0" t="n">
        <v>5</v>
      </c>
      <c r="E5148" s="38" t="n">
        <v>1450186.54</v>
      </c>
    </row>
    <row r="5149" customFormat="false" ht="15" hidden="false" customHeight="false" outlineLevel="0" collapsed="false">
      <c r="A5149" s="0" t="n">
        <v>74</v>
      </c>
      <c r="B5149" s="0" t="s">
        <v>60</v>
      </c>
      <c r="C5149" s="0" t="n">
        <v>2013</v>
      </c>
      <c r="D5149" s="0" t="n">
        <v>6</v>
      </c>
      <c r="E5149" s="38" t="n">
        <v>1595996.69</v>
      </c>
    </row>
    <row r="5150" customFormat="false" ht="15" hidden="false" customHeight="false" outlineLevel="0" collapsed="false">
      <c r="A5150" s="0" t="n">
        <v>74</v>
      </c>
      <c r="B5150" s="0" t="s">
        <v>60</v>
      </c>
      <c r="C5150" s="0" t="n">
        <v>2013</v>
      </c>
      <c r="D5150" s="0" t="n">
        <v>7</v>
      </c>
      <c r="E5150" s="38" t="n">
        <v>1792925.29</v>
      </c>
    </row>
    <row r="5151" customFormat="false" ht="15" hidden="false" customHeight="false" outlineLevel="0" collapsed="false">
      <c r="A5151" s="0" t="n">
        <v>74</v>
      </c>
      <c r="B5151" s="0" t="s">
        <v>60</v>
      </c>
      <c r="C5151" s="0" t="n">
        <v>2013</v>
      </c>
      <c r="D5151" s="0" t="n">
        <v>8</v>
      </c>
      <c r="E5151" s="38" t="n">
        <v>1449032.92</v>
      </c>
    </row>
    <row r="5152" customFormat="false" ht="15" hidden="false" customHeight="false" outlineLevel="0" collapsed="false">
      <c r="A5152" s="0" t="n">
        <v>74</v>
      </c>
      <c r="B5152" s="0" t="s">
        <v>62</v>
      </c>
      <c r="C5152" s="0" t="n">
        <v>2011</v>
      </c>
      <c r="D5152" s="0" t="n">
        <v>1</v>
      </c>
      <c r="E5152" s="38" t="n">
        <v>1098527.38</v>
      </c>
    </row>
    <row r="5153" customFormat="false" ht="15" hidden="false" customHeight="false" outlineLevel="0" collapsed="false">
      <c r="A5153" s="0" t="n">
        <v>74</v>
      </c>
      <c r="B5153" s="0" t="s">
        <v>62</v>
      </c>
      <c r="C5153" s="0" t="n">
        <v>2011</v>
      </c>
      <c r="D5153" s="0" t="n">
        <v>2</v>
      </c>
      <c r="E5153" s="38" t="n">
        <v>1168691.47</v>
      </c>
    </row>
    <row r="5154" customFormat="false" ht="15" hidden="false" customHeight="false" outlineLevel="0" collapsed="false">
      <c r="A5154" s="0" t="n">
        <v>74</v>
      </c>
      <c r="B5154" s="0" t="s">
        <v>62</v>
      </c>
      <c r="C5154" s="0" t="n">
        <v>2011</v>
      </c>
      <c r="D5154" s="0" t="n">
        <v>3</v>
      </c>
      <c r="E5154" s="38" t="n">
        <v>1122084.36</v>
      </c>
    </row>
    <row r="5155" customFormat="false" ht="15" hidden="false" customHeight="false" outlineLevel="0" collapsed="false">
      <c r="A5155" s="0" t="n">
        <v>74</v>
      </c>
      <c r="B5155" s="0" t="s">
        <v>62</v>
      </c>
      <c r="C5155" s="0" t="n">
        <v>2011</v>
      </c>
      <c r="D5155" s="0" t="n">
        <v>4</v>
      </c>
      <c r="E5155" s="38" t="n">
        <v>1185130.65</v>
      </c>
    </row>
    <row r="5156" customFormat="false" ht="15" hidden="false" customHeight="false" outlineLevel="0" collapsed="false">
      <c r="A5156" s="0" t="n">
        <v>74</v>
      </c>
      <c r="B5156" s="0" t="s">
        <v>62</v>
      </c>
      <c r="C5156" s="0" t="n">
        <v>2011</v>
      </c>
      <c r="D5156" s="0" t="n">
        <v>5</v>
      </c>
      <c r="E5156" s="38" t="n">
        <v>1191383.88</v>
      </c>
    </row>
    <row r="5157" customFormat="false" ht="15" hidden="false" customHeight="false" outlineLevel="0" collapsed="false">
      <c r="A5157" s="0" t="n">
        <v>74</v>
      </c>
      <c r="B5157" s="0" t="s">
        <v>62</v>
      </c>
      <c r="C5157" s="0" t="n">
        <v>2011</v>
      </c>
      <c r="D5157" s="0" t="n">
        <v>6</v>
      </c>
      <c r="E5157" s="38" t="n">
        <v>1293529.09</v>
      </c>
    </row>
    <row r="5158" customFormat="false" ht="15" hidden="false" customHeight="false" outlineLevel="0" collapsed="false">
      <c r="A5158" s="0" t="n">
        <v>74</v>
      </c>
      <c r="B5158" s="0" t="s">
        <v>62</v>
      </c>
      <c r="C5158" s="0" t="n">
        <v>2011</v>
      </c>
      <c r="D5158" s="0" t="n">
        <v>7</v>
      </c>
      <c r="E5158" s="38" t="n">
        <v>1452395.79</v>
      </c>
    </row>
    <row r="5159" customFormat="false" ht="15" hidden="false" customHeight="false" outlineLevel="0" collapsed="false">
      <c r="A5159" s="0" t="n">
        <v>74</v>
      </c>
      <c r="B5159" s="0" t="s">
        <v>62</v>
      </c>
      <c r="C5159" s="0" t="n">
        <v>2011</v>
      </c>
      <c r="D5159" s="0" t="n">
        <v>8</v>
      </c>
      <c r="E5159" s="38" t="n">
        <v>1193631.51</v>
      </c>
    </row>
    <row r="5160" customFormat="false" ht="15" hidden="false" customHeight="false" outlineLevel="0" collapsed="false">
      <c r="A5160" s="0" t="n">
        <v>74</v>
      </c>
      <c r="B5160" s="0" t="s">
        <v>62</v>
      </c>
      <c r="C5160" s="0" t="n">
        <v>2011</v>
      </c>
      <c r="D5160" s="0" t="n">
        <v>9</v>
      </c>
      <c r="E5160" s="38" t="n">
        <v>1072517.45</v>
      </c>
    </row>
    <row r="5161" customFormat="false" ht="15" hidden="false" customHeight="false" outlineLevel="0" collapsed="false">
      <c r="A5161" s="0" t="n">
        <v>74</v>
      </c>
      <c r="B5161" s="0" t="s">
        <v>62</v>
      </c>
      <c r="C5161" s="0" t="n">
        <v>2011</v>
      </c>
      <c r="D5161" s="0" t="n">
        <v>10</v>
      </c>
      <c r="E5161" s="38" t="n">
        <v>1156018.81</v>
      </c>
    </row>
    <row r="5162" customFormat="false" ht="15" hidden="false" customHeight="false" outlineLevel="0" collapsed="false">
      <c r="A5162" s="0" t="n">
        <v>74</v>
      </c>
      <c r="B5162" s="0" t="s">
        <v>62</v>
      </c>
      <c r="C5162" s="0" t="n">
        <v>2011</v>
      </c>
      <c r="D5162" s="0" t="n">
        <v>11</v>
      </c>
      <c r="E5162" s="38" t="n">
        <v>1096762.74</v>
      </c>
    </row>
    <row r="5163" customFormat="false" ht="15" hidden="false" customHeight="false" outlineLevel="0" collapsed="false">
      <c r="A5163" s="0" t="n">
        <v>74</v>
      </c>
      <c r="B5163" s="0" t="s">
        <v>62</v>
      </c>
      <c r="C5163" s="0" t="n">
        <v>2011</v>
      </c>
      <c r="D5163" s="0" t="n">
        <v>12</v>
      </c>
      <c r="E5163" s="38" t="n">
        <v>1155318.18</v>
      </c>
    </row>
    <row r="5164" customFormat="false" ht="15" hidden="false" customHeight="false" outlineLevel="0" collapsed="false">
      <c r="A5164" s="0" t="n">
        <v>74</v>
      </c>
      <c r="B5164" s="0" t="s">
        <v>62</v>
      </c>
      <c r="C5164" s="0" t="n">
        <v>2012</v>
      </c>
      <c r="D5164" s="0" t="n">
        <v>1</v>
      </c>
      <c r="E5164" s="38" t="n">
        <v>1040382.64</v>
      </c>
    </row>
    <row r="5165" customFormat="false" ht="15" hidden="false" customHeight="false" outlineLevel="0" collapsed="false">
      <c r="A5165" s="0" t="n">
        <v>74</v>
      </c>
      <c r="B5165" s="0" t="s">
        <v>62</v>
      </c>
      <c r="C5165" s="0" t="n">
        <v>2012</v>
      </c>
      <c r="D5165" s="0" t="n">
        <v>2</v>
      </c>
      <c r="E5165" s="38" t="n">
        <v>1108417.45</v>
      </c>
    </row>
    <row r="5166" customFormat="false" ht="15" hidden="false" customHeight="false" outlineLevel="0" collapsed="false">
      <c r="A5166" s="0" t="n">
        <v>74</v>
      </c>
      <c r="B5166" s="0" t="s">
        <v>62</v>
      </c>
      <c r="C5166" s="0" t="n">
        <v>2012</v>
      </c>
      <c r="D5166" s="0" t="n">
        <v>3</v>
      </c>
      <c r="E5166" s="38" t="n">
        <v>1067829.76</v>
      </c>
    </row>
    <row r="5167" customFormat="false" ht="15" hidden="false" customHeight="false" outlineLevel="0" collapsed="false">
      <c r="A5167" s="0" t="n">
        <v>74</v>
      </c>
      <c r="B5167" s="0" t="s">
        <v>62</v>
      </c>
      <c r="C5167" s="0" t="n">
        <v>2012</v>
      </c>
      <c r="D5167" s="0" t="n">
        <v>4</v>
      </c>
      <c r="E5167" s="38" t="n">
        <v>1118276.14</v>
      </c>
    </row>
    <row r="5168" customFormat="false" ht="15" hidden="false" customHeight="false" outlineLevel="0" collapsed="false">
      <c r="A5168" s="0" t="n">
        <v>74</v>
      </c>
      <c r="B5168" s="0" t="s">
        <v>62</v>
      </c>
      <c r="C5168" s="0" t="n">
        <v>2012</v>
      </c>
      <c r="D5168" s="0" t="n">
        <v>5</v>
      </c>
      <c r="E5168" s="38" t="n">
        <v>1101666.78</v>
      </c>
    </row>
    <row r="5169" customFormat="false" ht="15" hidden="false" customHeight="false" outlineLevel="0" collapsed="false">
      <c r="A5169" s="0" t="n">
        <v>74</v>
      </c>
      <c r="B5169" s="0" t="s">
        <v>62</v>
      </c>
      <c r="C5169" s="0" t="n">
        <v>2012</v>
      </c>
      <c r="D5169" s="0" t="n">
        <v>6</v>
      </c>
      <c r="E5169" s="38" t="n">
        <v>1148705.03</v>
      </c>
    </row>
    <row r="5170" customFormat="false" ht="15" hidden="false" customHeight="false" outlineLevel="0" collapsed="false">
      <c r="A5170" s="0" t="n">
        <v>74</v>
      </c>
      <c r="B5170" s="0" t="s">
        <v>62</v>
      </c>
      <c r="C5170" s="0" t="n">
        <v>2012</v>
      </c>
      <c r="D5170" s="0" t="n">
        <v>7</v>
      </c>
      <c r="E5170" s="38" t="n">
        <v>1356851.59</v>
      </c>
    </row>
    <row r="5171" customFormat="false" ht="15" hidden="false" customHeight="false" outlineLevel="0" collapsed="false">
      <c r="A5171" s="0" t="n">
        <v>74</v>
      </c>
      <c r="B5171" s="0" t="s">
        <v>62</v>
      </c>
      <c r="C5171" s="0" t="n">
        <v>2012</v>
      </c>
      <c r="D5171" s="0" t="n">
        <v>8</v>
      </c>
      <c r="E5171" s="38" t="n">
        <v>1149883.12</v>
      </c>
    </row>
    <row r="5172" customFormat="false" ht="15" hidden="false" customHeight="false" outlineLevel="0" collapsed="false">
      <c r="A5172" s="0" t="n">
        <v>74</v>
      </c>
      <c r="B5172" s="0" t="s">
        <v>62</v>
      </c>
      <c r="C5172" s="0" t="n">
        <v>2012</v>
      </c>
      <c r="D5172" s="0" t="n">
        <v>9</v>
      </c>
      <c r="E5172" s="38" t="n">
        <v>1079209.17</v>
      </c>
    </row>
    <row r="5173" customFormat="false" ht="15" hidden="false" customHeight="false" outlineLevel="0" collapsed="false">
      <c r="A5173" s="0" t="n">
        <v>74</v>
      </c>
      <c r="B5173" s="0" t="s">
        <v>62</v>
      </c>
      <c r="C5173" s="0" t="n">
        <v>2012</v>
      </c>
      <c r="D5173" s="0" t="n">
        <v>10</v>
      </c>
      <c r="E5173" s="38" t="n">
        <v>1165216.03</v>
      </c>
    </row>
    <row r="5174" customFormat="false" ht="15" hidden="false" customHeight="false" outlineLevel="0" collapsed="false">
      <c r="A5174" s="0" t="n">
        <v>74</v>
      </c>
      <c r="B5174" s="0" t="s">
        <v>62</v>
      </c>
      <c r="C5174" s="0" t="n">
        <v>2012</v>
      </c>
      <c r="D5174" s="0" t="n">
        <v>11</v>
      </c>
      <c r="E5174" s="38" t="n">
        <v>1125035.83</v>
      </c>
    </row>
    <row r="5175" customFormat="false" ht="15" hidden="false" customHeight="false" outlineLevel="0" collapsed="false">
      <c r="A5175" s="0" t="n">
        <v>74</v>
      </c>
      <c r="B5175" s="0" t="s">
        <v>62</v>
      </c>
      <c r="C5175" s="0" t="n">
        <v>2012</v>
      </c>
      <c r="D5175" s="0" t="n">
        <v>12</v>
      </c>
      <c r="E5175" s="38" t="n">
        <v>1139823.19</v>
      </c>
    </row>
    <row r="5176" customFormat="false" ht="15" hidden="false" customHeight="false" outlineLevel="0" collapsed="false">
      <c r="A5176" s="0" t="n">
        <v>74</v>
      </c>
      <c r="B5176" s="0" t="s">
        <v>62</v>
      </c>
      <c r="C5176" s="0" t="n">
        <v>2013</v>
      </c>
      <c r="D5176" s="0" t="n">
        <v>1</v>
      </c>
      <c r="E5176" s="38" t="n">
        <v>1112031.84</v>
      </c>
    </row>
    <row r="5177" customFormat="false" ht="15" hidden="false" customHeight="false" outlineLevel="0" collapsed="false">
      <c r="A5177" s="0" t="n">
        <v>74</v>
      </c>
      <c r="B5177" s="0" t="s">
        <v>62</v>
      </c>
      <c r="C5177" s="0" t="n">
        <v>2013</v>
      </c>
      <c r="D5177" s="0" t="n">
        <v>2</v>
      </c>
      <c r="E5177" s="38" t="n">
        <v>1107780.55</v>
      </c>
    </row>
    <row r="5178" customFormat="false" ht="15" hidden="false" customHeight="false" outlineLevel="0" collapsed="false">
      <c r="A5178" s="0" t="n">
        <v>74</v>
      </c>
      <c r="B5178" s="0" t="s">
        <v>62</v>
      </c>
      <c r="C5178" s="0" t="n">
        <v>2013</v>
      </c>
      <c r="D5178" s="0" t="n">
        <v>3</v>
      </c>
      <c r="E5178" s="38" t="n">
        <v>1058148.4</v>
      </c>
    </row>
    <row r="5179" customFormat="false" ht="15" hidden="false" customHeight="false" outlineLevel="0" collapsed="false">
      <c r="A5179" s="0" t="n">
        <v>74</v>
      </c>
      <c r="B5179" s="0" t="s">
        <v>62</v>
      </c>
      <c r="C5179" s="0" t="n">
        <v>2013</v>
      </c>
      <c r="D5179" s="0" t="n">
        <v>4</v>
      </c>
      <c r="E5179" s="38" t="n">
        <v>1098132.07</v>
      </c>
    </row>
    <row r="5180" customFormat="false" ht="15" hidden="false" customHeight="false" outlineLevel="0" collapsed="false">
      <c r="A5180" s="0" t="n">
        <v>74</v>
      </c>
      <c r="B5180" s="0" t="s">
        <v>62</v>
      </c>
      <c r="C5180" s="0" t="n">
        <v>2013</v>
      </c>
      <c r="D5180" s="0" t="n">
        <v>5</v>
      </c>
      <c r="E5180" s="38" t="n">
        <v>1105213.16</v>
      </c>
    </row>
    <row r="5181" customFormat="false" ht="15" hidden="false" customHeight="false" outlineLevel="0" collapsed="false">
      <c r="A5181" s="0" t="n">
        <v>74</v>
      </c>
      <c r="B5181" s="0" t="s">
        <v>62</v>
      </c>
      <c r="C5181" s="0" t="n">
        <v>2013</v>
      </c>
      <c r="D5181" s="0" t="n">
        <v>6</v>
      </c>
      <c r="E5181" s="38" t="n">
        <v>1197894.94</v>
      </c>
    </row>
    <row r="5182" customFormat="false" ht="15" hidden="false" customHeight="false" outlineLevel="0" collapsed="false">
      <c r="A5182" s="0" t="n">
        <v>74</v>
      </c>
      <c r="B5182" s="0" t="s">
        <v>62</v>
      </c>
      <c r="C5182" s="0" t="n">
        <v>2013</v>
      </c>
      <c r="D5182" s="0" t="n">
        <v>7</v>
      </c>
      <c r="E5182" s="38" t="n">
        <v>1353381.59</v>
      </c>
    </row>
    <row r="5183" customFormat="false" ht="15" hidden="false" customHeight="false" outlineLevel="0" collapsed="false">
      <c r="A5183" s="0" t="n">
        <v>74</v>
      </c>
      <c r="B5183" s="0" t="s">
        <v>62</v>
      </c>
      <c r="C5183" s="0" t="n">
        <v>2013</v>
      </c>
      <c r="D5183" s="0" t="n">
        <v>8</v>
      </c>
      <c r="E5183" s="38" t="n">
        <v>1116085.46</v>
      </c>
    </row>
    <row r="5184" customFormat="false" ht="15" hidden="false" customHeight="false" outlineLevel="0" collapsed="false">
      <c r="A5184" s="0" t="n">
        <v>74</v>
      </c>
      <c r="B5184" s="0" t="s">
        <v>64</v>
      </c>
      <c r="C5184" s="0" t="n">
        <v>2011</v>
      </c>
      <c r="D5184" s="0" t="n">
        <v>1</v>
      </c>
      <c r="E5184" s="38" t="n">
        <v>10015.46</v>
      </c>
    </row>
    <row r="5185" customFormat="false" ht="15" hidden="false" customHeight="false" outlineLevel="0" collapsed="false">
      <c r="A5185" s="0" t="n">
        <v>74</v>
      </c>
      <c r="B5185" s="0" t="s">
        <v>64</v>
      </c>
      <c r="C5185" s="0" t="n">
        <v>2011</v>
      </c>
      <c r="D5185" s="0" t="n">
        <v>2</v>
      </c>
      <c r="E5185" s="38" t="n">
        <v>8565.24</v>
      </c>
    </row>
    <row r="5186" customFormat="false" ht="15" hidden="false" customHeight="false" outlineLevel="0" collapsed="false">
      <c r="A5186" s="0" t="n">
        <v>74</v>
      </c>
      <c r="B5186" s="0" t="s">
        <v>64</v>
      </c>
      <c r="C5186" s="0" t="n">
        <v>2011</v>
      </c>
      <c r="D5186" s="0" t="n">
        <v>3</v>
      </c>
      <c r="E5186" s="38" t="n">
        <v>8929.84</v>
      </c>
    </row>
    <row r="5187" customFormat="false" ht="15" hidden="false" customHeight="false" outlineLevel="0" collapsed="false">
      <c r="A5187" s="0" t="n">
        <v>74</v>
      </c>
      <c r="B5187" s="0" t="s">
        <v>64</v>
      </c>
      <c r="C5187" s="0" t="n">
        <v>2011</v>
      </c>
      <c r="D5187" s="0" t="n">
        <v>4</v>
      </c>
      <c r="E5187" s="38" t="n">
        <v>9382.98</v>
      </c>
    </row>
    <row r="5188" customFormat="false" ht="15" hidden="false" customHeight="false" outlineLevel="0" collapsed="false">
      <c r="A5188" s="0" t="n">
        <v>74</v>
      </c>
      <c r="B5188" s="0" t="s">
        <v>64</v>
      </c>
      <c r="C5188" s="0" t="n">
        <v>2011</v>
      </c>
      <c r="D5188" s="0" t="n">
        <v>5</v>
      </c>
      <c r="E5188" s="38" t="n">
        <v>9398.87</v>
      </c>
    </row>
    <row r="5189" customFormat="false" ht="15" hidden="false" customHeight="false" outlineLevel="0" collapsed="false">
      <c r="A5189" s="0" t="n">
        <v>74</v>
      </c>
      <c r="B5189" s="0" t="s">
        <v>64</v>
      </c>
      <c r="C5189" s="0" t="n">
        <v>2011</v>
      </c>
      <c r="D5189" s="0" t="n">
        <v>6</v>
      </c>
      <c r="E5189" s="38" t="n">
        <v>17746.28</v>
      </c>
    </row>
    <row r="5190" customFormat="false" ht="15" hidden="false" customHeight="false" outlineLevel="0" collapsed="false">
      <c r="A5190" s="0" t="n">
        <v>74</v>
      </c>
      <c r="B5190" s="0" t="s">
        <v>64</v>
      </c>
      <c r="C5190" s="0" t="n">
        <v>2011</v>
      </c>
      <c r="D5190" s="0" t="n">
        <v>7</v>
      </c>
      <c r="E5190" s="38" t="n">
        <v>19168.1</v>
      </c>
    </row>
    <row r="5191" customFormat="false" ht="15" hidden="false" customHeight="false" outlineLevel="0" collapsed="false">
      <c r="A5191" s="0" t="n">
        <v>74</v>
      </c>
      <c r="B5191" s="0" t="s">
        <v>64</v>
      </c>
      <c r="C5191" s="0" t="n">
        <v>2011</v>
      </c>
      <c r="D5191" s="0" t="n">
        <v>8</v>
      </c>
      <c r="E5191" s="38" t="n">
        <v>13629.61</v>
      </c>
    </row>
    <row r="5192" customFormat="false" ht="15" hidden="false" customHeight="false" outlineLevel="0" collapsed="false">
      <c r="A5192" s="0" t="n">
        <v>74</v>
      </c>
      <c r="B5192" s="0" t="s">
        <v>64</v>
      </c>
      <c r="C5192" s="0" t="n">
        <v>2011</v>
      </c>
      <c r="D5192" s="0" t="n">
        <v>9</v>
      </c>
      <c r="E5192" s="38" t="n">
        <v>9364.33</v>
      </c>
    </row>
    <row r="5193" customFormat="false" ht="15" hidden="false" customHeight="false" outlineLevel="0" collapsed="false">
      <c r="A5193" s="0" t="n">
        <v>74</v>
      </c>
      <c r="B5193" s="0" t="s">
        <v>64</v>
      </c>
      <c r="C5193" s="0" t="n">
        <v>2011</v>
      </c>
      <c r="D5193" s="0" t="n">
        <v>10</v>
      </c>
      <c r="E5193" s="38" t="n">
        <v>10401.5</v>
      </c>
    </row>
    <row r="5194" customFormat="false" ht="15" hidden="false" customHeight="false" outlineLevel="0" collapsed="false">
      <c r="A5194" s="0" t="n">
        <v>74</v>
      </c>
      <c r="B5194" s="0" t="s">
        <v>64</v>
      </c>
      <c r="C5194" s="0" t="n">
        <v>2011</v>
      </c>
      <c r="D5194" s="0" t="n">
        <v>11</v>
      </c>
      <c r="E5194" s="38" t="n">
        <v>11990.54</v>
      </c>
    </row>
    <row r="5195" customFormat="false" ht="15" hidden="false" customHeight="false" outlineLevel="0" collapsed="false">
      <c r="A5195" s="0" t="n">
        <v>74</v>
      </c>
      <c r="B5195" s="0" t="s">
        <v>64</v>
      </c>
      <c r="C5195" s="0" t="n">
        <v>2011</v>
      </c>
      <c r="D5195" s="0" t="n">
        <v>12</v>
      </c>
      <c r="E5195" s="38" t="n">
        <v>11018.78</v>
      </c>
    </row>
    <row r="5196" customFormat="false" ht="15" hidden="false" customHeight="false" outlineLevel="0" collapsed="false">
      <c r="A5196" s="0" t="n">
        <v>74</v>
      </c>
      <c r="B5196" s="0" t="s">
        <v>64</v>
      </c>
      <c r="C5196" s="0" t="n">
        <v>2012</v>
      </c>
      <c r="D5196" s="0" t="n">
        <v>1</v>
      </c>
      <c r="E5196" s="38" t="n">
        <v>8503.61</v>
      </c>
    </row>
    <row r="5197" customFormat="false" ht="15" hidden="false" customHeight="false" outlineLevel="0" collapsed="false">
      <c r="A5197" s="0" t="n">
        <v>74</v>
      </c>
      <c r="B5197" s="0" t="s">
        <v>64</v>
      </c>
      <c r="C5197" s="0" t="n">
        <v>2012</v>
      </c>
      <c r="D5197" s="0" t="n">
        <v>2</v>
      </c>
      <c r="E5197" s="38" t="n">
        <v>9856.67</v>
      </c>
    </row>
    <row r="5198" customFormat="false" ht="15" hidden="false" customHeight="false" outlineLevel="0" collapsed="false">
      <c r="A5198" s="0" t="n">
        <v>74</v>
      </c>
      <c r="B5198" s="0" t="s">
        <v>64</v>
      </c>
      <c r="C5198" s="0" t="n">
        <v>2012</v>
      </c>
      <c r="D5198" s="0" t="n">
        <v>3</v>
      </c>
      <c r="E5198" s="38" t="n">
        <v>8665.04</v>
      </c>
    </row>
    <row r="5199" customFormat="false" ht="15" hidden="false" customHeight="false" outlineLevel="0" collapsed="false">
      <c r="A5199" s="0" t="n">
        <v>74</v>
      </c>
      <c r="B5199" s="0" t="s">
        <v>64</v>
      </c>
      <c r="C5199" s="0" t="n">
        <v>2012</v>
      </c>
      <c r="D5199" s="0" t="n">
        <v>4</v>
      </c>
      <c r="E5199" s="38" t="n">
        <v>10604.84</v>
      </c>
    </row>
    <row r="5200" customFormat="false" ht="15" hidden="false" customHeight="false" outlineLevel="0" collapsed="false">
      <c r="A5200" s="0" t="n">
        <v>74</v>
      </c>
      <c r="B5200" s="0" t="s">
        <v>64</v>
      </c>
      <c r="C5200" s="0" t="n">
        <v>2012</v>
      </c>
      <c r="D5200" s="0" t="n">
        <v>5</v>
      </c>
      <c r="E5200" s="38" t="n">
        <v>10519.06</v>
      </c>
    </row>
    <row r="5201" customFormat="false" ht="15" hidden="false" customHeight="false" outlineLevel="0" collapsed="false">
      <c r="A5201" s="0" t="n">
        <v>74</v>
      </c>
      <c r="B5201" s="0" t="s">
        <v>64</v>
      </c>
      <c r="C5201" s="0" t="n">
        <v>2012</v>
      </c>
      <c r="D5201" s="0" t="n">
        <v>6</v>
      </c>
      <c r="E5201" s="38" t="n">
        <v>14662.7</v>
      </c>
    </row>
    <row r="5202" customFormat="false" ht="15" hidden="false" customHeight="false" outlineLevel="0" collapsed="false">
      <c r="A5202" s="0" t="n">
        <v>74</v>
      </c>
      <c r="B5202" s="0" t="s">
        <v>64</v>
      </c>
      <c r="C5202" s="0" t="n">
        <v>2012</v>
      </c>
      <c r="D5202" s="0" t="n">
        <v>7</v>
      </c>
      <c r="E5202" s="38" t="n">
        <v>15844.47</v>
      </c>
    </row>
    <row r="5203" customFormat="false" ht="15" hidden="false" customHeight="false" outlineLevel="0" collapsed="false">
      <c r="A5203" s="0" t="n">
        <v>74</v>
      </c>
      <c r="B5203" s="0" t="s">
        <v>64</v>
      </c>
      <c r="C5203" s="0" t="n">
        <v>2012</v>
      </c>
      <c r="D5203" s="0" t="n">
        <v>8</v>
      </c>
      <c r="E5203" s="38" t="n">
        <v>13034.24</v>
      </c>
    </row>
    <row r="5204" customFormat="false" ht="15" hidden="false" customHeight="false" outlineLevel="0" collapsed="false">
      <c r="A5204" s="0" t="n">
        <v>74</v>
      </c>
      <c r="B5204" s="0" t="s">
        <v>64</v>
      </c>
      <c r="C5204" s="0" t="n">
        <v>2012</v>
      </c>
      <c r="D5204" s="0" t="n">
        <v>9</v>
      </c>
      <c r="E5204" s="38" t="n">
        <v>10453.5</v>
      </c>
    </row>
    <row r="5205" customFormat="false" ht="15" hidden="false" customHeight="false" outlineLevel="0" collapsed="false">
      <c r="A5205" s="0" t="n">
        <v>74</v>
      </c>
      <c r="B5205" s="0" t="s">
        <v>64</v>
      </c>
      <c r="C5205" s="0" t="n">
        <v>2012</v>
      </c>
      <c r="D5205" s="0" t="n">
        <v>10</v>
      </c>
      <c r="E5205" s="38" t="n">
        <v>11264.44</v>
      </c>
    </row>
    <row r="5206" customFormat="false" ht="15" hidden="false" customHeight="false" outlineLevel="0" collapsed="false">
      <c r="A5206" s="0" t="n">
        <v>74</v>
      </c>
      <c r="B5206" s="0" t="s">
        <v>64</v>
      </c>
      <c r="C5206" s="0" t="n">
        <v>2012</v>
      </c>
      <c r="D5206" s="0" t="n">
        <v>11</v>
      </c>
      <c r="E5206" s="38" t="n">
        <v>10717.63</v>
      </c>
    </row>
    <row r="5207" customFormat="false" ht="15" hidden="false" customHeight="false" outlineLevel="0" collapsed="false">
      <c r="A5207" s="0" t="n">
        <v>74</v>
      </c>
      <c r="B5207" s="0" t="s">
        <v>64</v>
      </c>
      <c r="C5207" s="0" t="n">
        <v>2012</v>
      </c>
      <c r="D5207" s="0" t="n">
        <v>12</v>
      </c>
      <c r="E5207" s="38" t="n">
        <v>11381.72</v>
      </c>
    </row>
    <row r="5208" customFormat="false" ht="15" hidden="false" customHeight="false" outlineLevel="0" collapsed="false">
      <c r="A5208" s="0" t="n">
        <v>74</v>
      </c>
      <c r="B5208" s="0" t="s">
        <v>64</v>
      </c>
      <c r="C5208" s="0" t="n">
        <v>2013</v>
      </c>
      <c r="D5208" s="0" t="n">
        <v>1</v>
      </c>
      <c r="E5208" s="38" t="n">
        <v>9839.24</v>
      </c>
    </row>
    <row r="5209" customFormat="false" ht="15" hidden="false" customHeight="false" outlineLevel="0" collapsed="false">
      <c r="A5209" s="0" t="n">
        <v>74</v>
      </c>
      <c r="B5209" s="0" t="s">
        <v>64</v>
      </c>
      <c r="C5209" s="0" t="n">
        <v>2013</v>
      </c>
      <c r="D5209" s="0" t="n">
        <v>2</v>
      </c>
      <c r="E5209" s="38" t="n">
        <v>11081.78</v>
      </c>
    </row>
    <row r="5210" customFormat="false" ht="15" hidden="false" customHeight="false" outlineLevel="0" collapsed="false">
      <c r="A5210" s="0" t="n">
        <v>74</v>
      </c>
      <c r="B5210" s="0" t="s">
        <v>64</v>
      </c>
      <c r="C5210" s="0" t="n">
        <v>2013</v>
      </c>
      <c r="D5210" s="0" t="n">
        <v>3</v>
      </c>
      <c r="E5210" s="38" t="n">
        <v>10613.49</v>
      </c>
    </row>
    <row r="5211" customFormat="false" ht="15" hidden="false" customHeight="false" outlineLevel="0" collapsed="false">
      <c r="A5211" s="0" t="n">
        <v>74</v>
      </c>
      <c r="B5211" s="0" t="s">
        <v>64</v>
      </c>
      <c r="C5211" s="0" t="n">
        <v>2013</v>
      </c>
      <c r="D5211" s="0" t="n">
        <v>4</v>
      </c>
      <c r="E5211" s="38" t="n">
        <v>10983.42</v>
      </c>
    </row>
    <row r="5212" customFormat="false" ht="15" hidden="false" customHeight="false" outlineLevel="0" collapsed="false">
      <c r="A5212" s="0" t="n">
        <v>74</v>
      </c>
      <c r="B5212" s="0" t="s">
        <v>64</v>
      </c>
      <c r="C5212" s="0" t="n">
        <v>2013</v>
      </c>
      <c r="D5212" s="0" t="n">
        <v>5</v>
      </c>
      <c r="E5212" s="38" t="n">
        <v>11126.75</v>
      </c>
    </row>
    <row r="5213" customFormat="false" ht="15" hidden="false" customHeight="false" outlineLevel="0" collapsed="false">
      <c r="A5213" s="0" t="n">
        <v>74</v>
      </c>
      <c r="B5213" s="0" t="s">
        <v>64</v>
      </c>
      <c r="C5213" s="0" t="n">
        <v>2013</v>
      </c>
      <c r="D5213" s="0" t="n">
        <v>6</v>
      </c>
      <c r="E5213" s="38" t="n">
        <v>16241.33</v>
      </c>
    </row>
    <row r="5214" customFormat="false" ht="15" hidden="false" customHeight="false" outlineLevel="0" collapsed="false">
      <c r="A5214" s="0" t="n">
        <v>74</v>
      </c>
      <c r="B5214" s="0" t="s">
        <v>64</v>
      </c>
      <c r="C5214" s="0" t="n">
        <v>2013</v>
      </c>
      <c r="D5214" s="0" t="n">
        <v>7</v>
      </c>
      <c r="E5214" s="38" t="n">
        <v>16115.52</v>
      </c>
    </row>
    <row r="5215" customFormat="false" ht="15" hidden="false" customHeight="false" outlineLevel="0" collapsed="false">
      <c r="A5215" s="0" t="n">
        <v>74</v>
      </c>
      <c r="B5215" s="0" t="s">
        <v>64</v>
      </c>
      <c r="C5215" s="0" t="n">
        <v>2013</v>
      </c>
      <c r="D5215" s="0" t="n">
        <v>8</v>
      </c>
      <c r="E5215" s="38" t="n">
        <v>13391.71</v>
      </c>
    </row>
    <row r="5216" customFormat="false" ht="15" hidden="false" customHeight="false" outlineLevel="0" collapsed="false">
      <c r="A5216" s="0" t="n">
        <v>77</v>
      </c>
      <c r="B5216" s="0" t="s">
        <v>60</v>
      </c>
      <c r="C5216" s="0" t="n">
        <v>2011</v>
      </c>
      <c r="D5216" s="0" t="n">
        <v>5</v>
      </c>
      <c r="E5216" s="38" t="n">
        <v>7.97</v>
      </c>
    </row>
    <row r="5217" customFormat="false" ht="15" hidden="false" customHeight="false" outlineLevel="0" collapsed="false">
      <c r="A5217" s="0" t="n">
        <v>77</v>
      </c>
      <c r="B5217" s="0" t="s">
        <v>60</v>
      </c>
      <c r="C5217" s="0" t="n">
        <v>2012</v>
      </c>
      <c r="D5217" s="0" t="n">
        <v>3</v>
      </c>
      <c r="E5217" s="38" t="n">
        <v>-29.97</v>
      </c>
    </row>
    <row r="5218" customFormat="false" ht="15" hidden="false" customHeight="false" outlineLevel="0" collapsed="false">
      <c r="A5218" s="0" t="n">
        <v>77</v>
      </c>
      <c r="B5218" s="0" t="s">
        <v>60</v>
      </c>
      <c r="C5218" s="0" t="n">
        <v>2012</v>
      </c>
      <c r="D5218" s="0" t="n">
        <v>10</v>
      </c>
      <c r="E5218" s="38" t="n">
        <v>18623.84</v>
      </c>
    </row>
    <row r="5219" customFormat="false" ht="15" hidden="false" customHeight="false" outlineLevel="0" collapsed="false">
      <c r="A5219" s="0" t="n">
        <v>77</v>
      </c>
      <c r="B5219" s="0" t="s">
        <v>60</v>
      </c>
      <c r="C5219" s="0" t="n">
        <v>2012</v>
      </c>
      <c r="D5219" s="0" t="n">
        <v>11</v>
      </c>
      <c r="E5219" s="38" t="n">
        <v>6088.16</v>
      </c>
    </row>
    <row r="5220" customFormat="false" ht="15" hidden="false" customHeight="false" outlineLevel="0" collapsed="false">
      <c r="A5220" s="0" t="n">
        <v>77</v>
      </c>
      <c r="B5220" s="0" t="s">
        <v>60</v>
      </c>
      <c r="C5220" s="0" t="n">
        <v>2012</v>
      </c>
      <c r="D5220" s="0" t="n">
        <v>12</v>
      </c>
      <c r="E5220" s="38" t="n">
        <v>1351.2</v>
      </c>
    </row>
    <row r="5221" customFormat="false" ht="15" hidden="false" customHeight="false" outlineLevel="0" collapsed="false">
      <c r="A5221" s="0" t="n">
        <v>77</v>
      </c>
      <c r="B5221" s="0" t="s">
        <v>60</v>
      </c>
      <c r="C5221" s="0" t="n">
        <v>2013</v>
      </c>
      <c r="D5221" s="0" t="n">
        <v>1</v>
      </c>
      <c r="E5221" s="38" t="n">
        <v>1924.84</v>
      </c>
    </row>
    <row r="5222" customFormat="false" ht="15" hidden="false" customHeight="false" outlineLevel="0" collapsed="false">
      <c r="A5222" s="0" t="n">
        <v>77</v>
      </c>
      <c r="B5222" s="0" t="s">
        <v>60</v>
      </c>
      <c r="C5222" s="0" t="n">
        <v>2013</v>
      </c>
      <c r="D5222" s="0" t="n">
        <v>2</v>
      </c>
      <c r="E5222" s="38" t="n">
        <v>1072.82</v>
      </c>
    </row>
    <row r="5223" customFormat="false" ht="15" hidden="false" customHeight="false" outlineLevel="0" collapsed="false">
      <c r="A5223" s="0" t="n">
        <v>77</v>
      </c>
      <c r="B5223" s="0" t="s">
        <v>60</v>
      </c>
      <c r="C5223" s="0" t="n">
        <v>2013</v>
      </c>
      <c r="D5223" s="0" t="n">
        <v>3</v>
      </c>
      <c r="E5223" s="38" t="n">
        <v>350</v>
      </c>
    </row>
    <row r="5224" customFormat="false" ht="15" hidden="false" customHeight="false" outlineLevel="0" collapsed="false">
      <c r="A5224" s="0" t="n">
        <v>77</v>
      </c>
      <c r="B5224" s="0" t="s">
        <v>60</v>
      </c>
      <c r="C5224" s="0" t="n">
        <v>2013</v>
      </c>
      <c r="D5224" s="0" t="n">
        <v>4</v>
      </c>
      <c r="E5224" s="38" t="n">
        <v>678.23</v>
      </c>
    </row>
    <row r="5225" customFormat="false" ht="15" hidden="false" customHeight="false" outlineLevel="0" collapsed="false">
      <c r="A5225" s="0" t="n">
        <v>77</v>
      </c>
      <c r="B5225" s="0" t="s">
        <v>60</v>
      </c>
      <c r="C5225" s="0" t="n">
        <v>2013</v>
      </c>
      <c r="D5225" s="0" t="n">
        <v>5</v>
      </c>
      <c r="E5225" s="38" t="n">
        <v>1.21</v>
      </c>
    </row>
    <row r="5226" customFormat="false" ht="15" hidden="false" customHeight="false" outlineLevel="0" collapsed="false">
      <c r="A5226" s="0" t="n">
        <v>77</v>
      </c>
      <c r="B5226" s="0" t="s">
        <v>60</v>
      </c>
      <c r="C5226" s="0" t="n">
        <v>2013</v>
      </c>
      <c r="D5226" s="0" t="n">
        <v>7</v>
      </c>
      <c r="E5226" s="38" t="n">
        <v>-171.92</v>
      </c>
    </row>
    <row r="5227" customFormat="false" ht="15" hidden="false" customHeight="false" outlineLevel="0" collapsed="false">
      <c r="A5227" s="0" t="n">
        <v>77</v>
      </c>
      <c r="B5227" s="0" t="s">
        <v>62</v>
      </c>
      <c r="C5227" s="0" t="n">
        <v>2011</v>
      </c>
      <c r="D5227" s="0" t="n">
        <v>12</v>
      </c>
      <c r="E5227" s="38" t="n">
        <v>-45.07</v>
      </c>
    </row>
    <row r="5228" customFormat="false" ht="15" hidden="false" customHeight="false" outlineLevel="0" collapsed="false">
      <c r="A5228" s="0" t="n">
        <v>77</v>
      </c>
      <c r="B5228" s="0" t="s">
        <v>62</v>
      </c>
      <c r="C5228" s="0" t="n">
        <v>2012</v>
      </c>
      <c r="D5228" s="0" t="n">
        <v>2</v>
      </c>
      <c r="E5228" s="38" t="n">
        <v>8.54</v>
      </c>
    </row>
    <row r="5229" customFormat="false" ht="15" hidden="false" customHeight="false" outlineLevel="0" collapsed="false">
      <c r="A5229" s="0" t="n">
        <v>77</v>
      </c>
      <c r="B5229" s="0" t="s">
        <v>62</v>
      </c>
      <c r="C5229" s="0" t="n">
        <v>2012</v>
      </c>
      <c r="D5229" s="0" t="n">
        <v>3</v>
      </c>
      <c r="E5229" s="38" t="n">
        <v>1.42</v>
      </c>
    </row>
    <row r="5230" customFormat="false" ht="15" hidden="false" customHeight="false" outlineLevel="0" collapsed="false">
      <c r="A5230" s="0" t="n">
        <v>77</v>
      </c>
      <c r="B5230" s="0" t="s">
        <v>62</v>
      </c>
      <c r="C5230" s="0" t="n">
        <v>2012</v>
      </c>
      <c r="D5230" s="0" t="n">
        <v>8</v>
      </c>
      <c r="E5230" s="38" t="n">
        <v>9.65</v>
      </c>
    </row>
    <row r="5231" customFormat="false" ht="15" hidden="false" customHeight="false" outlineLevel="0" collapsed="false">
      <c r="A5231" s="0" t="n">
        <v>77</v>
      </c>
      <c r="B5231" s="0" t="s">
        <v>62</v>
      </c>
      <c r="C5231" s="0" t="n">
        <v>2012</v>
      </c>
      <c r="D5231" s="0" t="n">
        <v>10</v>
      </c>
      <c r="E5231" s="38" t="n">
        <v>13358.43</v>
      </c>
    </row>
    <row r="5232" customFormat="false" ht="15" hidden="false" customHeight="false" outlineLevel="0" collapsed="false">
      <c r="A5232" s="0" t="n">
        <v>77</v>
      </c>
      <c r="B5232" s="0" t="s">
        <v>62</v>
      </c>
      <c r="C5232" s="0" t="n">
        <v>2012</v>
      </c>
      <c r="D5232" s="0" t="n">
        <v>11</v>
      </c>
      <c r="E5232" s="38" t="n">
        <v>2766.44</v>
      </c>
    </row>
    <row r="5233" customFormat="false" ht="15" hidden="false" customHeight="false" outlineLevel="0" collapsed="false">
      <c r="A5233" s="0" t="n">
        <v>77</v>
      </c>
      <c r="B5233" s="0" t="s">
        <v>62</v>
      </c>
      <c r="C5233" s="0" t="n">
        <v>2012</v>
      </c>
      <c r="D5233" s="0" t="n">
        <v>12</v>
      </c>
      <c r="E5233" s="38" t="n">
        <v>394.26</v>
      </c>
    </row>
    <row r="5234" customFormat="false" ht="15" hidden="false" customHeight="false" outlineLevel="0" collapsed="false">
      <c r="A5234" s="0" t="n">
        <v>77</v>
      </c>
      <c r="B5234" s="0" t="s">
        <v>62</v>
      </c>
      <c r="C5234" s="0" t="n">
        <v>2013</v>
      </c>
      <c r="D5234" s="0" t="n">
        <v>1</v>
      </c>
      <c r="E5234" s="38" t="n">
        <v>1510.89</v>
      </c>
    </row>
    <row r="5235" customFormat="false" ht="15" hidden="false" customHeight="false" outlineLevel="0" collapsed="false">
      <c r="A5235" s="0" t="n">
        <v>77</v>
      </c>
      <c r="B5235" s="0" t="s">
        <v>62</v>
      </c>
      <c r="C5235" s="0" t="n">
        <v>2013</v>
      </c>
      <c r="D5235" s="0" t="n">
        <v>2</v>
      </c>
      <c r="E5235" s="38" t="n">
        <v>1164.96</v>
      </c>
    </row>
    <row r="5236" customFormat="false" ht="15" hidden="false" customHeight="false" outlineLevel="0" collapsed="false">
      <c r="A5236" s="0" t="n">
        <v>77</v>
      </c>
      <c r="B5236" s="0" t="s">
        <v>62</v>
      </c>
      <c r="C5236" s="0" t="n">
        <v>2013</v>
      </c>
      <c r="D5236" s="0" t="n">
        <v>3</v>
      </c>
      <c r="E5236" s="38" t="n">
        <v>175</v>
      </c>
    </row>
    <row r="5237" customFormat="false" ht="15" hidden="false" customHeight="false" outlineLevel="0" collapsed="false">
      <c r="A5237" s="0" t="n">
        <v>78</v>
      </c>
      <c r="B5237" s="0" t="s">
        <v>60</v>
      </c>
      <c r="C5237" s="0" t="n">
        <v>2011</v>
      </c>
      <c r="D5237" s="0" t="n">
        <v>1</v>
      </c>
      <c r="E5237" s="38" t="n">
        <v>133</v>
      </c>
    </row>
    <row r="5238" customFormat="false" ht="15" hidden="false" customHeight="false" outlineLevel="0" collapsed="false">
      <c r="A5238" s="0" t="n">
        <v>78</v>
      </c>
      <c r="B5238" s="0" t="s">
        <v>60</v>
      </c>
      <c r="C5238" s="0" t="n">
        <v>2011</v>
      </c>
      <c r="D5238" s="0" t="n">
        <v>2</v>
      </c>
      <c r="E5238" s="38" t="n">
        <v>130.38</v>
      </c>
    </row>
    <row r="5239" customFormat="false" ht="15" hidden="false" customHeight="false" outlineLevel="0" collapsed="false">
      <c r="A5239" s="0" t="n">
        <v>78</v>
      </c>
      <c r="B5239" s="0" t="s">
        <v>60</v>
      </c>
      <c r="C5239" s="0" t="n">
        <v>2011</v>
      </c>
      <c r="D5239" s="0" t="n">
        <v>3</v>
      </c>
      <c r="E5239" s="38" t="n">
        <v>112.86</v>
      </c>
    </row>
    <row r="5240" customFormat="false" ht="15" hidden="false" customHeight="false" outlineLevel="0" collapsed="false">
      <c r="A5240" s="0" t="n">
        <v>78</v>
      </c>
      <c r="B5240" s="0" t="s">
        <v>60</v>
      </c>
      <c r="C5240" s="0" t="n">
        <v>2011</v>
      </c>
      <c r="D5240" s="0" t="n">
        <v>4</v>
      </c>
      <c r="E5240" s="38" t="n">
        <v>167.14</v>
      </c>
    </row>
    <row r="5241" customFormat="false" ht="15" hidden="false" customHeight="false" outlineLevel="0" collapsed="false">
      <c r="A5241" s="0" t="n">
        <v>78</v>
      </c>
      <c r="B5241" s="0" t="s">
        <v>60</v>
      </c>
      <c r="C5241" s="0" t="n">
        <v>2011</v>
      </c>
      <c r="D5241" s="0" t="n">
        <v>5</v>
      </c>
      <c r="E5241" s="38" t="n">
        <v>8.57</v>
      </c>
    </row>
    <row r="5242" customFormat="false" ht="15" hidden="false" customHeight="false" outlineLevel="0" collapsed="false">
      <c r="A5242" s="0" t="n">
        <v>78</v>
      </c>
      <c r="B5242" s="0" t="s">
        <v>60</v>
      </c>
      <c r="C5242" s="0" t="n">
        <v>2011</v>
      </c>
      <c r="D5242" s="0" t="n">
        <v>6</v>
      </c>
      <c r="E5242" s="38" t="n">
        <v>12.29</v>
      </c>
    </row>
    <row r="5243" customFormat="false" ht="15" hidden="false" customHeight="false" outlineLevel="0" collapsed="false">
      <c r="A5243" s="0" t="n">
        <v>78</v>
      </c>
      <c r="B5243" s="0" t="s">
        <v>60</v>
      </c>
      <c r="C5243" s="0" t="n">
        <v>2011</v>
      </c>
      <c r="D5243" s="0" t="n">
        <v>7</v>
      </c>
      <c r="E5243" s="38" t="n">
        <v>12</v>
      </c>
    </row>
    <row r="5244" customFormat="false" ht="15" hidden="false" customHeight="false" outlineLevel="0" collapsed="false">
      <c r="A5244" s="0" t="n">
        <v>78</v>
      </c>
      <c r="B5244" s="0" t="s">
        <v>60</v>
      </c>
      <c r="C5244" s="0" t="n">
        <v>2011</v>
      </c>
      <c r="D5244" s="0" t="n">
        <v>8</v>
      </c>
      <c r="E5244" s="38" t="n">
        <v>5</v>
      </c>
    </row>
    <row r="5245" customFormat="false" ht="15" hidden="false" customHeight="false" outlineLevel="0" collapsed="false">
      <c r="A5245" s="0" t="n">
        <v>78</v>
      </c>
      <c r="B5245" s="0" t="s">
        <v>60</v>
      </c>
      <c r="C5245" s="0" t="n">
        <v>2011</v>
      </c>
      <c r="D5245" s="0" t="n">
        <v>10</v>
      </c>
      <c r="E5245" s="38" t="n">
        <v>12</v>
      </c>
    </row>
    <row r="5246" customFormat="false" ht="15" hidden="false" customHeight="false" outlineLevel="0" collapsed="false">
      <c r="A5246" s="0" t="n">
        <v>78</v>
      </c>
      <c r="B5246" s="0" t="s">
        <v>60</v>
      </c>
      <c r="C5246" s="0" t="n">
        <v>2012</v>
      </c>
      <c r="D5246" s="0" t="n">
        <v>2</v>
      </c>
      <c r="E5246" s="38" t="n">
        <v>0</v>
      </c>
    </row>
    <row r="5247" customFormat="false" ht="15" hidden="false" customHeight="false" outlineLevel="0" collapsed="false">
      <c r="A5247" s="0" t="n">
        <v>78</v>
      </c>
      <c r="B5247" s="0" t="s">
        <v>60</v>
      </c>
      <c r="C5247" s="0" t="n">
        <v>2012</v>
      </c>
      <c r="D5247" s="0" t="n">
        <v>4</v>
      </c>
      <c r="E5247" s="38" t="n">
        <v>-1.43</v>
      </c>
    </row>
    <row r="5248" customFormat="false" ht="15" hidden="false" customHeight="false" outlineLevel="0" collapsed="false">
      <c r="A5248" s="0" t="n">
        <v>78</v>
      </c>
      <c r="B5248" s="0" t="s">
        <v>60</v>
      </c>
      <c r="C5248" s="0" t="n">
        <v>2012</v>
      </c>
      <c r="D5248" s="0" t="n">
        <v>5</v>
      </c>
      <c r="E5248" s="38" t="n">
        <v>0.43</v>
      </c>
    </row>
    <row r="5249" customFormat="false" ht="15" hidden="false" customHeight="false" outlineLevel="0" collapsed="false">
      <c r="A5249" s="0" t="n">
        <v>78</v>
      </c>
      <c r="B5249" s="0" t="s">
        <v>60</v>
      </c>
      <c r="C5249" s="0" t="n">
        <v>2012</v>
      </c>
      <c r="D5249" s="0" t="n">
        <v>6</v>
      </c>
      <c r="E5249" s="38" t="n">
        <v>61.36</v>
      </c>
    </row>
    <row r="5250" customFormat="false" ht="15" hidden="false" customHeight="false" outlineLevel="0" collapsed="false">
      <c r="A5250" s="0" t="n">
        <v>78</v>
      </c>
      <c r="B5250" s="0" t="s">
        <v>60</v>
      </c>
      <c r="C5250" s="0" t="n">
        <v>2012</v>
      </c>
      <c r="D5250" s="0" t="n">
        <v>7</v>
      </c>
      <c r="E5250" s="38" t="n">
        <v>195.34</v>
      </c>
    </row>
    <row r="5251" customFormat="false" ht="15" hidden="false" customHeight="false" outlineLevel="0" collapsed="false">
      <c r="A5251" s="0" t="n">
        <v>78</v>
      </c>
      <c r="B5251" s="0" t="s">
        <v>60</v>
      </c>
      <c r="C5251" s="0" t="n">
        <v>2012</v>
      </c>
      <c r="D5251" s="0" t="n">
        <v>8</v>
      </c>
      <c r="E5251" s="38" t="n">
        <v>22.82</v>
      </c>
    </row>
    <row r="5252" customFormat="false" ht="15" hidden="false" customHeight="false" outlineLevel="0" collapsed="false">
      <c r="A5252" s="0" t="n">
        <v>78</v>
      </c>
      <c r="B5252" s="0" t="s">
        <v>60</v>
      </c>
      <c r="C5252" s="0" t="n">
        <v>2012</v>
      </c>
      <c r="D5252" s="0" t="n">
        <v>9</v>
      </c>
      <c r="E5252" s="38" t="n">
        <v>-41.41</v>
      </c>
    </row>
    <row r="5253" customFormat="false" ht="15" hidden="false" customHeight="false" outlineLevel="0" collapsed="false">
      <c r="A5253" s="0" t="n">
        <v>78</v>
      </c>
      <c r="B5253" s="0" t="s">
        <v>60</v>
      </c>
      <c r="C5253" s="0" t="n">
        <v>2012</v>
      </c>
      <c r="D5253" s="0" t="n">
        <v>10</v>
      </c>
      <c r="E5253" s="38" t="n">
        <v>32.47</v>
      </c>
    </row>
    <row r="5254" customFormat="false" ht="15" hidden="false" customHeight="false" outlineLevel="0" collapsed="false">
      <c r="A5254" s="0" t="n">
        <v>78</v>
      </c>
      <c r="B5254" s="0" t="s">
        <v>60</v>
      </c>
      <c r="C5254" s="0" t="n">
        <v>2012</v>
      </c>
      <c r="D5254" s="0" t="n">
        <v>11</v>
      </c>
      <c r="E5254" s="38" t="n">
        <v>34.82</v>
      </c>
    </row>
    <row r="5255" customFormat="false" ht="15" hidden="false" customHeight="false" outlineLevel="0" collapsed="false">
      <c r="A5255" s="0" t="n">
        <v>78</v>
      </c>
      <c r="B5255" s="0" t="s">
        <v>60</v>
      </c>
      <c r="C5255" s="0" t="n">
        <v>2012</v>
      </c>
      <c r="D5255" s="0" t="n">
        <v>12</v>
      </c>
      <c r="E5255" s="38" t="n">
        <v>20.12</v>
      </c>
    </row>
    <row r="5256" customFormat="false" ht="15" hidden="false" customHeight="false" outlineLevel="0" collapsed="false">
      <c r="A5256" s="0" t="n">
        <v>78</v>
      </c>
      <c r="B5256" s="0" t="s">
        <v>60</v>
      </c>
      <c r="C5256" s="0" t="n">
        <v>2013</v>
      </c>
      <c r="D5256" s="0" t="n">
        <v>1</v>
      </c>
      <c r="E5256" s="38" t="n">
        <v>64.28</v>
      </c>
    </row>
    <row r="5257" customFormat="false" ht="15" hidden="false" customHeight="false" outlineLevel="0" collapsed="false">
      <c r="A5257" s="0" t="n">
        <v>78</v>
      </c>
      <c r="B5257" s="0" t="s">
        <v>60</v>
      </c>
      <c r="C5257" s="0" t="n">
        <v>2013</v>
      </c>
      <c r="D5257" s="0" t="n">
        <v>2</v>
      </c>
      <c r="E5257" s="38" t="n">
        <v>18</v>
      </c>
    </row>
    <row r="5258" customFormat="false" ht="15" hidden="false" customHeight="false" outlineLevel="0" collapsed="false">
      <c r="A5258" s="0" t="n">
        <v>78</v>
      </c>
      <c r="B5258" s="0" t="s">
        <v>60</v>
      </c>
      <c r="C5258" s="0" t="n">
        <v>2013</v>
      </c>
      <c r="D5258" s="0" t="n">
        <v>3</v>
      </c>
      <c r="E5258" s="38" t="n">
        <v>25.14</v>
      </c>
    </row>
    <row r="5259" customFormat="false" ht="15" hidden="false" customHeight="false" outlineLevel="0" collapsed="false">
      <c r="A5259" s="0" t="n">
        <v>78</v>
      </c>
      <c r="B5259" s="0" t="s">
        <v>60</v>
      </c>
      <c r="C5259" s="0" t="n">
        <v>2013</v>
      </c>
      <c r="D5259" s="0" t="n">
        <v>4</v>
      </c>
      <c r="E5259" s="38" t="n">
        <v>47.86</v>
      </c>
    </row>
    <row r="5260" customFormat="false" ht="15" hidden="false" customHeight="false" outlineLevel="0" collapsed="false">
      <c r="A5260" s="0" t="n">
        <v>78</v>
      </c>
      <c r="B5260" s="0" t="s">
        <v>60</v>
      </c>
      <c r="C5260" s="0" t="n">
        <v>2013</v>
      </c>
      <c r="D5260" s="0" t="n">
        <v>5</v>
      </c>
      <c r="E5260" s="38" t="n">
        <v>2</v>
      </c>
    </row>
    <row r="5261" customFormat="false" ht="15" hidden="false" customHeight="false" outlineLevel="0" collapsed="false">
      <c r="A5261" s="0" t="n">
        <v>78</v>
      </c>
      <c r="B5261" s="0" t="s">
        <v>60</v>
      </c>
      <c r="C5261" s="0" t="n">
        <v>2013</v>
      </c>
      <c r="D5261" s="0" t="n">
        <v>6</v>
      </c>
      <c r="E5261" s="38" t="n">
        <v>9</v>
      </c>
    </row>
    <row r="5262" customFormat="false" ht="15" hidden="false" customHeight="false" outlineLevel="0" collapsed="false">
      <c r="A5262" s="0" t="n">
        <v>78</v>
      </c>
      <c r="B5262" s="0" t="s">
        <v>62</v>
      </c>
      <c r="C5262" s="0" t="n">
        <v>2011</v>
      </c>
      <c r="D5262" s="0" t="n">
        <v>1</v>
      </c>
      <c r="E5262" s="38" t="n">
        <v>169.13</v>
      </c>
    </row>
    <row r="5263" customFormat="false" ht="15" hidden="false" customHeight="false" outlineLevel="0" collapsed="false">
      <c r="A5263" s="0" t="n">
        <v>78</v>
      </c>
      <c r="B5263" s="0" t="s">
        <v>62</v>
      </c>
      <c r="C5263" s="0" t="n">
        <v>2011</v>
      </c>
      <c r="D5263" s="0" t="n">
        <v>2</v>
      </c>
      <c r="E5263" s="38" t="n">
        <v>67.57</v>
      </c>
    </row>
    <row r="5264" customFormat="false" ht="15" hidden="false" customHeight="false" outlineLevel="0" collapsed="false">
      <c r="A5264" s="0" t="n">
        <v>78</v>
      </c>
      <c r="B5264" s="0" t="s">
        <v>62</v>
      </c>
      <c r="C5264" s="0" t="n">
        <v>2011</v>
      </c>
      <c r="D5264" s="0" t="n">
        <v>3</v>
      </c>
      <c r="E5264" s="38" t="n">
        <v>97.57</v>
      </c>
    </row>
    <row r="5265" customFormat="false" ht="15" hidden="false" customHeight="false" outlineLevel="0" collapsed="false">
      <c r="A5265" s="0" t="n">
        <v>78</v>
      </c>
      <c r="B5265" s="0" t="s">
        <v>62</v>
      </c>
      <c r="C5265" s="0" t="n">
        <v>2011</v>
      </c>
      <c r="D5265" s="0" t="n">
        <v>4</v>
      </c>
      <c r="E5265" s="38" t="n">
        <v>76.14</v>
      </c>
    </row>
    <row r="5266" customFormat="false" ht="15" hidden="false" customHeight="false" outlineLevel="0" collapsed="false">
      <c r="A5266" s="0" t="n">
        <v>78</v>
      </c>
      <c r="B5266" s="0" t="s">
        <v>62</v>
      </c>
      <c r="C5266" s="0" t="n">
        <v>2011</v>
      </c>
      <c r="D5266" s="0" t="n">
        <v>5</v>
      </c>
      <c r="E5266" s="38" t="n">
        <v>15.43</v>
      </c>
    </row>
    <row r="5267" customFormat="false" ht="15" hidden="false" customHeight="false" outlineLevel="0" collapsed="false">
      <c r="A5267" s="0" t="n">
        <v>78</v>
      </c>
      <c r="B5267" s="0" t="s">
        <v>62</v>
      </c>
      <c r="C5267" s="0" t="n">
        <v>2011</v>
      </c>
      <c r="D5267" s="0" t="n">
        <v>6</v>
      </c>
      <c r="E5267" s="38" t="n">
        <v>28.71</v>
      </c>
    </row>
    <row r="5268" customFormat="false" ht="15" hidden="false" customHeight="false" outlineLevel="0" collapsed="false">
      <c r="A5268" s="0" t="n">
        <v>78</v>
      </c>
      <c r="B5268" s="0" t="s">
        <v>62</v>
      </c>
      <c r="C5268" s="0" t="n">
        <v>2011</v>
      </c>
      <c r="D5268" s="0" t="n">
        <v>7</v>
      </c>
      <c r="E5268" s="38" t="n">
        <v>-0.43</v>
      </c>
    </row>
    <row r="5269" customFormat="false" ht="15" hidden="false" customHeight="false" outlineLevel="0" collapsed="false">
      <c r="A5269" s="0" t="n">
        <v>78</v>
      </c>
      <c r="B5269" s="0" t="s">
        <v>62</v>
      </c>
      <c r="C5269" s="0" t="n">
        <v>2011</v>
      </c>
      <c r="D5269" s="0" t="n">
        <v>8</v>
      </c>
      <c r="E5269" s="38" t="n">
        <v>17.14</v>
      </c>
    </row>
    <row r="5270" customFormat="false" ht="15" hidden="false" customHeight="false" outlineLevel="0" collapsed="false">
      <c r="A5270" s="0" t="n">
        <v>78</v>
      </c>
      <c r="B5270" s="0" t="s">
        <v>62</v>
      </c>
      <c r="C5270" s="0" t="n">
        <v>2011</v>
      </c>
      <c r="D5270" s="0" t="n">
        <v>9</v>
      </c>
      <c r="E5270" s="38" t="n">
        <v>0</v>
      </c>
    </row>
    <row r="5271" customFormat="false" ht="15" hidden="false" customHeight="false" outlineLevel="0" collapsed="false">
      <c r="A5271" s="0" t="n">
        <v>78</v>
      </c>
      <c r="B5271" s="0" t="s">
        <v>62</v>
      </c>
      <c r="C5271" s="0" t="n">
        <v>2011</v>
      </c>
      <c r="D5271" s="0" t="n">
        <v>10</v>
      </c>
      <c r="E5271" s="38" t="n">
        <v>-12</v>
      </c>
    </row>
    <row r="5272" customFormat="false" ht="15" hidden="false" customHeight="false" outlineLevel="0" collapsed="false">
      <c r="A5272" s="0" t="n">
        <v>78</v>
      </c>
      <c r="B5272" s="0" t="s">
        <v>62</v>
      </c>
      <c r="C5272" s="0" t="n">
        <v>2012</v>
      </c>
      <c r="D5272" s="0" t="n">
        <v>6</v>
      </c>
      <c r="E5272" s="38" t="n">
        <v>45.4</v>
      </c>
    </row>
    <row r="5273" customFormat="false" ht="15" hidden="false" customHeight="false" outlineLevel="0" collapsed="false">
      <c r="A5273" s="0" t="n">
        <v>78</v>
      </c>
      <c r="B5273" s="0" t="s">
        <v>62</v>
      </c>
      <c r="C5273" s="0" t="n">
        <v>2012</v>
      </c>
      <c r="D5273" s="0" t="n">
        <v>7</v>
      </c>
      <c r="E5273" s="38" t="n">
        <v>69.89</v>
      </c>
    </row>
    <row r="5274" customFormat="false" ht="15" hidden="false" customHeight="false" outlineLevel="0" collapsed="false">
      <c r="A5274" s="0" t="n">
        <v>78</v>
      </c>
      <c r="B5274" s="0" t="s">
        <v>62</v>
      </c>
      <c r="C5274" s="0" t="n">
        <v>2012</v>
      </c>
      <c r="D5274" s="0" t="n">
        <v>8</v>
      </c>
      <c r="E5274" s="38" t="n">
        <v>-7.17</v>
      </c>
    </row>
    <row r="5275" customFormat="false" ht="15" hidden="false" customHeight="false" outlineLevel="0" collapsed="false">
      <c r="A5275" s="0" t="n">
        <v>78</v>
      </c>
      <c r="B5275" s="0" t="s">
        <v>62</v>
      </c>
      <c r="C5275" s="0" t="n">
        <v>2012</v>
      </c>
      <c r="D5275" s="0" t="n">
        <v>9</v>
      </c>
      <c r="E5275" s="38" t="n">
        <v>3</v>
      </c>
    </row>
    <row r="5276" customFormat="false" ht="15" hidden="false" customHeight="false" outlineLevel="0" collapsed="false">
      <c r="A5276" s="0" t="n">
        <v>78</v>
      </c>
      <c r="B5276" s="0" t="s">
        <v>62</v>
      </c>
      <c r="C5276" s="0" t="n">
        <v>2012</v>
      </c>
      <c r="D5276" s="0" t="n">
        <v>10</v>
      </c>
      <c r="E5276" s="38" t="n">
        <v>-3</v>
      </c>
    </row>
    <row r="5277" customFormat="false" ht="15" hidden="false" customHeight="false" outlineLevel="0" collapsed="false">
      <c r="A5277" s="0" t="n">
        <v>78</v>
      </c>
      <c r="B5277" s="0" t="s">
        <v>62</v>
      </c>
      <c r="C5277" s="0" t="n">
        <v>2012</v>
      </c>
      <c r="D5277" s="0" t="n">
        <v>11</v>
      </c>
      <c r="E5277" s="38" t="n">
        <v>-14.72</v>
      </c>
    </row>
    <row r="5278" customFormat="false" ht="15" hidden="false" customHeight="false" outlineLevel="0" collapsed="false">
      <c r="A5278" s="0" t="n">
        <v>78</v>
      </c>
      <c r="B5278" s="0" t="s">
        <v>62</v>
      </c>
      <c r="C5278" s="0" t="n">
        <v>2012</v>
      </c>
      <c r="D5278" s="0" t="n">
        <v>12</v>
      </c>
      <c r="E5278" s="38" t="n">
        <v>-5.04</v>
      </c>
    </row>
    <row r="5279" customFormat="false" ht="15" hidden="false" customHeight="false" outlineLevel="0" collapsed="false">
      <c r="A5279" s="0" t="n">
        <v>78</v>
      </c>
      <c r="B5279" s="0" t="s">
        <v>62</v>
      </c>
      <c r="C5279" s="0" t="n">
        <v>2013</v>
      </c>
      <c r="D5279" s="0" t="n">
        <v>1</v>
      </c>
      <c r="E5279" s="38" t="n">
        <v>16.45</v>
      </c>
    </row>
    <row r="5280" customFormat="false" ht="15" hidden="false" customHeight="false" outlineLevel="0" collapsed="false">
      <c r="A5280" s="0" t="n">
        <v>78</v>
      </c>
      <c r="B5280" s="0" t="s">
        <v>62</v>
      </c>
      <c r="C5280" s="0" t="n">
        <v>2013</v>
      </c>
      <c r="D5280" s="0" t="n">
        <v>2</v>
      </c>
      <c r="E5280" s="38" t="n">
        <v>2.86</v>
      </c>
    </row>
    <row r="5281" customFormat="false" ht="15" hidden="false" customHeight="false" outlineLevel="0" collapsed="false">
      <c r="A5281" s="0" t="n">
        <v>78</v>
      </c>
      <c r="B5281" s="0" t="s">
        <v>62</v>
      </c>
      <c r="C5281" s="0" t="n">
        <v>2013</v>
      </c>
      <c r="D5281" s="0" t="n">
        <v>3</v>
      </c>
      <c r="E5281" s="38" t="n">
        <v>8.57</v>
      </c>
    </row>
    <row r="5282" customFormat="false" ht="15" hidden="false" customHeight="false" outlineLevel="0" collapsed="false">
      <c r="A5282" s="0" t="n">
        <v>78</v>
      </c>
      <c r="B5282" s="0" t="s">
        <v>62</v>
      </c>
      <c r="C5282" s="0" t="n">
        <v>2013</v>
      </c>
      <c r="D5282" s="0" t="n">
        <v>4</v>
      </c>
      <c r="E5282" s="38" t="n">
        <v>8</v>
      </c>
    </row>
    <row r="5283" customFormat="false" ht="15" hidden="false" customHeight="false" outlineLevel="0" collapsed="false">
      <c r="A5283" s="0" t="n">
        <v>78</v>
      </c>
      <c r="B5283" s="0" t="s">
        <v>62</v>
      </c>
      <c r="C5283" s="0" t="n">
        <v>2013</v>
      </c>
      <c r="D5283" s="0" t="n">
        <v>5</v>
      </c>
      <c r="E5283" s="38" t="n">
        <v>9</v>
      </c>
    </row>
    <row r="5284" customFormat="false" ht="15" hidden="false" customHeight="false" outlineLevel="0" collapsed="false">
      <c r="A5284" s="0" t="n">
        <v>78</v>
      </c>
      <c r="B5284" s="0" t="s">
        <v>62</v>
      </c>
      <c r="C5284" s="0" t="n">
        <v>2013</v>
      </c>
      <c r="D5284" s="0" t="n">
        <v>8</v>
      </c>
      <c r="E5284" s="38" t="n">
        <v>3</v>
      </c>
    </row>
    <row r="5285" customFormat="false" ht="15" hidden="false" customHeight="false" outlineLevel="0" collapsed="false">
      <c r="A5285" s="0" t="n">
        <v>79</v>
      </c>
      <c r="B5285" s="0" t="s">
        <v>60</v>
      </c>
      <c r="C5285" s="0" t="n">
        <v>2011</v>
      </c>
      <c r="D5285" s="0" t="n">
        <v>1</v>
      </c>
      <c r="E5285" s="38" t="n">
        <v>2793840.7</v>
      </c>
    </row>
    <row r="5286" customFormat="false" ht="15" hidden="false" customHeight="false" outlineLevel="0" collapsed="false">
      <c r="A5286" s="0" t="n">
        <v>79</v>
      </c>
      <c r="B5286" s="0" t="s">
        <v>60</v>
      </c>
      <c r="C5286" s="0" t="n">
        <v>2011</v>
      </c>
      <c r="D5286" s="0" t="n">
        <v>2</v>
      </c>
      <c r="E5286" s="38" t="n">
        <v>2931008.13</v>
      </c>
    </row>
    <row r="5287" customFormat="false" ht="15" hidden="false" customHeight="false" outlineLevel="0" collapsed="false">
      <c r="A5287" s="0" t="n">
        <v>79</v>
      </c>
      <c r="B5287" s="0" t="s">
        <v>60</v>
      </c>
      <c r="C5287" s="0" t="n">
        <v>2011</v>
      </c>
      <c r="D5287" s="0" t="n">
        <v>3</v>
      </c>
      <c r="E5287" s="38" t="n">
        <v>2683827.41</v>
      </c>
    </row>
    <row r="5288" customFormat="false" ht="15" hidden="false" customHeight="false" outlineLevel="0" collapsed="false">
      <c r="A5288" s="0" t="n">
        <v>79</v>
      </c>
      <c r="B5288" s="0" t="s">
        <v>60</v>
      </c>
      <c r="C5288" s="0" t="n">
        <v>2011</v>
      </c>
      <c r="D5288" s="0" t="n">
        <v>4</v>
      </c>
      <c r="E5288" s="38" t="n">
        <v>2811494.22</v>
      </c>
    </row>
    <row r="5289" customFormat="false" ht="15" hidden="false" customHeight="false" outlineLevel="0" collapsed="false">
      <c r="A5289" s="0" t="n">
        <v>79</v>
      </c>
      <c r="B5289" s="0" t="s">
        <v>60</v>
      </c>
      <c r="C5289" s="0" t="n">
        <v>2011</v>
      </c>
      <c r="D5289" s="0" t="n">
        <v>5</v>
      </c>
      <c r="E5289" s="38" t="n">
        <v>2763304</v>
      </c>
    </row>
    <row r="5290" customFormat="false" ht="15" hidden="false" customHeight="false" outlineLevel="0" collapsed="false">
      <c r="A5290" s="0" t="n">
        <v>79</v>
      </c>
      <c r="B5290" s="0" t="s">
        <v>60</v>
      </c>
      <c r="C5290" s="0" t="n">
        <v>2011</v>
      </c>
      <c r="D5290" s="0" t="n">
        <v>6</v>
      </c>
      <c r="E5290" s="38" t="n">
        <v>2831604.71</v>
      </c>
    </row>
    <row r="5291" customFormat="false" ht="15" hidden="false" customHeight="false" outlineLevel="0" collapsed="false">
      <c r="A5291" s="0" t="n">
        <v>79</v>
      </c>
      <c r="B5291" s="0" t="s">
        <v>60</v>
      </c>
      <c r="C5291" s="0" t="n">
        <v>2011</v>
      </c>
      <c r="D5291" s="0" t="n">
        <v>7</v>
      </c>
      <c r="E5291" s="38" t="n">
        <v>2827487.9</v>
      </c>
    </row>
    <row r="5292" customFormat="false" ht="15" hidden="false" customHeight="false" outlineLevel="0" collapsed="false">
      <c r="A5292" s="0" t="n">
        <v>79</v>
      </c>
      <c r="B5292" s="0" t="s">
        <v>60</v>
      </c>
      <c r="C5292" s="0" t="n">
        <v>2011</v>
      </c>
      <c r="D5292" s="0" t="n">
        <v>8</v>
      </c>
      <c r="E5292" s="38" t="n">
        <v>2586804.56</v>
      </c>
    </row>
    <row r="5293" customFormat="false" ht="15" hidden="false" customHeight="false" outlineLevel="0" collapsed="false">
      <c r="A5293" s="0" t="n">
        <v>79</v>
      </c>
      <c r="B5293" s="0" t="s">
        <v>60</v>
      </c>
      <c r="C5293" s="0" t="n">
        <v>2011</v>
      </c>
      <c r="D5293" s="0" t="n">
        <v>9</v>
      </c>
      <c r="E5293" s="38" t="n">
        <v>2662107.31</v>
      </c>
    </row>
    <row r="5294" customFormat="false" ht="15" hidden="false" customHeight="false" outlineLevel="0" collapsed="false">
      <c r="A5294" s="0" t="n">
        <v>79</v>
      </c>
      <c r="B5294" s="0" t="s">
        <v>60</v>
      </c>
      <c r="C5294" s="0" t="n">
        <v>2011</v>
      </c>
      <c r="D5294" s="0" t="n">
        <v>10</v>
      </c>
      <c r="E5294" s="38" t="n">
        <v>2615158.79</v>
      </c>
    </row>
    <row r="5295" customFormat="false" ht="15" hidden="false" customHeight="false" outlineLevel="0" collapsed="false">
      <c r="A5295" s="0" t="n">
        <v>79</v>
      </c>
      <c r="B5295" s="0" t="s">
        <v>60</v>
      </c>
      <c r="C5295" s="0" t="n">
        <v>2011</v>
      </c>
      <c r="D5295" s="0" t="n">
        <v>11</v>
      </c>
      <c r="E5295" s="38" t="n">
        <v>2705837.68</v>
      </c>
    </row>
    <row r="5296" customFormat="false" ht="15" hidden="false" customHeight="false" outlineLevel="0" collapsed="false">
      <c r="A5296" s="0" t="n">
        <v>79</v>
      </c>
      <c r="B5296" s="0" t="s">
        <v>60</v>
      </c>
      <c r="C5296" s="0" t="n">
        <v>2011</v>
      </c>
      <c r="D5296" s="0" t="n">
        <v>12</v>
      </c>
      <c r="E5296" s="38" t="n">
        <v>2618583.75</v>
      </c>
    </row>
    <row r="5297" customFormat="false" ht="15" hidden="false" customHeight="false" outlineLevel="0" collapsed="false">
      <c r="A5297" s="0" t="n">
        <v>79</v>
      </c>
      <c r="B5297" s="0" t="s">
        <v>60</v>
      </c>
      <c r="C5297" s="0" t="n">
        <v>2012</v>
      </c>
      <c r="D5297" s="0" t="n">
        <v>1</v>
      </c>
      <c r="E5297" s="38" t="n">
        <v>2705815.9</v>
      </c>
    </row>
    <row r="5298" customFormat="false" ht="15" hidden="false" customHeight="false" outlineLevel="0" collapsed="false">
      <c r="A5298" s="0" t="n">
        <v>79</v>
      </c>
      <c r="B5298" s="0" t="s">
        <v>60</v>
      </c>
      <c r="C5298" s="0" t="n">
        <v>2012</v>
      </c>
      <c r="D5298" s="0" t="n">
        <v>2</v>
      </c>
      <c r="E5298" s="38" t="n">
        <v>2845908.62</v>
      </c>
    </row>
    <row r="5299" customFormat="false" ht="15" hidden="false" customHeight="false" outlineLevel="0" collapsed="false">
      <c r="A5299" s="0" t="n">
        <v>79</v>
      </c>
      <c r="B5299" s="0" t="s">
        <v>60</v>
      </c>
      <c r="C5299" s="0" t="n">
        <v>2012</v>
      </c>
      <c r="D5299" s="0" t="n">
        <v>3</v>
      </c>
      <c r="E5299" s="38" t="n">
        <v>2655859.26</v>
      </c>
    </row>
    <row r="5300" customFormat="false" ht="15" hidden="false" customHeight="false" outlineLevel="0" collapsed="false">
      <c r="A5300" s="0" t="n">
        <v>79</v>
      </c>
      <c r="B5300" s="0" t="s">
        <v>60</v>
      </c>
      <c r="C5300" s="0" t="n">
        <v>2012</v>
      </c>
      <c r="D5300" s="0" t="n">
        <v>4</v>
      </c>
      <c r="E5300" s="38" t="n">
        <v>2735700.35</v>
      </c>
    </row>
    <row r="5301" customFormat="false" ht="15" hidden="false" customHeight="false" outlineLevel="0" collapsed="false">
      <c r="A5301" s="0" t="n">
        <v>79</v>
      </c>
      <c r="B5301" s="0" t="s">
        <v>60</v>
      </c>
      <c r="C5301" s="0" t="n">
        <v>2012</v>
      </c>
      <c r="D5301" s="0" t="n">
        <v>5</v>
      </c>
      <c r="E5301" s="38" t="n">
        <v>2673017.68</v>
      </c>
    </row>
    <row r="5302" customFormat="false" ht="15" hidden="false" customHeight="false" outlineLevel="0" collapsed="false">
      <c r="A5302" s="0" t="n">
        <v>79</v>
      </c>
      <c r="B5302" s="0" t="s">
        <v>60</v>
      </c>
      <c r="C5302" s="0" t="n">
        <v>2012</v>
      </c>
      <c r="D5302" s="0" t="n">
        <v>6</v>
      </c>
      <c r="E5302" s="38" t="n">
        <v>2726397.66</v>
      </c>
    </row>
    <row r="5303" customFormat="false" ht="15" hidden="false" customHeight="false" outlineLevel="0" collapsed="false">
      <c r="A5303" s="0" t="n">
        <v>79</v>
      </c>
      <c r="B5303" s="0" t="s">
        <v>60</v>
      </c>
      <c r="C5303" s="0" t="n">
        <v>2012</v>
      </c>
      <c r="D5303" s="0" t="n">
        <v>7</v>
      </c>
      <c r="E5303" s="38" t="n">
        <v>2790253.36</v>
      </c>
    </row>
    <row r="5304" customFormat="false" ht="15" hidden="false" customHeight="false" outlineLevel="0" collapsed="false">
      <c r="A5304" s="0" t="n">
        <v>79</v>
      </c>
      <c r="B5304" s="0" t="s">
        <v>60</v>
      </c>
      <c r="C5304" s="0" t="n">
        <v>2012</v>
      </c>
      <c r="D5304" s="0" t="n">
        <v>8</v>
      </c>
      <c r="E5304" s="38" t="n">
        <v>2591052.89</v>
      </c>
    </row>
    <row r="5305" customFormat="false" ht="15" hidden="false" customHeight="false" outlineLevel="0" collapsed="false">
      <c r="A5305" s="0" t="n">
        <v>79</v>
      </c>
      <c r="B5305" s="0" t="s">
        <v>60</v>
      </c>
      <c r="C5305" s="0" t="n">
        <v>2012</v>
      </c>
      <c r="D5305" s="0" t="n">
        <v>9</v>
      </c>
      <c r="E5305" s="38" t="n">
        <v>2714865.23</v>
      </c>
    </row>
    <row r="5306" customFormat="false" ht="15" hidden="false" customHeight="false" outlineLevel="0" collapsed="false">
      <c r="A5306" s="0" t="n">
        <v>79</v>
      </c>
      <c r="B5306" s="0" t="s">
        <v>60</v>
      </c>
      <c r="C5306" s="0" t="n">
        <v>2012</v>
      </c>
      <c r="D5306" s="0" t="n">
        <v>10</v>
      </c>
      <c r="E5306" s="38" t="n">
        <v>2695266.17</v>
      </c>
    </row>
    <row r="5307" customFormat="false" ht="15" hidden="false" customHeight="false" outlineLevel="0" collapsed="false">
      <c r="A5307" s="0" t="n">
        <v>79</v>
      </c>
      <c r="B5307" s="0" t="s">
        <v>60</v>
      </c>
      <c r="C5307" s="0" t="n">
        <v>2012</v>
      </c>
      <c r="D5307" s="0" t="n">
        <v>11</v>
      </c>
      <c r="E5307" s="38" t="n">
        <v>2820269.29</v>
      </c>
    </row>
    <row r="5308" customFormat="false" ht="15" hidden="false" customHeight="false" outlineLevel="0" collapsed="false">
      <c r="A5308" s="0" t="n">
        <v>79</v>
      </c>
      <c r="B5308" s="0" t="s">
        <v>60</v>
      </c>
      <c r="C5308" s="0" t="n">
        <v>2012</v>
      </c>
      <c r="D5308" s="0" t="n">
        <v>12</v>
      </c>
      <c r="E5308" s="38" t="n">
        <v>2701221.7</v>
      </c>
    </row>
    <row r="5309" customFormat="false" ht="15" hidden="false" customHeight="false" outlineLevel="0" collapsed="false">
      <c r="A5309" s="0" t="n">
        <v>79</v>
      </c>
      <c r="B5309" s="0" t="s">
        <v>60</v>
      </c>
      <c r="C5309" s="0" t="n">
        <v>2013</v>
      </c>
      <c r="D5309" s="0" t="n">
        <v>1</v>
      </c>
      <c r="E5309" s="38" t="n">
        <v>2898294.65</v>
      </c>
    </row>
    <row r="5310" customFormat="false" ht="15" hidden="false" customHeight="false" outlineLevel="0" collapsed="false">
      <c r="A5310" s="0" t="n">
        <v>79</v>
      </c>
      <c r="B5310" s="0" t="s">
        <v>60</v>
      </c>
      <c r="C5310" s="0" t="n">
        <v>2013</v>
      </c>
      <c r="D5310" s="0" t="n">
        <v>2</v>
      </c>
      <c r="E5310" s="38" t="n">
        <v>2888688.01</v>
      </c>
    </row>
    <row r="5311" customFormat="false" ht="15" hidden="false" customHeight="false" outlineLevel="0" collapsed="false">
      <c r="A5311" s="0" t="n">
        <v>79</v>
      </c>
      <c r="B5311" s="0" t="s">
        <v>60</v>
      </c>
      <c r="C5311" s="0" t="n">
        <v>2013</v>
      </c>
      <c r="D5311" s="0" t="n">
        <v>3</v>
      </c>
      <c r="E5311" s="38" t="n">
        <v>2762364.25</v>
      </c>
    </row>
    <row r="5312" customFormat="false" ht="15" hidden="false" customHeight="false" outlineLevel="0" collapsed="false">
      <c r="A5312" s="0" t="n">
        <v>79</v>
      </c>
      <c r="B5312" s="0" t="s">
        <v>60</v>
      </c>
      <c r="C5312" s="0" t="n">
        <v>2013</v>
      </c>
      <c r="D5312" s="0" t="n">
        <v>4</v>
      </c>
      <c r="E5312" s="38" t="n">
        <v>2823344.18</v>
      </c>
    </row>
    <row r="5313" customFormat="false" ht="15" hidden="false" customHeight="false" outlineLevel="0" collapsed="false">
      <c r="A5313" s="0" t="n">
        <v>79</v>
      </c>
      <c r="B5313" s="0" t="s">
        <v>60</v>
      </c>
      <c r="C5313" s="0" t="n">
        <v>2013</v>
      </c>
      <c r="D5313" s="0" t="n">
        <v>5</v>
      </c>
      <c r="E5313" s="38" t="n">
        <v>2743798.89</v>
      </c>
    </row>
    <row r="5314" customFormat="false" ht="15" hidden="false" customHeight="false" outlineLevel="0" collapsed="false">
      <c r="A5314" s="0" t="n">
        <v>79</v>
      </c>
      <c r="B5314" s="0" t="s">
        <v>60</v>
      </c>
      <c r="C5314" s="0" t="n">
        <v>2013</v>
      </c>
      <c r="D5314" s="0" t="n">
        <v>6</v>
      </c>
      <c r="E5314" s="38" t="n">
        <v>2843391.38</v>
      </c>
    </row>
    <row r="5315" customFormat="false" ht="15" hidden="false" customHeight="false" outlineLevel="0" collapsed="false">
      <c r="A5315" s="0" t="n">
        <v>79</v>
      </c>
      <c r="B5315" s="0" t="s">
        <v>60</v>
      </c>
      <c r="C5315" s="0" t="n">
        <v>2013</v>
      </c>
      <c r="D5315" s="0" t="n">
        <v>7</v>
      </c>
      <c r="E5315" s="38" t="n">
        <v>2760863.8</v>
      </c>
    </row>
    <row r="5316" customFormat="false" ht="15" hidden="false" customHeight="false" outlineLevel="0" collapsed="false">
      <c r="A5316" s="0" t="n">
        <v>79</v>
      </c>
      <c r="B5316" s="0" t="s">
        <v>60</v>
      </c>
      <c r="C5316" s="0" t="n">
        <v>2013</v>
      </c>
      <c r="D5316" s="0" t="n">
        <v>8</v>
      </c>
      <c r="E5316" s="38" t="n">
        <v>2677618.12</v>
      </c>
    </row>
    <row r="5317" customFormat="false" ht="15" hidden="false" customHeight="false" outlineLevel="0" collapsed="false">
      <c r="A5317" s="0" t="n">
        <v>79</v>
      </c>
      <c r="B5317" s="0" t="s">
        <v>62</v>
      </c>
      <c r="C5317" s="0" t="n">
        <v>2011</v>
      </c>
      <c r="D5317" s="0" t="n">
        <v>1</v>
      </c>
      <c r="E5317" s="38" t="n">
        <v>1425575.14</v>
      </c>
    </row>
    <row r="5318" customFormat="false" ht="15" hidden="false" customHeight="false" outlineLevel="0" collapsed="false">
      <c r="A5318" s="0" t="n">
        <v>79</v>
      </c>
      <c r="B5318" s="0" t="s">
        <v>62</v>
      </c>
      <c r="C5318" s="0" t="n">
        <v>2011</v>
      </c>
      <c r="D5318" s="0" t="n">
        <v>2</v>
      </c>
      <c r="E5318" s="38" t="n">
        <v>1488245.45</v>
      </c>
    </row>
    <row r="5319" customFormat="false" ht="15" hidden="false" customHeight="false" outlineLevel="0" collapsed="false">
      <c r="A5319" s="0" t="n">
        <v>79</v>
      </c>
      <c r="B5319" s="0" t="s">
        <v>62</v>
      </c>
      <c r="C5319" s="0" t="n">
        <v>2011</v>
      </c>
      <c r="D5319" s="0" t="n">
        <v>3</v>
      </c>
      <c r="E5319" s="38" t="n">
        <v>1340701.75</v>
      </c>
    </row>
    <row r="5320" customFormat="false" ht="15" hidden="false" customHeight="false" outlineLevel="0" collapsed="false">
      <c r="A5320" s="0" t="n">
        <v>79</v>
      </c>
      <c r="B5320" s="0" t="s">
        <v>62</v>
      </c>
      <c r="C5320" s="0" t="n">
        <v>2011</v>
      </c>
      <c r="D5320" s="0" t="n">
        <v>4</v>
      </c>
      <c r="E5320" s="38" t="n">
        <v>1381793.09</v>
      </c>
    </row>
    <row r="5321" customFormat="false" ht="15" hidden="false" customHeight="false" outlineLevel="0" collapsed="false">
      <c r="A5321" s="0" t="n">
        <v>79</v>
      </c>
      <c r="B5321" s="0" t="s">
        <v>62</v>
      </c>
      <c r="C5321" s="0" t="n">
        <v>2011</v>
      </c>
      <c r="D5321" s="0" t="n">
        <v>5</v>
      </c>
      <c r="E5321" s="38" t="n">
        <v>1369151.11</v>
      </c>
    </row>
    <row r="5322" customFormat="false" ht="15" hidden="false" customHeight="false" outlineLevel="0" collapsed="false">
      <c r="A5322" s="0" t="n">
        <v>79</v>
      </c>
      <c r="B5322" s="0" t="s">
        <v>62</v>
      </c>
      <c r="C5322" s="0" t="n">
        <v>2011</v>
      </c>
      <c r="D5322" s="0" t="n">
        <v>6</v>
      </c>
      <c r="E5322" s="38" t="n">
        <v>1439535.98</v>
      </c>
    </row>
    <row r="5323" customFormat="false" ht="15" hidden="false" customHeight="false" outlineLevel="0" collapsed="false">
      <c r="A5323" s="0" t="n">
        <v>79</v>
      </c>
      <c r="B5323" s="0" t="s">
        <v>62</v>
      </c>
      <c r="C5323" s="0" t="n">
        <v>2011</v>
      </c>
      <c r="D5323" s="0" t="n">
        <v>7</v>
      </c>
      <c r="E5323" s="38" t="n">
        <v>1380239.97</v>
      </c>
    </row>
    <row r="5324" customFormat="false" ht="15" hidden="false" customHeight="false" outlineLevel="0" collapsed="false">
      <c r="A5324" s="0" t="n">
        <v>79</v>
      </c>
      <c r="B5324" s="0" t="s">
        <v>62</v>
      </c>
      <c r="C5324" s="0" t="n">
        <v>2011</v>
      </c>
      <c r="D5324" s="0" t="n">
        <v>8</v>
      </c>
      <c r="E5324" s="38" t="n">
        <v>1257951.93</v>
      </c>
    </row>
    <row r="5325" customFormat="false" ht="15" hidden="false" customHeight="false" outlineLevel="0" collapsed="false">
      <c r="A5325" s="0" t="n">
        <v>79</v>
      </c>
      <c r="B5325" s="0" t="s">
        <v>62</v>
      </c>
      <c r="C5325" s="0" t="n">
        <v>2011</v>
      </c>
      <c r="D5325" s="0" t="n">
        <v>9</v>
      </c>
      <c r="E5325" s="38" t="n">
        <v>1265459.14</v>
      </c>
    </row>
    <row r="5326" customFormat="false" ht="15" hidden="false" customHeight="false" outlineLevel="0" collapsed="false">
      <c r="A5326" s="0" t="n">
        <v>79</v>
      </c>
      <c r="B5326" s="0" t="s">
        <v>62</v>
      </c>
      <c r="C5326" s="0" t="n">
        <v>2011</v>
      </c>
      <c r="D5326" s="0" t="n">
        <v>10</v>
      </c>
      <c r="E5326" s="38" t="n">
        <v>1241395.71</v>
      </c>
    </row>
    <row r="5327" customFormat="false" ht="15" hidden="false" customHeight="false" outlineLevel="0" collapsed="false">
      <c r="A5327" s="0" t="n">
        <v>79</v>
      </c>
      <c r="B5327" s="0" t="s">
        <v>62</v>
      </c>
      <c r="C5327" s="0" t="n">
        <v>2011</v>
      </c>
      <c r="D5327" s="0" t="n">
        <v>11</v>
      </c>
      <c r="E5327" s="38" t="n">
        <v>1317370.44</v>
      </c>
    </row>
    <row r="5328" customFormat="false" ht="15" hidden="false" customHeight="false" outlineLevel="0" collapsed="false">
      <c r="A5328" s="0" t="n">
        <v>79</v>
      </c>
      <c r="B5328" s="0" t="s">
        <v>62</v>
      </c>
      <c r="C5328" s="0" t="n">
        <v>2011</v>
      </c>
      <c r="D5328" s="0" t="n">
        <v>12</v>
      </c>
      <c r="E5328" s="38" t="n">
        <v>1219974.03</v>
      </c>
    </row>
    <row r="5329" customFormat="false" ht="15" hidden="false" customHeight="false" outlineLevel="0" collapsed="false">
      <c r="A5329" s="0" t="n">
        <v>79</v>
      </c>
      <c r="B5329" s="0" t="s">
        <v>62</v>
      </c>
      <c r="C5329" s="0" t="n">
        <v>2012</v>
      </c>
      <c r="D5329" s="0" t="n">
        <v>1</v>
      </c>
      <c r="E5329" s="38" t="n">
        <v>1304432.78</v>
      </c>
    </row>
    <row r="5330" customFormat="false" ht="15" hidden="false" customHeight="false" outlineLevel="0" collapsed="false">
      <c r="A5330" s="0" t="n">
        <v>79</v>
      </c>
      <c r="B5330" s="0" t="s">
        <v>62</v>
      </c>
      <c r="C5330" s="0" t="n">
        <v>2012</v>
      </c>
      <c r="D5330" s="0" t="n">
        <v>2</v>
      </c>
      <c r="E5330" s="38" t="n">
        <v>1389564.94</v>
      </c>
    </row>
    <row r="5331" customFormat="false" ht="15" hidden="false" customHeight="false" outlineLevel="0" collapsed="false">
      <c r="A5331" s="0" t="n">
        <v>79</v>
      </c>
      <c r="B5331" s="0" t="s">
        <v>62</v>
      </c>
      <c r="C5331" s="0" t="n">
        <v>2012</v>
      </c>
      <c r="D5331" s="0" t="n">
        <v>3</v>
      </c>
      <c r="E5331" s="38" t="n">
        <v>1274396.27</v>
      </c>
    </row>
    <row r="5332" customFormat="false" ht="15" hidden="false" customHeight="false" outlineLevel="0" collapsed="false">
      <c r="A5332" s="0" t="n">
        <v>79</v>
      </c>
      <c r="B5332" s="0" t="s">
        <v>62</v>
      </c>
      <c r="C5332" s="0" t="n">
        <v>2012</v>
      </c>
      <c r="D5332" s="0" t="n">
        <v>4</v>
      </c>
      <c r="E5332" s="38" t="n">
        <v>1293811.4</v>
      </c>
    </row>
    <row r="5333" customFormat="false" ht="15" hidden="false" customHeight="false" outlineLevel="0" collapsed="false">
      <c r="A5333" s="0" t="n">
        <v>79</v>
      </c>
      <c r="B5333" s="0" t="s">
        <v>62</v>
      </c>
      <c r="C5333" s="0" t="n">
        <v>2012</v>
      </c>
      <c r="D5333" s="0" t="n">
        <v>5</v>
      </c>
      <c r="E5333" s="38" t="n">
        <v>1295846.66</v>
      </c>
    </row>
    <row r="5334" customFormat="false" ht="15" hidden="false" customHeight="false" outlineLevel="0" collapsed="false">
      <c r="A5334" s="0" t="n">
        <v>79</v>
      </c>
      <c r="B5334" s="0" t="s">
        <v>62</v>
      </c>
      <c r="C5334" s="0" t="n">
        <v>2012</v>
      </c>
      <c r="D5334" s="0" t="n">
        <v>6</v>
      </c>
      <c r="E5334" s="38" t="n">
        <v>1342122.61</v>
      </c>
    </row>
    <row r="5335" customFormat="false" ht="15" hidden="false" customHeight="false" outlineLevel="0" collapsed="false">
      <c r="A5335" s="0" t="n">
        <v>79</v>
      </c>
      <c r="B5335" s="0" t="s">
        <v>62</v>
      </c>
      <c r="C5335" s="0" t="n">
        <v>2012</v>
      </c>
      <c r="D5335" s="0" t="n">
        <v>7</v>
      </c>
      <c r="E5335" s="38" t="n">
        <v>1312968.63</v>
      </c>
    </row>
    <row r="5336" customFormat="false" ht="15" hidden="false" customHeight="false" outlineLevel="0" collapsed="false">
      <c r="A5336" s="0" t="n">
        <v>79</v>
      </c>
      <c r="B5336" s="0" t="s">
        <v>62</v>
      </c>
      <c r="C5336" s="0" t="n">
        <v>2012</v>
      </c>
      <c r="D5336" s="0" t="n">
        <v>8</v>
      </c>
      <c r="E5336" s="38" t="n">
        <v>1225197.1</v>
      </c>
    </row>
    <row r="5337" customFormat="false" ht="15" hidden="false" customHeight="false" outlineLevel="0" collapsed="false">
      <c r="A5337" s="0" t="n">
        <v>79</v>
      </c>
      <c r="B5337" s="0" t="s">
        <v>62</v>
      </c>
      <c r="C5337" s="0" t="n">
        <v>2012</v>
      </c>
      <c r="D5337" s="0" t="n">
        <v>9</v>
      </c>
      <c r="E5337" s="38" t="n">
        <v>1230158.82</v>
      </c>
    </row>
    <row r="5338" customFormat="false" ht="15" hidden="false" customHeight="false" outlineLevel="0" collapsed="false">
      <c r="A5338" s="0" t="n">
        <v>79</v>
      </c>
      <c r="B5338" s="0" t="s">
        <v>62</v>
      </c>
      <c r="C5338" s="0" t="n">
        <v>2012</v>
      </c>
      <c r="D5338" s="0" t="n">
        <v>10</v>
      </c>
      <c r="E5338" s="38" t="n">
        <v>1261937.87</v>
      </c>
    </row>
    <row r="5339" customFormat="false" ht="15" hidden="false" customHeight="false" outlineLevel="0" collapsed="false">
      <c r="A5339" s="0" t="n">
        <v>79</v>
      </c>
      <c r="B5339" s="0" t="s">
        <v>62</v>
      </c>
      <c r="C5339" s="0" t="n">
        <v>2012</v>
      </c>
      <c r="D5339" s="0" t="n">
        <v>11</v>
      </c>
      <c r="E5339" s="38" t="n">
        <v>1337379.01</v>
      </c>
    </row>
    <row r="5340" customFormat="false" ht="15" hidden="false" customHeight="false" outlineLevel="0" collapsed="false">
      <c r="A5340" s="0" t="n">
        <v>79</v>
      </c>
      <c r="B5340" s="0" t="s">
        <v>62</v>
      </c>
      <c r="C5340" s="0" t="n">
        <v>2012</v>
      </c>
      <c r="D5340" s="0" t="n">
        <v>12</v>
      </c>
      <c r="E5340" s="38" t="n">
        <v>1250278.61</v>
      </c>
    </row>
    <row r="5341" customFormat="false" ht="15" hidden="false" customHeight="false" outlineLevel="0" collapsed="false">
      <c r="A5341" s="0" t="n">
        <v>79</v>
      </c>
      <c r="B5341" s="0" t="s">
        <v>62</v>
      </c>
      <c r="C5341" s="0" t="n">
        <v>2013</v>
      </c>
      <c r="D5341" s="0" t="n">
        <v>1</v>
      </c>
      <c r="E5341" s="38" t="n">
        <v>1404184.67</v>
      </c>
    </row>
    <row r="5342" customFormat="false" ht="15" hidden="false" customHeight="false" outlineLevel="0" collapsed="false">
      <c r="A5342" s="0" t="n">
        <v>79</v>
      </c>
      <c r="B5342" s="0" t="s">
        <v>62</v>
      </c>
      <c r="C5342" s="0" t="n">
        <v>2013</v>
      </c>
      <c r="D5342" s="0" t="n">
        <v>2</v>
      </c>
      <c r="E5342" s="38" t="n">
        <v>1360855.57</v>
      </c>
    </row>
    <row r="5343" customFormat="false" ht="15" hidden="false" customHeight="false" outlineLevel="0" collapsed="false">
      <c r="A5343" s="0" t="n">
        <v>79</v>
      </c>
      <c r="B5343" s="0" t="s">
        <v>62</v>
      </c>
      <c r="C5343" s="0" t="n">
        <v>2013</v>
      </c>
      <c r="D5343" s="0" t="n">
        <v>3</v>
      </c>
      <c r="E5343" s="38" t="n">
        <v>1269111.15</v>
      </c>
    </row>
    <row r="5344" customFormat="false" ht="15" hidden="false" customHeight="false" outlineLevel="0" collapsed="false">
      <c r="A5344" s="0" t="n">
        <v>79</v>
      </c>
      <c r="B5344" s="0" t="s">
        <v>62</v>
      </c>
      <c r="C5344" s="0" t="n">
        <v>2013</v>
      </c>
      <c r="D5344" s="0" t="n">
        <v>4</v>
      </c>
      <c r="E5344" s="38" t="n">
        <v>1278862.18</v>
      </c>
    </row>
    <row r="5345" customFormat="false" ht="15" hidden="false" customHeight="false" outlineLevel="0" collapsed="false">
      <c r="A5345" s="0" t="n">
        <v>79</v>
      </c>
      <c r="B5345" s="0" t="s">
        <v>62</v>
      </c>
      <c r="C5345" s="0" t="n">
        <v>2013</v>
      </c>
      <c r="D5345" s="0" t="n">
        <v>5</v>
      </c>
      <c r="E5345" s="38" t="n">
        <v>1296180.44</v>
      </c>
    </row>
    <row r="5346" customFormat="false" ht="15" hidden="false" customHeight="false" outlineLevel="0" collapsed="false">
      <c r="A5346" s="0" t="n">
        <v>79</v>
      </c>
      <c r="B5346" s="0" t="s">
        <v>62</v>
      </c>
      <c r="C5346" s="0" t="n">
        <v>2013</v>
      </c>
      <c r="D5346" s="0" t="n">
        <v>6</v>
      </c>
      <c r="E5346" s="38" t="n">
        <v>1331274.34</v>
      </c>
    </row>
    <row r="5347" customFormat="false" ht="15" hidden="false" customHeight="false" outlineLevel="0" collapsed="false">
      <c r="A5347" s="0" t="n">
        <v>79</v>
      </c>
      <c r="B5347" s="0" t="s">
        <v>62</v>
      </c>
      <c r="C5347" s="0" t="n">
        <v>2013</v>
      </c>
      <c r="D5347" s="0" t="n">
        <v>7</v>
      </c>
      <c r="E5347" s="38" t="n">
        <v>1317235.7</v>
      </c>
    </row>
    <row r="5348" customFormat="false" ht="15" hidden="false" customHeight="false" outlineLevel="0" collapsed="false">
      <c r="A5348" s="0" t="n">
        <v>79</v>
      </c>
      <c r="B5348" s="0" t="s">
        <v>62</v>
      </c>
      <c r="C5348" s="0" t="n">
        <v>2013</v>
      </c>
      <c r="D5348" s="0" t="n">
        <v>8</v>
      </c>
      <c r="E5348" s="38" t="n">
        <v>1241240.73</v>
      </c>
    </row>
    <row r="5349" customFormat="false" ht="15" hidden="false" customHeight="false" outlineLevel="0" collapsed="false">
      <c r="A5349" s="0" t="n">
        <v>79</v>
      </c>
      <c r="B5349" s="0" t="s">
        <v>64</v>
      </c>
      <c r="C5349" s="0" t="n">
        <v>2011</v>
      </c>
      <c r="D5349" s="0" t="n">
        <v>1</v>
      </c>
      <c r="E5349" s="38" t="n">
        <v>224603.71</v>
      </c>
    </row>
    <row r="5350" customFormat="false" ht="15" hidden="false" customHeight="false" outlineLevel="0" collapsed="false">
      <c r="A5350" s="0" t="n">
        <v>79</v>
      </c>
      <c r="B5350" s="0" t="s">
        <v>64</v>
      </c>
      <c r="C5350" s="0" t="n">
        <v>2011</v>
      </c>
      <c r="D5350" s="0" t="n">
        <v>2</v>
      </c>
      <c r="E5350" s="38" t="n">
        <v>254683.8</v>
      </c>
    </row>
    <row r="5351" customFormat="false" ht="15" hidden="false" customHeight="false" outlineLevel="0" collapsed="false">
      <c r="A5351" s="0" t="n">
        <v>79</v>
      </c>
      <c r="B5351" s="0" t="s">
        <v>64</v>
      </c>
      <c r="C5351" s="0" t="n">
        <v>2011</v>
      </c>
      <c r="D5351" s="0" t="n">
        <v>3</v>
      </c>
      <c r="E5351" s="38" t="n">
        <v>244035.45</v>
      </c>
    </row>
    <row r="5352" customFormat="false" ht="15" hidden="false" customHeight="false" outlineLevel="0" collapsed="false">
      <c r="A5352" s="0" t="n">
        <v>79</v>
      </c>
      <c r="B5352" s="0" t="s">
        <v>64</v>
      </c>
      <c r="C5352" s="0" t="n">
        <v>2011</v>
      </c>
      <c r="D5352" s="0" t="n">
        <v>4</v>
      </c>
      <c r="E5352" s="38" t="n">
        <v>252229.29</v>
      </c>
    </row>
    <row r="5353" customFormat="false" ht="15" hidden="false" customHeight="false" outlineLevel="0" collapsed="false">
      <c r="A5353" s="0" t="n">
        <v>79</v>
      </c>
      <c r="B5353" s="0" t="s">
        <v>64</v>
      </c>
      <c r="C5353" s="0" t="n">
        <v>2011</v>
      </c>
      <c r="D5353" s="0" t="n">
        <v>5</v>
      </c>
      <c r="E5353" s="38" t="n">
        <v>238396.51</v>
      </c>
    </row>
    <row r="5354" customFormat="false" ht="15" hidden="false" customHeight="false" outlineLevel="0" collapsed="false">
      <c r="A5354" s="0" t="n">
        <v>79</v>
      </c>
      <c r="B5354" s="0" t="s">
        <v>64</v>
      </c>
      <c r="C5354" s="0" t="n">
        <v>2011</v>
      </c>
      <c r="D5354" s="0" t="n">
        <v>6</v>
      </c>
      <c r="E5354" s="38" t="n">
        <v>243098.42</v>
      </c>
    </row>
    <row r="5355" customFormat="false" ht="15" hidden="false" customHeight="false" outlineLevel="0" collapsed="false">
      <c r="A5355" s="0" t="n">
        <v>79</v>
      </c>
      <c r="B5355" s="0" t="s">
        <v>64</v>
      </c>
      <c r="C5355" s="0" t="n">
        <v>2011</v>
      </c>
      <c r="D5355" s="0" t="n">
        <v>7</v>
      </c>
      <c r="E5355" s="38" t="n">
        <v>246508.75</v>
      </c>
    </row>
    <row r="5356" customFormat="false" ht="15" hidden="false" customHeight="false" outlineLevel="0" collapsed="false">
      <c r="A5356" s="0" t="n">
        <v>79</v>
      </c>
      <c r="B5356" s="0" t="s">
        <v>64</v>
      </c>
      <c r="C5356" s="0" t="n">
        <v>2011</v>
      </c>
      <c r="D5356" s="0" t="n">
        <v>8</v>
      </c>
      <c r="E5356" s="38" t="n">
        <v>232033.13</v>
      </c>
    </row>
    <row r="5357" customFormat="false" ht="15" hidden="false" customHeight="false" outlineLevel="0" collapsed="false">
      <c r="A5357" s="0" t="n">
        <v>79</v>
      </c>
      <c r="B5357" s="0" t="s">
        <v>64</v>
      </c>
      <c r="C5357" s="0" t="n">
        <v>2011</v>
      </c>
      <c r="D5357" s="0" t="n">
        <v>9</v>
      </c>
      <c r="E5357" s="38" t="n">
        <v>240527.1</v>
      </c>
    </row>
    <row r="5358" customFormat="false" ht="15" hidden="false" customHeight="false" outlineLevel="0" collapsed="false">
      <c r="A5358" s="0" t="n">
        <v>79</v>
      </c>
      <c r="B5358" s="0" t="s">
        <v>64</v>
      </c>
      <c r="C5358" s="0" t="n">
        <v>2011</v>
      </c>
      <c r="D5358" s="0" t="n">
        <v>10</v>
      </c>
      <c r="E5358" s="38" t="n">
        <v>220015.83</v>
      </c>
    </row>
    <row r="5359" customFormat="false" ht="15" hidden="false" customHeight="false" outlineLevel="0" collapsed="false">
      <c r="A5359" s="0" t="n">
        <v>79</v>
      </c>
      <c r="B5359" s="0" t="s">
        <v>64</v>
      </c>
      <c r="C5359" s="0" t="n">
        <v>2011</v>
      </c>
      <c r="D5359" s="0" t="n">
        <v>11</v>
      </c>
      <c r="E5359" s="38" t="n">
        <v>213453.45</v>
      </c>
    </row>
    <row r="5360" customFormat="false" ht="15" hidden="false" customHeight="false" outlineLevel="0" collapsed="false">
      <c r="A5360" s="0" t="n">
        <v>79</v>
      </c>
      <c r="B5360" s="0" t="s">
        <v>64</v>
      </c>
      <c r="C5360" s="0" t="n">
        <v>2011</v>
      </c>
      <c r="D5360" s="0" t="n">
        <v>12</v>
      </c>
      <c r="E5360" s="38" t="n">
        <v>235661.53</v>
      </c>
    </row>
    <row r="5361" customFormat="false" ht="15" hidden="false" customHeight="false" outlineLevel="0" collapsed="false">
      <c r="A5361" s="0" t="n">
        <v>79</v>
      </c>
      <c r="B5361" s="0" t="s">
        <v>64</v>
      </c>
      <c r="C5361" s="0" t="n">
        <v>2012</v>
      </c>
      <c r="D5361" s="0" t="n">
        <v>1</v>
      </c>
      <c r="E5361" s="38" t="n">
        <v>206656.73</v>
      </c>
    </row>
    <row r="5362" customFormat="false" ht="15" hidden="false" customHeight="false" outlineLevel="0" collapsed="false">
      <c r="A5362" s="0" t="n">
        <v>79</v>
      </c>
      <c r="B5362" s="0" t="s">
        <v>64</v>
      </c>
      <c r="C5362" s="0" t="n">
        <v>2012</v>
      </c>
      <c r="D5362" s="0" t="n">
        <v>2</v>
      </c>
      <c r="E5362" s="38" t="n">
        <v>222591.74</v>
      </c>
    </row>
    <row r="5363" customFormat="false" ht="15" hidden="false" customHeight="false" outlineLevel="0" collapsed="false">
      <c r="A5363" s="0" t="n">
        <v>79</v>
      </c>
      <c r="B5363" s="0" t="s">
        <v>64</v>
      </c>
      <c r="C5363" s="0" t="n">
        <v>2012</v>
      </c>
      <c r="D5363" s="0" t="n">
        <v>3</v>
      </c>
      <c r="E5363" s="38" t="n">
        <v>219632.25</v>
      </c>
    </row>
    <row r="5364" customFormat="false" ht="15" hidden="false" customHeight="false" outlineLevel="0" collapsed="false">
      <c r="A5364" s="0" t="n">
        <v>79</v>
      </c>
      <c r="B5364" s="0" t="s">
        <v>64</v>
      </c>
      <c r="C5364" s="0" t="n">
        <v>2012</v>
      </c>
      <c r="D5364" s="0" t="n">
        <v>4</v>
      </c>
      <c r="E5364" s="38" t="n">
        <v>235434.67</v>
      </c>
    </row>
    <row r="5365" customFormat="false" ht="15" hidden="false" customHeight="false" outlineLevel="0" collapsed="false">
      <c r="A5365" s="0" t="n">
        <v>79</v>
      </c>
      <c r="B5365" s="0" t="s">
        <v>64</v>
      </c>
      <c r="C5365" s="0" t="n">
        <v>2012</v>
      </c>
      <c r="D5365" s="0" t="n">
        <v>5</v>
      </c>
      <c r="E5365" s="38" t="n">
        <v>217149.13</v>
      </c>
    </row>
    <row r="5366" customFormat="false" ht="15" hidden="false" customHeight="false" outlineLevel="0" collapsed="false">
      <c r="A5366" s="0" t="n">
        <v>79</v>
      </c>
      <c r="B5366" s="0" t="s">
        <v>64</v>
      </c>
      <c r="C5366" s="0" t="n">
        <v>2012</v>
      </c>
      <c r="D5366" s="0" t="n">
        <v>6</v>
      </c>
      <c r="E5366" s="38" t="n">
        <v>221089.55</v>
      </c>
    </row>
    <row r="5367" customFormat="false" ht="15" hidden="false" customHeight="false" outlineLevel="0" collapsed="false">
      <c r="A5367" s="0" t="n">
        <v>79</v>
      </c>
      <c r="B5367" s="0" t="s">
        <v>64</v>
      </c>
      <c r="C5367" s="0" t="n">
        <v>2012</v>
      </c>
      <c r="D5367" s="0" t="n">
        <v>7</v>
      </c>
      <c r="E5367" s="38" t="n">
        <v>304606.33</v>
      </c>
    </row>
    <row r="5368" customFormat="false" ht="15" hidden="false" customHeight="false" outlineLevel="0" collapsed="false">
      <c r="A5368" s="0" t="n">
        <v>79</v>
      </c>
      <c r="B5368" s="0" t="s">
        <v>64</v>
      </c>
      <c r="C5368" s="0" t="n">
        <v>2012</v>
      </c>
      <c r="D5368" s="0" t="n">
        <v>8</v>
      </c>
      <c r="E5368" s="38" t="n">
        <v>218324.68</v>
      </c>
    </row>
    <row r="5369" customFormat="false" ht="15" hidden="false" customHeight="false" outlineLevel="0" collapsed="false">
      <c r="A5369" s="0" t="n">
        <v>79</v>
      </c>
      <c r="B5369" s="0" t="s">
        <v>64</v>
      </c>
      <c r="C5369" s="0" t="n">
        <v>2012</v>
      </c>
      <c r="D5369" s="0" t="n">
        <v>9</v>
      </c>
      <c r="E5369" s="38" t="n">
        <v>233262.7</v>
      </c>
    </row>
    <row r="5370" customFormat="false" ht="15" hidden="false" customHeight="false" outlineLevel="0" collapsed="false">
      <c r="A5370" s="0" t="n">
        <v>79</v>
      </c>
      <c r="B5370" s="0" t="s">
        <v>64</v>
      </c>
      <c r="C5370" s="0" t="n">
        <v>2012</v>
      </c>
      <c r="D5370" s="0" t="n">
        <v>10</v>
      </c>
      <c r="E5370" s="38" t="n">
        <v>224973.08</v>
      </c>
    </row>
    <row r="5371" customFormat="false" ht="15" hidden="false" customHeight="false" outlineLevel="0" collapsed="false">
      <c r="A5371" s="0" t="n">
        <v>79</v>
      </c>
      <c r="B5371" s="0" t="s">
        <v>64</v>
      </c>
      <c r="C5371" s="0" t="n">
        <v>2012</v>
      </c>
      <c r="D5371" s="0" t="n">
        <v>11</v>
      </c>
      <c r="E5371" s="38" t="n">
        <v>221739.72</v>
      </c>
    </row>
    <row r="5372" customFormat="false" ht="15" hidden="false" customHeight="false" outlineLevel="0" collapsed="false">
      <c r="A5372" s="0" t="n">
        <v>79</v>
      </c>
      <c r="B5372" s="0" t="s">
        <v>64</v>
      </c>
      <c r="C5372" s="0" t="n">
        <v>2012</v>
      </c>
      <c r="D5372" s="0" t="n">
        <v>12</v>
      </c>
      <c r="E5372" s="38" t="n">
        <v>250123.58</v>
      </c>
    </row>
    <row r="5373" customFormat="false" ht="15" hidden="false" customHeight="false" outlineLevel="0" collapsed="false">
      <c r="A5373" s="0" t="n">
        <v>79</v>
      </c>
      <c r="B5373" s="0" t="s">
        <v>64</v>
      </c>
      <c r="C5373" s="0" t="n">
        <v>2013</v>
      </c>
      <c r="D5373" s="0" t="n">
        <v>1</v>
      </c>
      <c r="E5373" s="38" t="n">
        <v>224815.64</v>
      </c>
    </row>
    <row r="5374" customFormat="false" ht="15" hidden="false" customHeight="false" outlineLevel="0" collapsed="false">
      <c r="A5374" s="0" t="n">
        <v>79</v>
      </c>
      <c r="B5374" s="0" t="s">
        <v>64</v>
      </c>
      <c r="C5374" s="0" t="n">
        <v>2013</v>
      </c>
      <c r="D5374" s="0" t="n">
        <v>2</v>
      </c>
      <c r="E5374" s="38" t="n">
        <v>232929.71</v>
      </c>
    </row>
    <row r="5375" customFormat="false" ht="15" hidden="false" customHeight="false" outlineLevel="0" collapsed="false">
      <c r="A5375" s="0" t="n">
        <v>79</v>
      </c>
      <c r="B5375" s="0" t="s">
        <v>64</v>
      </c>
      <c r="C5375" s="0" t="n">
        <v>2013</v>
      </c>
      <c r="D5375" s="0" t="n">
        <v>3</v>
      </c>
      <c r="E5375" s="38" t="n">
        <v>231994.39</v>
      </c>
    </row>
    <row r="5376" customFormat="false" ht="15" hidden="false" customHeight="false" outlineLevel="0" collapsed="false">
      <c r="A5376" s="0" t="n">
        <v>79</v>
      </c>
      <c r="B5376" s="0" t="s">
        <v>64</v>
      </c>
      <c r="C5376" s="0" t="n">
        <v>2013</v>
      </c>
      <c r="D5376" s="0" t="n">
        <v>4</v>
      </c>
      <c r="E5376" s="38" t="n">
        <v>245028.93</v>
      </c>
    </row>
    <row r="5377" customFormat="false" ht="15" hidden="false" customHeight="false" outlineLevel="0" collapsed="false">
      <c r="A5377" s="0" t="n">
        <v>79</v>
      </c>
      <c r="B5377" s="0" t="s">
        <v>64</v>
      </c>
      <c r="C5377" s="0" t="n">
        <v>2013</v>
      </c>
      <c r="D5377" s="0" t="n">
        <v>5</v>
      </c>
      <c r="E5377" s="38" t="n">
        <v>228626.01</v>
      </c>
    </row>
    <row r="5378" customFormat="false" ht="15" hidden="false" customHeight="false" outlineLevel="0" collapsed="false">
      <c r="A5378" s="0" t="n">
        <v>79</v>
      </c>
      <c r="B5378" s="0" t="s">
        <v>64</v>
      </c>
      <c r="C5378" s="0" t="n">
        <v>2013</v>
      </c>
      <c r="D5378" s="0" t="n">
        <v>6</v>
      </c>
      <c r="E5378" s="38" t="n">
        <v>248608.66</v>
      </c>
    </row>
    <row r="5379" customFormat="false" ht="15" hidden="false" customHeight="false" outlineLevel="0" collapsed="false">
      <c r="A5379" s="0" t="n">
        <v>79</v>
      </c>
      <c r="B5379" s="0" t="s">
        <v>64</v>
      </c>
      <c r="C5379" s="0" t="n">
        <v>2013</v>
      </c>
      <c r="D5379" s="0" t="n">
        <v>7</v>
      </c>
      <c r="E5379" s="38" t="n">
        <v>230744.21</v>
      </c>
    </row>
    <row r="5380" customFormat="false" ht="15" hidden="false" customHeight="false" outlineLevel="0" collapsed="false">
      <c r="A5380" s="0" t="n">
        <v>79</v>
      </c>
      <c r="B5380" s="0" t="s">
        <v>64</v>
      </c>
      <c r="C5380" s="0" t="n">
        <v>2013</v>
      </c>
      <c r="D5380" s="0" t="n">
        <v>8</v>
      </c>
      <c r="E5380" s="38" t="n">
        <v>225114.22</v>
      </c>
    </row>
    <row r="5381" customFormat="false" ht="15" hidden="false" customHeight="false" outlineLevel="0" collapsed="false">
      <c r="A5381" s="0" t="n">
        <v>80</v>
      </c>
      <c r="B5381" s="0" t="s">
        <v>60</v>
      </c>
      <c r="C5381" s="0" t="n">
        <v>2011</v>
      </c>
      <c r="D5381" s="0" t="n">
        <v>1</v>
      </c>
      <c r="E5381" s="38" t="n">
        <v>1707428.6</v>
      </c>
    </row>
    <row r="5382" customFormat="false" ht="15" hidden="false" customHeight="false" outlineLevel="0" collapsed="false">
      <c r="A5382" s="0" t="n">
        <v>80</v>
      </c>
      <c r="B5382" s="0" t="s">
        <v>60</v>
      </c>
      <c r="C5382" s="0" t="n">
        <v>2011</v>
      </c>
      <c r="D5382" s="0" t="n">
        <v>2</v>
      </c>
      <c r="E5382" s="38" t="n">
        <v>1829468.3</v>
      </c>
    </row>
    <row r="5383" customFormat="false" ht="15" hidden="false" customHeight="false" outlineLevel="0" collapsed="false">
      <c r="A5383" s="0" t="n">
        <v>80</v>
      </c>
      <c r="B5383" s="0" t="s">
        <v>60</v>
      </c>
      <c r="C5383" s="0" t="n">
        <v>2011</v>
      </c>
      <c r="D5383" s="0" t="n">
        <v>3</v>
      </c>
      <c r="E5383" s="38" t="n">
        <v>1781822.86</v>
      </c>
    </row>
    <row r="5384" customFormat="false" ht="15" hidden="false" customHeight="false" outlineLevel="0" collapsed="false">
      <c r="A5384" s="0" t="n">
        <v>80</v>
      </c>
      <c r="B5384" s="0" t="s">
        <v>60</v>
      </c>
      <c r="C5384" s="0" t="n">
        <v>2011</v>
      </c>
      <c r="D5384" s="0" t="n">
        <v>4</v>
      </c>
      <c r="E5384" s="38" t="n">
        <v>1894429.33</v>
      </c>
    </row>
    <row r="5385" customFormat="false" ht="15" hidden="false" customHeight="false" outlineLevel="0" collapsed="false">
      <c r="A5385" s="0" t="n">
        <v>80</v>
      </c>
      <c r="B5385" s="0" t="s">
        <v>60</v>
      </c>
      <c r="C5385" s="0" t="n">
        <v>2011</v>
      </c>
      <c r="D5385" s="0" t="n">
        <v>5</v>
      </c>
      <c r="E5385" s="38" t="n">
        <v>1881751.89</v>
      </c>
    </row>
    <row r="5386" customFormat="false" ht="15" hidden="false" customHeight="false" outlineLevel="0" collapsed="false">
      <c r="A5386" s="0" t="n">
        <v>80</v>
      </c>
      <c r="B5386" s="0" t="s">
        <v>60</v>
      </c>
      <c r="C5386" s="0" t="n">
        <v>2011</v>
      </c>
      <c r="D5386" s="0" t="n">
        <v>6</v>
      </c>
      <c r="E5386" s="38" t="n">
        <v>1951765.78</v>
      </c>
    </row>
    <row r="5387" customFormat="false" ht="15" hidden="false" customHeight="false" outlineLevel="0" collapsed="false">
      <c r="A5387" s="0" t="n">
        <v>80</v>
      </c>
      <c r="B5387" s="0" t="s">
        <v>60</v>
      </c>
      <c r="C5387" s="0" t="n">
        <v>2011</v>
      </c>
      <c r="D5387" s="0" t="n">
        <v>7</v>
      </c>
      <c r="E5387" s="38" t="n">
        <v>1895996.4</v>
      </c>
    </row>
    <row r="5388" customFormat="false" ht="15" hidden="false" customHeight="false" outlineLevel="0" collapsed="false">
      <c r="A5388" s="0" t="n">
        <v>80</v>
      </c>
      <c r="B5388" s="0" t="s">
        <v>60</v>
      </c>
      <c r="C5388" s="0" t="n">
        <v>2011</v>
      </c>
      <c r="D5388" s="0" t="n">
        <v>8</v>
      </c>
      <c r="E5388" s="38" t="n">
        <v>1799958.95</v>
      </c>
    </row>
    <row r="5389" customFormat="false" ht="15" hidden="false" customHeight="false" outlineLevel="0" collapsed="false">
      <c r="A5389" s="0" t="n">
        <v>80</v>
      </c>
      <c r="B5389" s="0" t="s">
        <v>60</v>
      </c>
      <c r="C5389" s="0" t="n">
        <v>2011</v>
      </c>
      <c r="D5389" s="0" t="n">
        <v>9</v>
      </c>
      <c r="E5389" s="38" t="n">
        <v>1871535.99</v>
      </c>
    </row>
    <row r="5390" customFormat="false" ht="15" hidden="false" customHeight="false" outlineLevel="0" collapsed="false">
      <c r="A5390" s="0" t="n">
        <v>80</v>
      </c>
      <c r="B5390" s="0" t="s">
        <v>60</v>
      </c>
      <c r="C5390" s="0" t="n">
        <v>2011</v>
      </c>
      <c r="D5390" s="0" t="n">
        <v>10</v>
      </c>
      <c r="E5390" s="38" t="n">
        <v>1797928.01</v>
      </c>
    </row>
    <row r="5391" customFormat="false" ht="15" hidden="false" customHeight="false" outlineLevel="0" collapsed="false">
      <c r="A5391" s="0" t="n">
        <v>80</v>
      </c>
      <c r="B5391" s="0" t="s">
        <v>60</v>
      </c>
      <c r="C5391" s="0" t="n">
        <v>2011</v>
      </c>
      <c r="D5391" s="0" t="n">
        <v>11</v>
      </c>
      <c r="E5391" s="38" t="n">
        <v>1974915.58</v>
      </c>
    </row>
    <row r="5392" customFormat="false" ht="15" hidden="false" customHeight="false" outlineLevel="0" collapsed="false">
      <c r="A5392" s="0" t="n">
        <v>80</v>
      </c>
      <c r="B5392" s="0" t="s">
        <v>60</v>
      </c>
      <c r="C5392" s="0" t="n">
        <v>2011</v>
      </c>
      <c r="D5392" s="0" t="n">
        <v>12</v>
      </c>
      <c r="E5392" s="38" t="n">
        <v>1826263.83</v>
      </c>
    </row>
    <row r="5393" customFormat="false" ht="15" hidden="false" customHeight="false" outlineLevel="0" collapsed="false">
      <c r="A5393" s="0" t="n">
        <v>80</v>
      </c>
      <c r="B5393" s="0" t="s">
        <v>60</v>
      </c>
      <c r="C5393" s="0" t="n">
        <v>2012</v>
      </c>
      <c r="D5393" s="0" t="n">
        <v>1</v>
      </c>
      <c r="E5393" s="38" t="n">
        <v>1712405.24</v>
      </c>
    </row>
    <row r="5394" customFormat="false" ht="15" hidden="false" customHeight="false" outlineLevel="0" collapsed="false">
      <c r="A5394" s="0" t="n">
        <v>80</v>
      </c>
      <c r="B5394" s="0" t="s">
        <v>60</v>
      </c>
      <c r="C5394" s="0" t="n">
        <v>2012</v>
      </c>
      <c r="D5394" s="0" t="n">
        <v>2</v>
      </c>
      <c r="E5394" s="38" t="n">
        <v>1848799.39</v>
      </c>
    </row>
    <row r="5395" customFormat="false" ht="15" hidden="false" customHeight="false" outlineLevel="0" collapsed="false">
      <c r="A5395" s="0" t="n">
        <v>80</v>
      </c>
      <c r="B5395" s="0" t="s">
        <v>60</v>
      </c>
      <c r="C5395" s="0" t="n">
        <v>2012</v>
      </c>
      <c r="D5395" s="0" t="n">
        <v>3</v>
      </c>
      <c r="E5395" s="38" t="n">
        <v>1819013.69</v>
      </c>
    </row>
    <row r="5396" customFormat="false" ht="15" hidden="false" customHeight="false" outlineLevel="0" collapsed="false">
      <c r="A5396" s="0" t="n">
        <v>80</v>
      </c>
      <c r="B5396" s="0" t="s">
        <v>60</v>
      </c>
      <c r="C5396" s="0" t="n">
        <v>2012</v>
      </c>
      <c r="D5396" s="0" t="n">
        <v>4</v>
      </c>
      <c r="E5396" s="38" t="n">
        <v>1909016.5</v>
      </c>
    </row>
    <row r="5397" customFormat="false" ht="15" hidden="false" customHeight="false" outlineLevel="0" collapsed="false">
      <c r="A5397" s="0" t="n">
        <v>80</v>
      </c>
      <c r="B5397" s="0" t="s">
        <v>60</v>
      </c>
      <c r="C5397" s="0" t="n">
        <v>2012</v>
      </c>
      <c r="D5397" s="0" t="n">
        <v>5</v>
      </c>
      <c r="E5397" s="38" t="n">
        <v>1915830.68</v>
      </c>
    </row>
    <row r="5398" customFormat="false" ht="15" hidden="false" customHeight="false" outlineLevel="0" collapsed="false">
      <c r="A5398" s="0" t="n">
        <v>80</v>
      </c>
      <c r="B5398" s="0" t="s">
        <v>60</v>
      </c>
      <c r="C5398" s="0" t="n">
        <v>2012</v>
      </c>
      <c r="D5398" s="0" t="n">
        <v>6</v>
      </c>
      <c r="E5398" s="38" t="n">
        <v>1995926.81</v>
      </c>
    </row>
    <row r="5399" customFormat="false" ht="15" hidden="false" customHeight="false" outlineLevel="0" collapsed="false">
      <c r="A5399" s="0" t="n">
        <v>80</v>
      </c>
      <c r="B5399" s="0" t="s">
        <v>60</v>
      </c>
      <c r="C5399" s="0" t="n">
        <v>2012</v>
      </c>
      <c r="D5399" s="0" t="n">
        <v>7</v>
      </c>
      <c r="E5399" s="38" t="n">
        <v>1979744.7</v>
      </c>
    </row>
    <row r="5400" customFormat="false" ht="15" hidden="false" customHeight="false" outlineLevel="0" collapsed="false">
      <c r="A5400" s="0" t="n">
        <v>80</v>
      </c>
      <c r="B5400" s="0" t="s">
        <v>60</v>
      </c>
      <c r="C5400" s="0" t="n">
        <v>2012</v>
      </c>
      <c r="D5400" s="0" t="n">
        <v>8</v>
      </c>
      <c r="E5400" s="38" t="n">
        <v>1869792.66</v>
      </c>
    </row>
    <row r="5401" customFormat="false" ht="15" hidden="false" customHeight="false" outlineLevel="0" collapsed="false">
      <c r="A5401" s="0" t="n">
        <v>80</v>
      </c>
      <c r="B5401" s="0" t="s">
        <v>60</v>
      </c>
      <c r="C5401" s="0" t="n">
        <v>2012</v>
      </c>
      <c r="D5401" s="0" t="n">
        <v>9</v>
      </c>
      <c r="E5401" s="38" t="n">
        <v>1932201.84</v>
      </c>
    </row>
    <row r="5402" customFormat="false" ht="15" hidden="false" customHeight="false" outlineLevel="0" collapsed="false">
      <c r="A5402" s="0" t="n">
        <v>80</v>
      </c>
      <c r="B5402" s="0" t="s">
        <v>60</v>
      </c>
      <c r="C5402" s="0" t="n">
        <v>2012</v>
      </c>
      <c r="D5402" s="0" t="n">
        <v>10</v>
      </c>
      <c r="E5402" s="38" t="n">
        <v>1811741.94</v>
      </c>
    </row>
    <row r="5403" customFormat="false" ht="15" hidden="false" customHeight="false" outlineLevel="0" collapsed="false">
      <c r="A5403" s="0" t="n">
        <v>80</v>
      </c>
      <c r="B5403" s="0" t="s">
        <v>60</v>
      </c>
      <c r="C5403" s="0" t="n">
        <v>2012</v>
      </c>
      <c r="D5403" s="0" t="n">
        <v>11</v>
      </c>
      <c r="E5403" s="38" t="n">
        <v>1974808.32</v>
      </c>
    </row>
    <row r="5404" customFormat="false" ht="15" hidden="false" customHeight="false" outlineLevel="0" collapsed="false">
      <c r="A5404" s="0" t="n">
        <v>80</v>
      </c>
      <c r="B5404" s="0" t="s">
        <v>60</v>
      </c>
      <c r="C5404" s="0" t="n">
        <v>2012</v>
      </c>
      <c r="D5404" s="0" t="n">
        <v>12</v>
      </c>
      <c r="E5404" s="38" t="n">
        <v>1875595.86</v>
      </c>
    </row>
    <row r="5405" customFormat="false" ht="15" hidden="false" customHeight="false" outlineLevel="0" collapsed="false">
      <c r="A5405" s="0" t="n">
        <v>80</v>
      </c>
      <c r="B5405" s="0" t="s">
        <v>60</v>
      </c>
      <c r="C5405" s="0" t="n">
        <v>2013</v>
      </c>
      <c r="D5405" s="0" t="n">
        <v>1</v>
      </c>
      <c r="E5405" s="38" t="n">
        <v>1808032.91</v>
      </c>
    </row>
    <row r="5406" customFormat="false" ht="15" hidden="false" customHeight="false" outlineLevel="0" collapsed="false">
      <c r="A5406" s="0" t="n">
        <v>80</v>
      </c>
      <c r="B5406" s="0" t="s">
        <v>60</v>
      </c>
      <c r="C5406" s="0" t="n">
        <v>2013</v>
      </c>
      <c r="D5406" s="0" t="n">
        <v>2</v>
      </c>
      <c r="E5406" s="38" t="n">
        <v>1869395.93</v>
      </c>
    </row>
    <row r="5407" customFormat="false" ht="15" hidden="false" customHeight="false" outlineLevel="0" collapsed="false">
      <c r="A5407" s="0" t="n">
        <v>80</v>
      </c>
      <c r="B5407" s="0" t="s">
        <v>60</v>
      </c>
      <c r="C5407" s="0" t="n">
        <v>2013</v>
      </c>
      <c r="D5407" s="0" t="n">
        <v>3</v>
      </c>
      <c r="E5407" s="38" t="n">
        <v>1839265.69</v>
      </c>
    </row>
    <row r="5408" customFormat="false" ht="15" hidden="false" customHeight="false" outlineLevel="0" collapsed="false">
      <c r="A5408" s="0" t="n">
        <v>80</v>
      </c>
      <c r="B5408" s="0" t="s">
        <v>60</v>
      </c>
      <c r="C5408" s="0" t="n">
        <v>2013</v>
      </c>
      <c r="D5408" s="0" t="n">
        <v>4</v>
      </c>
      <c r="E5408" s="38" t="n">
        <v>1922285.62</v>
      </c>
    </row>
    <row r="5409" customFormat="false" ht="15" hidden="false" customHeight="false" outlineLevel="0" collapsed="false">
      <c r="A5409" s="0" t="n">
        <v>80</v>
      </c>
      <c r="B5409" s="0" t="s">
        <v>60</v>
      </c>
      <c r="C5409" s="0" t="n">
        <v>2013</v>
      </c>
      <c r="D5409" s="0" t="n">
        <v>5</v>
      </c>
      <c r="E5409" s="38" t="n">
        <v>1892027.12</v>
      </c>
    </row>
    <row r="5410" customFormat="false" ht="15" hidden="false" customHeight="false" outlineLevel="0" collapsed="false">
      <c r="A5410" s="0" t="n">
        <v>80</v>
      </c>
      <c r="B5410" s="0" t="s">
        <v>60</v>
      </c>
      <c r="C5410" s="0" t="n">
        <v>2013</v>
      </c>
      <c r="D5410" s="0" t="n">
        <v>6</v>
      </c>
      <c r="E5410" s="38" t="n">
        <v>1954259.98</v>
      </c>
    </row>
    <row r="5411" customFormat="false" ht="15" hidden="false" customHeight="false" outlineLevel="0" collapsed="false">
      <c r="A5411" s="0" t="n">
        <v>80</v>
      </c>
      <c r="B5411" s="0" t="s">
        <v>60</v>
      </c>
      <c r="C5411" s="0" t="n">
        <v>2013</v>
      </c>
      <c r="D5411" s="0" t="n">
        <v>7</v>
      </c>
      <c r="E5411" s="38" t="n">
        <v>1908781.12</v>
      </c>
    </row>
    <row r="5412" customFormat="false" ht="15" hidden="false" customHeight="false" outlineLevel="0" collapsed="false">
      <c r="A5412" s="0" t="n">
        <v>80</v>
      </c>
      <c r="B5412" s="0" t="s">
        <v>60</v>
      </c>
      <c r="C5412" s="0" t="n">
        <v>2013</v>
      </c>
      <c r="D5412" s="0" t="n">
        <v>8</v>
      </c>
      <c r="E5412" s="38" t="n">
        <v>1817029.23</v>
      </c>
    </row>
    <row r="5413" customFormat="false" ht="15" hidden="false" customHeight="false" outlineLevel="0" collapsed="false">
      <c r="A5413" s="0" t="n">
        <v>80</v>
      </c>
      <c r="B5413" s="0" t="s">
        <v>62</v>
      </c>
      <c r="C5413" s="0" t="n">
        <v>2011</v>
      </c>
      <c r="D5413" s="0" t="n">
        <v>1</v>
      </c>
      <c r="E5413" s="38" t="n">
        <v>9533.77</v>
      </c>
    </row>
    <row r="5414" customFormat="false" ht="15" hidden="false" customHeight="false" outlineLevel="0" collapsed="false">
      <c r="A5414" s="0" t="n">
        <v>80</v>
      </c>
      <c r="B5414" s="0" t="s">
        <v>62</v>
      </c>
      <c r="C5414" s="0" t="n">
        <v>2011</v>
      </c>
      <c r="D5414" s="0" t="n">
        <v>2</v>
      </c>
      <c r="E5414" s="38" t="n">
        <v>8657.97</v>
      </c>
    </row>
    <row r="5415" customFormat="false" ht="15" hidden="false" customHeight="false" outlineLevel="0" collapsed="false">
      <c r="A5415" s="0" t="n">
        <v>80</v>
      </c>
      <c r="B5415" s="0" t="s">
        <v>62</v>
      </c>
      <c r="C5415" s="0" t="n">
        <v>2011</v>
      </c>
      <c r="D5415" s="0" t="n">
        <v>3</v>
      </c>
      <c r="E5415" s="38" t="n">
        <v>8956.7</v>
      </c>
    </row>
    <row r="5416" customFormat="false" ht="15" hidden="false" customHeight="false" outlineLevel="0" collapsed="false">
      <c r="A5416" s="0" t="n">
        <v>80</v>
      </c>
      <c r="B5416" s="0" t="s">
        <v>62</v>
      </c>
      <c r="C5416" s="0" t="n">
        <v>2011</v>
      </c>
      <c r="D5416" s="0" t="n">
        <v>4</v>
      </c>
      <c r="E5416" s="38" t="n">
        <v>8558.34</v>
      </c>
    </row>
    <row r="5417" customFormat="false" ht="15" hidden="false" customHeight="false" outlineLevel="0" collapsed="false">
      <c r="A5417" s="0" t="n">
        <v>80</v>
      </c>
      <c r="B5417" s="0" t="s">
        <v>62</v>
      </c>
      <c r="C5417" s="0" t="n">
        <v>2011</v>
      </c>
      <c r="D5417" s="0" t="n">
        <v>5</v>
      </c>
      <c r="E5417" s="38" t="n">
        <v>9673.34</v>
      </c>
    </row>
    <row r="5418" customFormat="false" ht="15" hidden="false" customHeight="false" outlineLevel="0" collapsed="false">
      <c r="A5418" s="0" t="n">
        <v>80</v>
      </c>
      <c r="B5418" s="0" t="s">
        <v>62</v>
      </c>
      <c r="C5418" s="0" t="n">
        <v>2011</v>
      </c>
      <c r="D5418" s="0" t="n">
        <v>6</v>
      </c>
      <c r="E5418" s="38" t="n">
        <v>9525.74</v>
      </c>
    </row>
    <row r="5419" customFormat="false" ht="15" hidden="false" customHeight="false" outlineLevel="0" collapsed="false">
      <c r="A5419" s="0" t="n">
        <v>80</v>
      </c>
      <c r="B5419" s="0" t="s">
        <v>62</v>
      </c>
      <c r="C5419" s="0" t="n">
        <v>2011</v>
      </c>
      <c r="D5419" s="0" t="n">
        <v>7</v>
      </c>
      <c r="E5419" s="38" t="n">
        <v>9957.48</v>
      </c>
    </row>
    <row r="5420" customFormat="false" ht="15" hidden="false" customHeight="false" outlineLevel="0" collapsed="false">
      <c r="A5420" s="0" t="n">
        <v>80</v>
      </c>
      <c r="B5420" s="0" t="s">
        <v>62</v>
      </c>
      <c r="C5420" s="0" t="n">
        <v>2011</v>
      </c>
      <c r="D5420" s="0" t="n">
        <v>8</v>
      </c>
      <c r="E5420" s="38" t="n">
        <v>9728.78</v>
      </c>
    </row>
    <row r="5421" customFormat="false" ht="15" hidden="false" customHeight="false" outlineLevel="0" collapsed="false">
      <c r="A5421" s="0" t="n">
        <v>80</v>
      </c>
      <c r="B5421" s="0" t="s">
        <v>62</v>
      </c>
      <c r="C5421" s="0" t="n">
        <v>2011</v>
      </c>
      <c r="D5421" s="0" t="n">
        <v>9</v>
      </c>
      <c r="E5421" s="38" t="n">
        <v>11302.64</v>
      </c>
    </row>
    <row r="5422" customFormat="false" ht="15" hidden="false" customHeight="false" outlineLevel="0" collapsed="false">
      <c r="A5422" s="0" t="n">
        <v>80</v>
      </c>
      <c r="B5422" s="0" t="s">
        <v>62</v>
      </c>
      <c r="C5422" s="0" t="n">
        <v>2011</v>
      </c>
      <c r="D5422" s="0" t="n">
        <v>10</v>
      </c>
      <c r="E5422" s="38" t="n">
        <v>11354.35</v>
      </c>
    </row>
    <row r="5423" customFormat="false" ht="15" hidden="false" customHeight="false" outlineLevel="0" collapsed="false">
      <c r="A5423" s="0" t="n">
        <v>80</v>
      </c>
      <c r="B5423" s="0" t="s">
        <v>62</v>
      </c>
      <c r="C5423" s="0" t="n">
        <v>2011</v>
      </c>
      <c r="D5423" s="0" t="n">
        <v>11</v>
      </c>
      <c r="E5423" s="38" t="n">
        <v>11709.55</v>
      </c>
    </row>
    <row r="5424" customFormat="false" ht="15" hidden="false" customHeight="false" outlineLevel="0" collapsed="false">
      <c r="A5424" s="0" t="n">
        <v>80</v>
      </c>
      <c r="B5424" s="0" t="s">
        <v>62</v>
      </c>
      <c r="C5424" s="0" t="n">
        <v>2011</v>
      </c>
      <c r="D5424" s="0" t="n">
        <v>12</v>
      </c>
      <c r="E5424" s="38" t="n">
        <v>15067.23</v>
      </c>
    </row>
    <row r="5425" customFormat="false" ht="15" hidden="false" customHeight="false" outlineLevel="0" collapsed="false">
      <c r="A5425" s="0" t="n">
        <v>80</v>
      </c>
      <c r="B5425" s="0" t="s">
        <v>62</v>
      </c>
      <c r="C5425" s="0" t="n">
        <v>2012</v>
      </c>
      <c r="D5425" s="0" t="n">
        <v>1</v>
      </c>
      <c r="E5425" s="38" t="n">
        <v>13559.22</v>
      </c>
    </row>
    <row r="5426" customFormat="false" ht="15" hidden="false" customHeight="false" outlineLevel="0" collapsed="false">
      <c r="A5426" s="0" t="n">
        <v>80</v>
      </c>
      <c r="B5426" s="0" t="s">
        <v>62</v>
      </c>
      <c r="C5426" s="0" t="n">
        <v>2012</v>
      </c>
      <c r="D5426" s="0" t="n">
        <v>2</v>
      </c>
      <c r="E5426" s="38" t="n">
        <v>20494.83</v>
      </c>
    </row>
    <row r="5427" customFormat="false" ht="15" hidden="false" customHeight="false" outlineLevel="0" collapsed="false">
      <c r="A5427" s="0" t="n">
        <v>80</v>
      </c>
      <c r="B5427" s="0" t="s">
        <v>62</v>
      </c>
      <c r="C5427" s="0" t="n">
        <v>2012</v>
      </c>
      <c r="D5427" s="0" t="n">
        <v>3</v>
      </c>
      <c r="E5427" s="38" t="n">
        <v>27712.45</v>
      </c>
    </row>
    <row r="5428" customFormat="false" ht="15" hidden="false" customHeight="false" outlineLevel="0" collapsed="false">
      <c r="A5428" s="0" t="n">
        <v>80</v>
      </c>
      <c r="B5428" s="0" t="s">
        <v>62</v>
      </c>
      <c r="C5428" s="0" t="n">
        <v>2012</v>
      </c>
      <c r="D5428" s="0" t="n">
        <v>4</v>
      </c>
      <c r="E5428" s="38" t="n">
        <v>31902.94</v>
      </c>
    </row>
    <row r="5429" customFormat="false" ht="15" hidden="false" customHeight="false" outlineLevel="0" collapsed="false">
      <c r="A5429" s="0" t="n">
        <v>80</v>
      </c>
      <c r="B5429" s="0" t="s">
        <v>62</v>
      </c>
      <c r="C5429" s="0" t="n">
        <v>2012</v>
      </c>
      <c r="D5429" s="0" t="n">
        <v>5</v>
      </c>
      <c r="E5429" s="38" t="n">
        <v>29842.98</v>
      </c>
    </row>
    <row r="5430" customFormat="false" ht="15" hidden="false" customHeight="false" outlineLevel="0" collapsed="false">
      <c r="A5430" s="0" t="n">
        <v>80</v>
      </c>
      <c r="B5430" s="0" t="s">
        <v>62</v>
      </c>
      <c r="C5430" s="0" t="n">
        <v>2012</v>
      </c>
      <c r="D5430" s="0" t="n">
        <v>6</v>
      </c>
      <c r="E5430" s="38" t="n">
        <v>29545.04</v>
      </c>
    </row>
    <row r="5431" customFormat="false" ht="15" hidden="false" customHeight="false" outlineLevel="0" collapsed="false">
      <c r="A5431" s="0" t="n">
        <v>80</v>
      </c>
      <c r="B5431" s="0" t="s">
        <v>62</v>
      </c>
      <c r="C5431" s="0" t="n">
        <v>2012</v>
      </c>
      <c r="D5431" s="0" t="n">
        <v>7</v>
      </c>
      <c r="E5431" s="38" t="n">
        <v>28852.61</v>
      </c>
    </row>
    <row r="5432" customFormat="false" ht="15" hidden="false" customHeight="false" outlineLevel="0" collapsed="false">
      <c r="A5432" s="0" t="n">
        <v>80</v>
      </c>
      <c r="B5432" s="0" t="s">
        <v>62</v>
      </c>
      <c r="C5432" s="0" t="n">
        <v>2012</v>
      </c>
      <c r="D5432" s="0" t="n">
        <v>8</v>
      </c>
      <c r="E5432" s="38" t="n">
        <v>30587.11</v>
      </c>
    </row>
    <row r="5433" customFormat="false" ht="15" hidden="false" customHeight="false" outlineLevel="0" collapsed="false">
      <c r="A5433" s="0" t="n">
        <v>80</v>
      </c>
      <c r="B5433" s="0" t="s">
        <v>62</v>
      </c>
      <c r="C5433" s="0" t="n">
        <v>2012</v>
      </c>
      <c r="D5433" s="0" t="n">
        <v>9</v>
      </c>
      <c r="E5433" s="38" t="n">
        <v>34833.61</v>
      </c>
    </row>
    <row r="5434" customFormat="false" ht="15" hidden="false" customHeight="false" outlineLevel="0" collapsed="false">
      <c r="A5434" s="0" t="n">
        <v>80</v>
      </c>
      <c r="B5434" s="0" t="s">
        <v>62</v>
      </c>
      <c r="C5434" s="0" t="n">
        <v>2012</v>
      </c>
      <c r="D5434" s="0" t="n">
        <v>10</v>
      </c>
      <c r="E5434" s="38" t="n">
        <v>34997.86</v>
      </c>
    </row>
    <row r="5435" customFormat="false" ht="15" hidden="false" customHeight="false" outlineLevel="0" collapsed="false">
      <c r="A5435" s="0" t="n">
        <v>80</v>
      </c>
      <c r="B5435" s="0" t="s">
        <v>62</v>
      </c>
      <c r="C5435" s="0" t="n">
        <v>2012</v>
      </c>
      <c r="D5435" s="0" t="n">
        <v>11</v>
      </c>
      <c r="E5435" s="38" t="n">
        <v>41872.53</v>
      </c>
    </row>
    <row r="5436" customFormat="false" ht="15" hidden="false" customHeight="false" outlineLevel="0" collapsed="false">
      <c r="A5436" s="0" t="n">
        <v>80</v>
      </c>
      <c r="B5436" s="0" t="s">
        <v>62</v>
      </c>
      <c r="C5436" s="0" t="n">
        <v>2012</v>
      </c>
      <c r="D5436" s="0" t="n">
        <v>12</v>
      </c>
      <c r="E5436" s="38" t="n">
        <v>39219.46</v>
      </c>
    </row>
    <row r="5437" customFormat="false" ht="15" hidden="false" customHeight="false" outlineLevel="0" collapsed="false">
      <c r="A5437" s="0" t="n">
        <v>80</v>
      </c>
      <c r="B5437" s="0" t="s">
        <v>62</v>
      </c>
      <c r="C5437" s="0" t="n">
        <v>2013</v>
      </c>
      <c r="D5437" s="0" t="n">
        <v>1</v>
      </c>
      <c r="E5437" s="38" t="n">
        <v>36259.65</v>
      </c>
    </row>
    <row r="5438" customFormat="false" ht="15" hidden="false" customHeight="false" outlineLevel="0" collapsed="false">
      <c r="A5438" s="0" t="n">
        <v>80</v>
      </c>
      <c r="B5438" s="0" t="s">
        <v>62</v>
      </c>
      <c r="C5438" s="0" t="n">
        <v>2013</v>
      </c>
      <c r="D5438" s="0" t="n">
        <v>2</v>
      </c>
      <c r="E5438" s="38" t="n">
        <v>33912.18</v>
      </c>
    </row>
    <row r="5439" customFormat="false" ht="15" hidden="false" customHeight="false" outlineLevel="0" collapsed="false">
      <c r="A5439" s="0" t="n">
        <v>80</v>
      </c>
      <c r="B5439" s="0" t="s">
        <v>62</v>
      </c>
      <c r="C5439" s="0" t="n">
        <v>2013</v>
      </c>
      <c r="D5439" s="0" t="n">
        <v>3</v>
      </c>
      <c r="E5439" s="38" t="n">
        <v>32101.17</v>
      </c>
    </row>
    <row r="5440" customFormat="false" ht="15" hidden="false" customHeight="false" outlineLevel="0" collapsed="false">
      <c r="A5440" s="0" t="n">
        <v>80</v>
      </c>
      <c r="B5440" s="0" t="s">
        <v>62</v>
      </c>
      <c r="C5440" s="0" t="n">
        <v>2013</v>
      </c>
      <c r="D5440" s="0" t="n">
        <v>4</v>
      </c>
      <c r="E5440" s="38" t="n">
        <v>34371.86</v>
      </c>
    </row>
    <row r="5441" customFormat="false" ht="15" hidden="false" customHeight="false" outlineLevel="0" collapsed="false">
      <c r="A5441" s="0" t="n">
        <v>80</v>
      </c>
      <c r="B5441" s="0" t="s">
        <v>62</v>
      </c>
      <c r="C5441" s="0" t="n">
        <v>2013</v>
      </c>
      <c r="D5441" s="0" t="n">
        <v>5</v>
      </c>
      <c r="E5441" s="38" t="n">
        <v>35396.51</v>
      </c>
    </row>
    <row r="5442" customFormat="false" ht="15" hidden="false" customHeight="false" outlineLevel="0" collapsed="false">
      <c r="A5442" s="0" t="n">
        <v>80</v>
      </c>
      <c r="B5442" s="0" t="s">
        <v>62</v>
      </c>
      <c r="C5442" s="0" t="n">
        <v>2013</v>
      </c>
      <c r="D5442" s="0" t="n">
        <v>6</v>
      </c>
      <c r="E5442" s="38" t="n">
        <v>35543.64</v>
      </c>
    </row>
    <row r="5443" customFormat="false" ht="15" hidden="false" customHeight="false" outlineLevel="0" collapsed="false">
      <c r="A5443" s="0" t="n">
        <v>80</v>
      </c>
      <c r="B5443" s="0" t="s">
        <v>62</v>
      </c>
      <c r="C5443" s="0" t="n">
        <v>2013</v>
      </c>
      <c r="D5443" s="0" t="n">
        <v>7</v>
      </c>
      <c r="E5443" s="38" t="n">
        <v>36392.09</v>
      </c>
    </row>
    <row r="5444" customFormat="false" ht="15" hidden="false" customHeight="false" outlineLevel="0" collapsed="false">
      <c r="A5444" s="0" t="n">
        <v>80</v>
      </c>
      <c r="B5444" s="0" t="s">
        <v>62</v>
      </c>
      <c r="C5444" s="0" t="n">
        <v>2013</v>
      </c>
      <c r="D5444" s="0" t="n">
        <v>8</v>
      </c>
      <c r="E5444" s="38" t="n">
        <v>33264.45</v>
      </c>
    </row>
    <row r="5445" customFormat="false" ht="15" hidden="false" customHeight="false" outlineLevel="0" collapsed="false">
      <c r="A5445" s="0" t="n">
        <v>80</v>
      </c>
      <c r="B5445" s="0" t="s">
        <v>64</v>
      </c>
      <c r="C5445" s="0" t="n">
        <v>2011</v>
      </c>
      <c r="D5445" s="0" t="n">
        <v>1</v>
      </c>
      <c r="E5445" s="38" t="n">
        <v>267364.72</v>
      </c>
    </row>
    <row r="5446" customFormat="false" ht="15" hidden="false" customHeight="false" outlineLevel="0" collapsed="false">
      <c r="A5446" s="0" t="n">
        <v>80</v>
      </c>
      <c r="B5446" s="0" t="s">
        <v>64</v>
      </c>
      <c r="C5446" s="0" t="n">
        <v>2011</v>
      </c>
      <c r="D5446" s="0" t="n">
        <v>2</v>
      </c>
      <c r="E5446" s="38" t="n">
        <v>298077.15</v>
      </c>
    </row>
    <row r="5447" customFormat="false" ht="15" hidden="false" customHeight="false" outlineLevel="0" collapsed="false">
      <c r="A5447" s="0" t="n">
        <v>80</v>
      </c>
      <c r="B5447" s="0" t="s">
        <v>64</v>
      </c>
      <c r="C5447" s="0" t="n">
        <v>2011</v>
      </c>
      <c r="D5447" s="0" t="n">
        <v>3</v>
      </c>
      <c r="E5447" s="38" t="n">
        <v>289909.78</v>
      </c>
    </row>
    <row r="5448" customFormat="false" ht="15" hidden="false" customHeight="false" outlineLevel="0" collapsed="false">
      <c r="A5448" s="0" t="n">
        <v>80</v>
      </c>
      <c r="B5448" s="0" t="s">
        <v>64</v>
      </c>
      <c r="C5448" s="0" t="n">
        <v>2011</v>
      </c>
      <c r="D5448" s="0" t="n">
        <v>4</v>
      </c>
      <c r="E5448" s="38" t="n">
        <v>296639.39</v>
      </c>
    </row>
    <row r="5449" customFormat="false" ht="15" hidden="false" customHeight="false" outlineLevel="0" collapsed="false">
      <c r="A5449" s="0" t="n">
        <v>80</v>
      </c>
      <c r="B5449" s="0" t="s">
        <v>64</v>
      </c>
      <c r="C5449" s="0" t="n">
        <v>2011</v>
      </c>
      <c r="D5449" s="0" t="n">
        <v>5</v>
      </c>
      <c r="E5449" s="38" t="n">
        <v>270663.28</v>
      </c>
    </row>
    <row r="5450" customFormat="false" ht="15" hidden="false" customHeight="false" outlineLevel="0" collapsed="false">
      <c r="A5450" s="0" t="n">
        <v>80</v>
      </c>
      <c r="B5450" s="0" t="s">
        <v>64</v>
      </c>
      <c r="C5450" s="0" t="n">
        <v>2011</v>
      </c>
      <c r="D5450" s="0" t="n">
        <v>6</v>
      </c>
      <c r="E5450" s="38" t="n">
        <v>295030.77</v>
      </c>
    </row>
    <row r="5451" customFormat="false" ht="15" hidden="false" customHeight="false" outlineLevel="0" collapsed="false">
      <c r="A5451" s="0" t="n">
        <v>80</v>
      </c>
      <c r="B5451" s="0" t="s">
        <v>64</v>
      </c>
      <c r="C5451" s="0" t="n">
        <v>2011</v>
      </c>
      <c r="D5451" s="0" t="n">
        <v>7</v>
      </c>
      <c r="E5451" s="38" t="n">
        <v>303696.79</v>
      </c>
    </row>
    <row r="5452" customFormat="false" ht="15" hidden="false" customHeight="false" outlineLevel="0" collapsed="false">
      <c r="A5452" s="0" t="n">
        <v>80</v>
      </c>
      <c r="B5452" s="0" t="s">
        <v>64</v>
      </c>
      <c r="C5452" s="0" t="n">
        <v>2011</v>
      </c>
      <c r="D5452" s="0" t="n">
        <v>8</v>
      </c>
      <c r="E5452" s="38" t="n">
        <v>290923.39</v>
      </c>
    </row>
    <row r="5453" customFormat="false" ht="15" hidden="false" customHeight="false" outlineLevel="0" collapsed="false">
      <c r="A5453" s="0" t="n">
        <v>80</v>
      </c>
      <c r="B5453" s="0" t="s">
        <v>64</v>
      </c>
      <c r="C5453" s="0" t="n">
        <v>2011</v>
      </c>
      <c r="D5453" s="0" t="n">
        <v>9</v>
      </c>
      <c r="E5453" s="38" t="n">
        <v>297211.75</v>
      </c>
    </row>
    <row r="5454" customFormat="false" ht="15" hidden="false" customHeight="false" outlineLevel="0" collapsed="false">
      <c r="A5454" s="0" t="n">
        <v>80</v>
      </c>
      <c r="B5454" s="0" t="s">
        <v>64</v>
      </c>
      <c r="C5454" s="0" t="n">
        <v>2011</v>
      </c>
      <c r="D5454" s="0" t="n">
        <v>10</v>
      </c>
      <c r="E5454" s="38" t="n">
        <v>272579.89</v>
      </c>
    </row>
    <row r="5455" customFormat="false" ht="15" hidden="false" customHeight="false" outlineLevel="0" collapsed="false">
      <c r="A5455" s="0" t="n">
        <v>80</v>
      </c>
      <c r="B5455" s="0" t="s">
        <v>64</v>
      </c>
      <c r="C5455" s="0" t="n">
        <v>2011</v>
      </c>
      <c r="D5455" s="0" t="n">
        <v>11</v>
      </c>
      <c r="E5455" s="38" t="n">
        <v>279052.59</v>
      </c>
    </row>
    <row r="5456" customFormat="false" ht="15" hidden="false" customHeight="false" outlineLevel="0" collapsed="false">
      <c r="A5456" s="0" t="n">
        <v>80</v>
      </c>
      <c r="B5456" s="0" t="s">
        <v>64</v>
      </c>
      <c r="C5456" s="0" t="n">
        <v>2011</v>
      </c>
      <c r="D5456" s="0" t="n">
        <v>12</v>
      </c>
      <c r="E5456" s="38" t="n">
        <v>292130.55</v>
      </c>
    </row>
    <row r="5457" customFormat="false" ht="15" hidden="false" customHeight="false" outlineLevel="0" collapsed="false">
      <c r="A5457" s="0" t="n">
        <v>80</v>
      </c>
      <c r="B5457" s="0" t="s">
        <v>64</v>
      </c>
      <c r="C5457" s="0" t="n">
        <v>2012</v>
      </c>
      <c r="D5457" s="0" t="n">
        <v>1</v>
      </c>
      <c r="E5457" s="38" t="n">
        <v>267862.35</v>
      </c>
    </row>
    <row r="5458" customFormat="false" ht="15" hidden="false" customHeight="false" outlineLevel="0" collapsed="false">
      <c r="A5458" s="0" t="n">
        <v>80</v>
      </c>
      <c r="B5458" s="0" t="s">
        <v>64</v>
      </c>
      <c r="C5458" s="0" t="n">
        <v>2012</v>
      </c>
      <c r="D5458" s="0" t="n">
        <v>2</v>
      </c>
      <c r="E5458" s="38" t="n">
        <v>288539.27</v>
      </c>
    </row>
    <row r="5459" customFormat="false" ht="15" hidden="false" customHeight="false" outlineLevel="0" collapsed="false">
      <c r="A5459" s="0" t="n">
        <v>80</v>
      </c>
      <c r="B5459" s="0" t="s">
        <v>64</v>
      </c>
      <c r="C5459" s="0" t="n">
        <v>2012</v>
      </c>
      <c r="D5459" s="0" t="n">
        <v>3</v>
      </c>
      <c r="E5459" s="38" t="n">
        <v>290357.46</v>
      </c>
    </row>
    <row r="5460" customFormat="false" ht="15" hidden="false" customHeight="false" outlineLevel="0" collapsed="false">
      <c r="A5460" s="0" t="n">
        <v>80</v>
      </c>
      <c r="B5460" s="0" t="s">
        <v>64</v>
      </c>
      <c r="C5460" s="0" t="n">
        <v>2012</v>
      </c>
      <c r="D5460" s="0" t="n">
        <v>4</v>
      </c>
      <c r="E5460" s="38" t="n">
        <v>301703.81</v>
      </c>
    </row>
    <row r="5461" customFormat="false" ht="15" hidden="false" customHeight="false" outlineLevel="0" collapsed="false">
      <c r="A5461" s="0" t="n">
        <v>80</v>
      </c>
      <c r="B5461" s="0" t="s">
        <v>64</v>
      </c>
      <c r="C5461" s="0" t="n">
        <v>2012</v>
      </c>
      <c r="D5461" s="0" t="n">
        <v>5</v>
      </c>
      <c r="E5461" s="38" t="n">
        <v>280491.27</v>
      </c>
    </row>
    <row r="5462" customFormat="false" ht="15" hidden="false" customHeight="false" outlineLevel="0" collapsed="false">
      <c r="A5462" s="0" t="n">
        <v>80</v>
      </c>
      <c r="B5462" s="0" t="s">
        <v>64</v>
      </c>
      <c r="C5462" s="0" t="n">
        <v>2012</v>
      </c>
      <c r="D5462" s="0" t="n">
        <v>6</v>
      </c>
      <c r="E5462" s="38" t="n">
        <v>266222.12</v>
      </c>
    </row>
    <row r="5463" customFormat="false" ht="15" hidden="false" customHeight="false" outlineLevel="0" collapsed="false">
      <c r="A5463" s="0" t="n">
        <v>80</v>
      </c>
      <c r="B5463" s="0" t="s">
        <v>64</v>
      </c>
      <c r="C5463" s="0" t="n">
        <v>2012</v>
      </c>
      <c r="D5463" s="0" t="n">
        <v>7</v>
      </c>
      <c r="E5463" s="38" t="n">
        <v>254778.36</v>
      </c>
    </row>
    <row r="5464" customFormat="false" ht="15" hidden="false" customHeight="false" outlineLevel="0" collapsed="false">
      <c r="A5464" s="0" t="n">
        <v>80</v>
      </c>
      <c r="B5464" s="0" t="s">
        <v>64</v>
      </c>
      <c r="C5464" s="0" t="n">
        <v>2012</v>
      </c>
      <c r="D5464" s="0" t="n">
        <v>8</v>
      </c>
      <c r="E5464" s="38" t="n">
        <v>277707.98</v>
      </c>
    </row>
    <row r="5465" customFormat="false" ht="15" hidden="false" customHeight="false" outlineLevel="0" collapsed="false">
      <c r="A5465" s="0" t="n">
        <v>80</v>
      </c>
      <c r="B5465" s="0" t="s">
        <v>64</v>
      </c>
      <c r="C5465" s="0" t="n">
        <v>2012</v>
      </c>
      <c r="D5465" s="0" t="n">
        <v>9</v>
      </c>
      <c r="E5465" s="38" t="n">
        <v>292976.63</v>
      </c>
    </row>
    <row r="5466" customFormat="false" ht="15" hidden="false" customHeight="false" outlineLevel="0" collapsed="false">
      <c r="A5466" s="0" t="n">
        <v>80</v>
      </c>
      <c r="B5466" s="0" t="s">
        <v>64</v>
      </c>
      <c r="C5466" s="0" t="n">
        <v>2012</v>
      </c>
      <c r="D5466" s="0" t="n">
        <v>10</v>
      </c>
      <c r="E5466" s="38" t="n">
        <v>274776.85</v>
      </c>
    </row>
    <row r="5467" customFormat="false" ht="15" hidden="false" customHeight="false" outlineLevel="0" collapsed="false">
      <c r="A5467" s="0" t="n">
        <v>80</v>
      </c>
      <c r="B5467" s="0" t="s">
        <v>64</v>
      </c>
      <c r="C5467" s="0" t="n">
        <v>2012</v>
      </c>
      <c r="D5467" s="0" t="n">
        <v>11</v>
      </c>
      <c r="E5467" s="38" t="n">
        <v>273799.54</v>
      </c>
    </row>
    <row r="5468" customFormat="false" ht="15" hidden="false" customHeight="false" outlineLevel="0" collapsed="false">
      <c r="A5468" s="0" t="n">
        <v>80</v>
      </c>
      <c r="B5468" s="0" t="s">
        <v>64</v>
      </c>
      <c r="C5468" s="0" t="n">
        <v>2012</v>
      </c>
      <c r="D5468" s="0" t="n">
        <v>12</v>
      </c>
      <c r="E5468" s="38" t="n">
        <v>300178.94</v>
      </c>
    </row>
    <row r="5469" customFormat="false" ht="15" hidden="false" customHeight="false" outlineLevel="0" collapsed="false">
      <c r="A5469" s="0" t="n">
        <v>80</v>
      </c>
      <c r="B5469" s="0" t="s">
        <v>64</v>
      </c>
      <c r="C5469" s="0" t="n">
        <v>2013</v>
      </c>
      <c r="D5469" s="0" t="n">
        <v>1</v>
      </c>
      <c r="E5469" s="38" t="n">
        <v>284436.65</v>
      </c>
    </row>
    <row r="5470" customFormat="false" ht="15" hidden="false" customHeight="false" outlineLevel="0" collapsed="false">
      <c r="A5470" s="0" t="n">
        <v>80</v>
      </c>
      <c r="B5470" s="0" t="s">
        <v>64</v>
      </c>
      <c r="C5470" s="0" t="n">
        <v>2013</v>
      </c>
      <c r="D5470" s="0" t="n">
        <v>2</v>
      </c>
      <c r="E5470" s="38" t="n">
        <v>295491.3</v>
      </c>
    </row>
    <row r="5471" customFormat="false" ht="15" hidden="false" customHeight="false" outlineLevel="0" collapsed="false">
      <c r="A5471" s="0" t="n">
        <v>80</v>
      </c>
      <c r="B5471" s="0" t="s">
        <v>64</v>
      </c>
      <c r="C5471" s="0" t="n">
        <v>2013</v>
      </c>
      <c r="D5471" s="0" t="n">
        <v>3</v>
      </c>
      <c r="E5471" s="38" t="n">
        <v>290144.29</v>
      </c>
    </row>
    <row r="5472" customFormat="false" ht="15" hidden="false" customHeight="false" outlineLevel="0" collapsed="false">
      <c r="A5472" s="0" t="n">
        <v>80</v>
      </c>
      <c r="B5472" s="0" t="s">
        <v>64</v>
      </c>
      <c r="C5472" s="0" t="n">
        <v>2013</v>
      </c>
      <c r="D5472" s="0" t="n">
        <v>4</v>
      </c>
      <c r="E5472" s="38" t="n">
        <v>297100.41</v>
      </c>
    </row>
    <row r="5473" customFormat="false" ht="15" hidden="false" customHeight="false" outlineLevel="0" collapsed="false">
      <c r="A5473" s="0" t="n">
        <v>80</v>
      </c>
      <c r="B5473" s="0" t="s">
        <v>64</v>
      </c>
      <c r="C5473" s="0" t="n">
        <v>2013</v>
      </c>
      <c r="D5473" s="0" t="n">
        <v>5</v>
      </c>
      <c r="E5473" s="38" t="n">
        <v>282598.97</v>
      </c>
    </row>
    <row r="5474" customFormat="false" ht="15" hidden="false" customHeight="false" outlineLevel="0" collapsed="false">
      <c r="A5474" s="0" t="n">
        <v>80</v>
      </c>
      <c r="B5474" s="0" t="s">
        <v>64</v>
      </c>
      <c r="C5474" s="0" t="n">
        <v>2013</v>
      </c>
      <c r="D5474" s="0" t="n">
        <v>6</v>
      </c>
      <c r="E5474" s="38" t="n">
        <v>292382.72</v>
      </c>
    </row>
    <row r="5475" customFormat="false" ht="15" hidden="false" customHeight="false" outlineLevel="0" collapsed="false">
      <c r="A5475" s="0" t="n">
        <v>80</v>
      </c>
      <c r="B5475" s="0" t="s">
        <v>64</v>
      </c>
      <c r="C5475" s="0" t="n">
        <v>2013</v>
      </c>
      <c r="D5475" s="0" t="n">
        <v>7</v>
      </c>
      <c r="E5475" s="38" t="n">
        <v>292643.13</v>
      </c>
    </row>
    <row r="5476" customFormat="false" ht="15" hidden="false" customHeight="false" outlineLevel="0" collapsed="false">
      <c r="A5476" s="0" t="n">
        <v>80</v>
      </c>
      <c r="B5476" s="0" t="s">
        <v>64</v>
      </c>
      <c r="C5476" s="0" t="n">
        <v>2013</v>
      </c>
      <c r="D5476" s="0" t="n">
        <v>8</v>
      </c>
      <c r="E5476" s="38" t="n">
        <v>286972.37</v>
      </c>
    </row>
    <row r="5477" customFormat="false" ht="15" hidden="false" customHeight="false" outlineLevel="0" collapsed="false">
      <c r="A5477" s="0" t="n">
        <v>81</v>
      </c>
      <c r="B5477" s="0" t="s">
        <v>60</v>
      </c>
      <c r="C5477" s="0" t="n">
        <v>2011</v>
      </c>
      <c r="D5477" s="0" t="n">
        <v>1</v>
      </c>
      <c r="E5477" s="38" t="n">
        <v>1931504.26</v>
      </c>
    </row>
    <row r="5478" customFormat="false" ht="15" hidden="false" customHeight="false" outlineLevel="0" collapsed="false">
      <c r="A5478" s="0" t="n">
        <v>81</v>
      </c>
      <c r="B5478" s="0" t="s">
        <v>60</v>
      </c>
      <c r="C5478" s="0" t="n">
        <v>2011</v>
      </c>
      <c r="D5478" s="0" t="n">
        <v>2</v>
      </c>
      <c r="E5478" s="38" t="n">
        <v>2116676.84</v>
      </c>
    </row>
    <row r="5479" customFormat="false" ht="15" hidden="false" customHeight="false" outlineLevel="0" collapsed="false">
      <c r="A5479" s="0" t="n">
        <v>81</v>
      </c>
      <c r="B5479" s="0" t="s">
        <v>60</v>
      </c>
      <c r="C5479" s="0" t="n">
        <v>2011</v>
      </c>
      <c r="D5479" s="0" t="n">
        <v>3</v>
      </c>
      <c r="E5479" s="38" t="n">
        <v>2071127.79</v>
      </c>
    </row>
    <row r="5480" customFormat="false" ht="15" hidden="false" customHeight="false" outlineLevel="0" collapsed="false">
      <c r="A5480" s="0" t="n">
        <v>81</v>
      </c>
      <c r="B5480" s="0" t="s">
        <v>60</v>
      </c>
      <c r="C5480" s="0" t="n">
        <v>2011</v>
      </c>
      <c r="D5480" s="0" t="n">
        <v>4</v>
      </c>
      <c r="E5480" s="38" t="n">
        <v>2257065.94</v>
      </c>
    </row>
    <row r="5481" customFormat="false" ht="15" hidden="false" customHeight="false" outlineLevel="0" collapsed="false">
      <c r="A5481" s="0" t="n">
        <v>81</v>
      </c>
      <c r="B5481" s="0" t="s">
        <v>60</v>
      </c>
      <c r="C5481" s="0" t="n">
        <v>2011</v>
      </c>
      <c r="D5481" s="0" t="n">
        <v>5</v>
      </c>
      <c r="E5481" s="38" t="n">
        <v>2226863.21</v>
      </c>
    </row>
    <row r="5482" customFormat="false" ht="15" hidden="false" customHeight="false" outlineLevel="0" collapsed="false">
      <c r="A5482" s="0" t="n">
        <v>81</v>
      </c>
      <c r="B5482" s="0" t="s">
        <v>60</v>
      </c>
      <c r="C5482" s="0" t="n">
        <v>2011</v>
      </c>
      <c r="D5482" s="0" t="n">
        <v>6</v>
      </c>
      <c r="E5482" s="38" t="n">
        <v>2250815.66</v>
      </c>
    </row>
    <row r="5483" customFormat="false" ht="15" hidden="false" customHeight="false" outlineLevel="0" collapsed="false">
      <c r="A5483" s="0" t="n">
        <v>81</v>
      </c>
      <c r="B5483" s="0" t="s">
        <v>60</v>
      </c>
      <c r="C5483" s="0" t="n">
        <v>2011</v>
      </c>
      <c r="D5483" s="0" t="n">
        <v>7</v>
      </c>
      <c r="E5483" s="38" t="n">
        <v>2236440.87</v>
      </c>
    </row>
    <row r="5484" customFormat="false" ht="15" hidden="false" customHeight="false" outlineLevel="0" collapsed="false">
      <c r="A5484" s="0" t="n">
        <v>81</v>
      </c>
      <c r="B5484" s="0" t="s">
        <v>60</v>
      </c>
      <c r="C5484" s="0" t="n">
        <v>2011</v>
      </c>
      <c r="D5484" s="0" t="n">
        <v>8</v>
      </c>
      <c r="E5484" s="38" t="n">
        <v>2077392.65</v>
      </c>
    </row>
    <row r="5485" customFormat="false" ht="15" hidden="false" customHeight="false" outlineLevel="0" collapsed="false">
      <c r="A5485" s="0" t="n">
        <v>81</v>
      </c>
      <c r="B5485" s="0" t="s">
        <v>60</v>
      </c>
      <c r="C5485" s="0" t="n">
        <v>2011</v>
      </c>
      <c r="D5485" s="0" t="n">
        <v>9</v>
      </c>
      <c r="E5485" s="38" t="n">
        <v>2094172.9</v>
      </c>
    </row>
    <row r="5486" customFormat="false" ht="15" hidden="false" customHeight="false" outlineLevel="0" collapsed="false">
      <c r="A5486" s="0" t="n">
        <v>81</v>
      </c>
      <c r="B5486" s="0" t="s">
        <v>60</v>
      </c>
      <c r="C5486" s="0" t="n">
        <v>2011</v>
      </c>
      <c r="D5486" s="0" t="n">
        <v>10</v>
      </c>
      <c r="E5486" s="38" t="n">
        <v>2062138.26</v>
      </c>
    </row>
    <row r="5487" customFormat="false" ht="15" hidden="false" customHeight="false" outlineLevel="0" collapsed="false">
      <c r="A5487" s="0" t="n">
        <v>81</v>
      </c>
      <c r="B5487" s="0" t="s">
        <v>60</v>
      </c>
      <c r="C5487" s="0" t="n">
        <v>2011</v>
      </c>
      <c r="D5487" s="0" t="n">
        <v>11</v>
      </c>
      <c r="E5487" s="38" t="n">
        <v>2045795.69</v>
      </c>
    </row>
    <row r="5488" customFormat="false" ht="15" hidden="false" customHeight="false" outlineLevel="0" collapsed="false">
      <c r="A5488" s="0" t="n">
        <v>81</v>
      </c>
      <c r="B5488" s="0" t="s">
        <v>60</v>
      </c>
      <c r="C5488" s="0" t="n">
        <v>2011</v>
      </c>
      <c r="D5488" s="0" t="n">
        <v>12</v>
      </c>
      <c r="E5488" s="38" t="n">
        <v>2147812.74</v>
      </c>
    </row>
    <row r="5489" customFormat="false" ht="15" hidden="false" customHeight="false" outlineLevel="0" collapsed="false">
      <c r="A5489" s="0" t="n">
        <v>81</v>
      </c>
      <c r="B5489" s="0" t="s">
        <v>60</v>
      </c>
      <c r="C5489" s="0" t="n">
        <v>2012</v>
      </c>
      <c r="D5489" s="0" t="n">
        <v>1</v>
      </c>
      <c r="E5489" s="38" t="n">
        <v>1963425.09</v>
      </c>
    </row>
    <row r="5490" customFormat="false" ht="15" hidden="false" customHeight="false" outlineLevel="0" collapsed="false">
      <c r="A5490" s="0" t="n">
        <v>81</v>
      </c>
      <c r="B5490" s="0" t="s">
        <v>60</v>
      </c>
      <c r="C5490" s="0" t="n">
        <v>2012</v>
      </c>
      <c r="D5490" s="0" t="n">
        <v>2</v>
      </c>
      <c r="E5490" s="38" t="n">
        <v>2145429.46</v>
      </c>
    </row>
    <row r="5491" customFormat="false" ht="15" hidden="false" customHeight="false" outlineLevel="0" collapsed="false">
      <c r="A5491" s="0" t="n">
        <v>81</v>
      </c>
      <c r="B5491" s="0" t="s">
        <v>60</v>
      </c>
      <c r="C5491" s="0" t="n">
        <v>2012</v>
      </c>
      <c r="D5491" s="0" t="n">
        <v>3</v>
      </c>
      <c r="E5491" s="38" t="n">
        <v>2079877.21</v>
      </c>
    </row>
    <row r="5492" customFormat="false" ht="15" hidden="false" customHeight="false" outlineLevel="0" collapsed="false">
      <c r="A5492" s="0" t="n">
        <v>81</v>
      </c>
      <c r="B5492" s="0" t="s">
        <v>60</v>
      </c>
      <c r="C5492" s="0" t="n">
        <v>2012</v>
      </c>
      <c r="D5492" s="0" t="n">
        <v>4</v>
      </c>
      <c r="E5492" s="38" t="n">
        <v>2231323.83</v>
      </c>
    </row>
    <row r="5493" customFormat="false" ht="15" hidden="false" customHeight="false" outlineLevel="0" collapsed="false">
      <c r="A5493" s="0" t="n">
        <v>81</v>
      </c>
      <c r="B5493" s="0" t="s">
        <v>60</v>
      </c>
      <c r="C5493" s="0" t="n">
        <v>2012</v>
      </c>
      <c r="D5493" s="0" t="n">
        <v>5</v>
      </c>
      <c r="E5493" s="38" t="n">
        <v>2208465.97</v>
      </c>
    </row>
    <row r="5494" customFormat="false" ht="15" hidden="false" customHeight="false" outlineLevel="0" collapsed="false">
      <c r="A5494" s="0" t="n">
        <v>81</v>
      </c>
      <c r="B5494" s="0" t="s">
        <v>60</v>
      </c>
      <c r="C5494" s="0" t="n">
        <v>2012</v>
      </c>
      <c r="D5494" s="0" t="n">
        <v>6</v>
      </c>
      <c r="E5494" s="38" t="n">
        <v>2276700.61</v>
      </c>
    </row>
    <row r="5495" customFormat="false" ht="15" hidden="false" customHeight="false" outlineLevel="0" collapsed="false">
      <c r="A5495" s="0" t="n">
        <v>81</v>
      </c>
      <c r="B5495" s="0" t="s">
        <v>60</v>
      </c>
      <c r="C5495" s="0" t="n">
        <v>2012</v>
      </c>
      <c r="D5495" s="0" t="n">
        <v>7</v>
      </c>
      <c r="E5495" s="38" t="n">
        <v>2301468.47</v>
      </c>
    </row>
    <row r="5496" customFormat="false" ht="15" hidden="false" customHeight="false" outlineLevel="0" collapsed="false">
      <c r="A5496" s="0" t="n">
        <v>81</v>
      </c>
      <c r="B5496" s="0" t="s">
        <v>60</v>
      </c>
      <c r="C5496" s="0" t="n">
        <v>2012</v>
      </c>
      <c r="D5496" s="0" t="n">
        <v>8</v>
      </c>
      <c r="E5496" s="38" t="n">
        <v>2135570.09</v>
      </c>
    </row>
    <row r="5497" customFormat="false" ht="15" hidden="false" customHeight="false" outlineLevel="0" collapsed="false">
      <c r="A5497" s="0" t="n">
        <v>81</v>
      </c>
      <c r="B5497" s="0" t="s">
        <v>60</v>
      </c>
      <c r="C5497" s="0" t="n">
        <v>2012</v>
      </c>
      <c r="D5497" s="0" t="n">
        <v>9</v>
      </c>
      <c r="E5497" s="38" t="n">
        <v>2176648.04</v>
      </c>
    </row>
    <row r="5498" customFormat="false" ht="15" hidden="false" customHeight="false" outlineLevel="0" collapsed="false">
      <c r="A5498" s="0" t="n">
        <v>81</v>
      </c>
      <c r="B5498" s="0" t="s">
        <v>60</v>
      </c>
      <c r="C5498" s="0" t="n">
        <v>2012</v>
      </c>
      <c r="D5498" s="0" t="n">
        <v>10</v>
      </c>
      <c r="E5498" s="38" t="n">
        <v>2093751.03</v>
      </c>
    </row>
    <row r="5499" customFormat="false" ht="15" hidden="false" customHeight="false" outlineLevel="0" collapsed="false">
      <c r="A5499" s="0" t="n">
        <v>81</v>
      </c>
      <c r="B5499" s="0" t="s">
        <v>60</v>
      </c>
      <c r="C5499" s="0" t="n">
        <v>2012</v>
      </c>
      <c r="D5499" s="0" t="n">
        <v>11</v>
      </c>
      <c r="E5499" s="38" t="n">
        <v>2070621.92</v>
      </c>
    </row>
    <row r="5500" customFormat="false" ht="15" hidden="false" customHeight="false" outlineLevel="0" collapsed="false">
      <c r="A5500" s="0" t="n">
        <v>81</v>
      </c>
      <c r="B5500" s="0" t="s">
        <v>60</v>
      </c>
      <c r="C5500" s="0" t="n">
        <v>2012</v>
      </c>
      <c r="D5500" s="0" t="n">
        <v>12</v>
      </c>
      <c r="E5500" s="38" t="n">
        <v>2152547.09</v>
      </c>
    </row>
    <row r="5501" customFormat="false" ht="15" hidden="false" customHeight="false" outlineLevel="0" collapsed="false">
      <c r="A5501" s="0" t="n">
        <v>81</v>
      </c>
      <c r="B5501" s="0" t="s">
        <v>60</v>
      </c>
      <c r="C5501" s="0" t="n">
        <v>2013</v>
      </c>
      <c r="D5501" s="0" t="n">
        <v>1</v>
      </c>
      <c r="E5501" s="38" t="n">
        <v>2037578.31</v>
      </c>
    </row>
    <row r="5502" customFormat="false" ht="15" hidden="false" customHeight="false" outlineLevel="0" collapsed="false">
      <c r="A5502" s="0" t="n">
        <v>81</v>
      </c>
      <c r="B5502" s="0" t="s">
        <v>60</v>
      </c>
      <c r="C5502" s="0" t="n">
        <v>2013</v>
      </c>
      <c r="D5502" s="0" t="n">
        <v>2</v>
      </c>
      <c r="E5502" s="38" t="n">
        <v>2189650.11</v>
      </c>
    </row>
    <row r="5503" customFormat="false" ht="15" hidden="false" customHeight="false" outlineLevel="0" collapsed="false">
      <c r="A5503" s="0" t="n">
        <v>81</v>
      </c>
      <c r="B5503" s="0" t="s">
        <v>60</v>
      </c>
      <c r="C5503" s="0" t="n">
        <v>2013</v>
      </c>
      <c r="D5503" s="0" t="n">
        <v>3</v>
      </c>
      <c r="E5503" s="38" t="n">
        <v>2159060.31</v>
      </c>
    </row>
    <row r="5504" customFormat="false" ht="15" hidden="false" customHeight="false" outlineLevel="0" collapsed="false">
      <c r="A5504" s="0" t="n">
        <v>81</v>
      </c>
      <c r="B5504" s="0" t="s">
        <v>60</v>
      </c>
      <c r="C5504" s="0" t="n">
        <v>2013</v>
      </c>
      <c r="D5504" s="0" t="n">
        <v>4</v>
      </c>
      <c r="E5504" s="38" t="n">
        <v>2287122.38</v>
      </c>
    </row>
    <row r="5505" customFormat="false" ht="15" hidden="false" customHeight="false" outlineLevel="0" collapsed="false">
      <c r="A5505" s="0" t="n">
        <v>81</v>
      </c>
      <c r="B5505" s="0" t="s">
        <v>60</v>
      </c>
      <c r="C5505" s="0" t="n">
        <v>2013</v>
      </c>
      <c r="D5505" s="0" t="n">
        <v>5</v>
      </c>
      <c r="E5505" s="38" t="n">
        <v>2224690.35</v>
      </c>
    </row>
    <row r="5506" customFormat="false" ht="15" hidden="false" customHeight="false" outlineLevel="0" collapsed="false">
      <c r="A5506" s="0" t="n">
        <v>81</v>
      </c>
      <c r="B5506" s="0" t="s">
        <v>60</v>
      </c>
      <c r="C5506" s="0" t="n">
        <v>2013</v>
      </c>
      <c r="D5506" s="0" t="n">
        <v>6</v>
      </c>
      <c r="E5506" s="38" t="n">
        <v>2270266.45</v>
      </c>
    </row>
    <row r="5507" customFormat="false" ht="15" hidden="false" customHeight="false" outlineLevel="0" collapsed="false">
      <c r="A5507" s="0" t="n">
        <v>81</v>
      </c>
      <c r="B5507" s="0" t="s">
        <v>60</v>
      </c>
      <c r="C5507" s="0" t="n">
        <v>2013</v>
      </c>
      <c r="D5507" s="0" t="n">
        <v>7</v>
      </c>
      <c r="E5507" s="38" t="n">
        <v>2217239.6</v>
      </c>
    </row>
    <row r="5508" customFormat="false" ht="15" hidden="false" customHeight="false" outlineLevel="0" collapsed="false">
      <c r="A5508" s="0" t="n">
        <v>81</v>
      </c>
      <c r="B5508" s="0" t="s">
        <v>60</v>
      </c>
      <c r="C5508" s="0" t="n">
        <v>2013</v>
      </c>
      <c r="D5508" s="0" t="n">
        <v>8</v>
      </c>
      <c r="E5508" s="38" t="n">
        <v>2112903.47</v>
      </c>
    </row>
    <row r="5509" customFormat="false" ht="15" hidden="false" customHeight="false" outlineLevel="0" collapsed="false">
      <c r="A5509" s="0" t="n">
        <v>81</v>
      </c>
      <c r="B5509" s="0" t="s">
        <v>62</v>
      </c>
      <c r="C5509" s="0" t="n">
        <v>2011</v>
      </c>
      <c r="D5509" s="0" t="n">
        <v>1</v>
      </c>
      <c r="E5509" s="38" t="n">
        <v>499059.46</v>
      </c>
    </row>
    <row r="5510" customFormat="false" ht="15" hidden="false" customHeight="false" outlineLevel="0" collapsed="false">
      <c r="A5510" s="0" t="n">
        <v>81</v>
      </c>
      <c r="B5510" s="0" t="s">
        <v>62</v>
      </c>
      <c r="C5510" s="0" t="n">
        <v>2011</v>
      </c>
      <c r="D5510" s="0" t="n">
        <v>2</v>
      </c>
      <c r="E5510" s="38" t="n">
        <v>553996.62</v>
      </c>
    </row>
    <row r="5511" customFormat="false" ht="15" hidden="false" customHeight="false" outlineLevel="0" collapsed="false">
      <c r="A5511" s="0" t="n">
        <v>81</v>
      </c>
      <c r="B5511" s="0" t="s">
        <v>62</v>
      </c>
      <c r="C5511" s="0" t="n">
        <v>2011</v>
      </c>
      <c r="D5511" s="0" t="n">
        <v>3</v>
      </c>
      <c r="E5511" s="38" t="n">
        <v>515347.52</v>
      </c>
    </row>
    <row r="5512" customFormat="false" ht="15" hidden="false" customHeight="false" outlineLevel="0" collapsed="false">
      <c r="A5512" s="0" t="n">
        <v>81</v>
      </c>
      <c r="B5512" s="0" t="s">
        <v>62</v>
      </c>
      <c r="C5512" s="0" t="n">
        <v>2011</v>
      </c>
      <c r="D5512" s="0" t="n">
        <v>4</v>
      </c>
      <c r="E5512" s="38" t="n">
        <v>571495.33</v>
      </c>
    </row>
    <row r="5513" customFormat="false" ht="15" hidden="false" customHeight="false" outlineLevel="0" collapsed="false">
      <c r="A5513" s="0" t="n">
        <v>81</v>
      </c>
      <c r="B5513" s="0" t="s">
        <v>62</v>
      </c>
      <c r="C5513" s="0" t="n">
        <v>2011</v>
      </c>
      <c r="D5513" s="0" t="n">
        <v>5</v>
      </c>
      <c r="E5513" s="38" t="n">
        <v>547409.21</v>
      </c>
    </row>
    <row r="5514" customFormat="false" ht="15" hidden="false" customHeight="false" outlineLevel="0" collapsed="false">
      <c r="A5514" s="0" t="n">
        <v>81</v>
      </c>
      <c r="B5514" s="0" t="s">
        <v>62</v>
      </c>
      <c r="C5514" s="0" t="n">
        <v>2011</v>
      </c>
      <c r="D5514" s="0" t="n">
        <v>6</v>
      </c>
      <c r="E5514" s="38" t="n">
        <v>551865.45</v>
      </c>
    </row>
    <row r="5515" customFormat="false" ht="15" hidden="false" customHeight="false" outlineLevel="0" collapsed="false">
      <c r="A5515" s="0" t="n">
        <v>81</v>
      </c>
      <c r="B5515" s="0" t="s">
        <v>62</v>
      </c>
      <c r="C5515" s="0" t="n">
        <v>2011</v>
      </c>
      <c r="D5515" s="0" t="n">
        <v>7</v>
      </c>
      <c r="E5515" s="38" t="n">
        <v>544684.61</v>
      </c>
    </row>
    <row r="5516" customFormat="false" ht="15" hidden="false" customHeight="false" outlineLevel="0" collapsed="false">
      <c r="A5516" s="0" t="n">
        <v>81</v>
      </c>
      <c r="B5516" s="0" t="s">
        <v>62</v>
      </c>
      <c r="C5516" s="0" t="n">
        <v>2011</v>
      </c>
      <c r="D5516" s="0" t="n">
        <v>8</v>
      </c>
      <c r="E5516" s="38" t="n">
        <v>518618.37</v>
      </c>
    </row>
    <row r="5517" customFormat="false" ht="15" hidden="false" customHeight="false" outlineLevel="0" collapsed="false">
      <c r="A5517" s="0" t="n">
        <v>81</v>
      </c>
      <c r="B5517" s="0" t="s">
        <v>62</v>
      </c>
      <c r="C5517" s="0" t="n">
        <v>2011</v>
      </c>
      <c r="D5517" s="0" t="n">
        <v>9</v>
      </c>
      <c r="E5517" s="38" t="n">
        <v>519206.45</v>
      </c>
    </row>
    <row r="5518" customFormat="false" ht="15" hidden="false" customHeight="false" outlineLevel="0" collapsed="false">
      <c r="A5518" s="0" t="n">
        <v>81</v>
      </c>
      <c r="B5518" s="0" t="s">
        <v>62</v>
      </c>
      <c r="C5518" s="0" t="n">
        <v>2011</v>
      </c>
      <c r="D5518" s="0" t="n">
        <v>10</v>
      </c>
      <c r="E5518" s="38" t="n">
        <v>500054.76</v>
      </c>
    </row>
    <row r="5519" customFormat="false" ht="15" hidden="false" customHeight="false" outlineLevel="0" collapsed="false">
      <c r="A5519" s="0" t="n">
        <v>81</v>
      </c>
      <c r="B5519" s="0" t="s">
        <v>62</v>
      </c>
      <c r="C5519" s="0" t="n">
        <v>2011</v>
      </c>
      <c r="D5519" s="0" t="n">
        <v>11</v>
      </c>
      <c r="E5519" s="38" t="n">
        <v>502004.21</v>
      </c>
    </row>
    <row r="5520" customFormat="false" ht="15" hidden="false" customHeight="false" outlineLevel="0" collapsed="false">
      <c r="A5520" s="0" t="n">
        <v>81</v>
      </c>
      <c r="B5520" s="0" t="s">
        <v>62</v>
      </c>
      <c r="C5520" s="0" t="n">
        <v>2011</v>
      </c>
      <c r="D5520" s="0" t="n">
        <v>12</v>
      </c>
      <c r="E5520" s="38" t="n">
        <v>561025.29</v>
      </c>
    </row>
    <row r="5521" customFormat="false" ht="15" hidden="false" customHeight="false" outlineLevel="0" collapsed="false">
      <c r="A5521" s="0" t="n">
        <v>81</v>
      </c>
      <c r="B5521" s="0" t="s">
        <v>62</v>
      </c>
      <c r="C5521" s="0" t="n">
        <v>2012</v>
      </c>
      <c r="D5521" s="0" t="n">
        <v>1</v>
      </c>
      <c r="E5521" s="38" t="n">
        <v>507843.51</v>
      </c>
    </row>
    <row r="5522" customFormat="false" ht="15" hidden="false" customHeight="false" outlineLevel="0" collapsed="false">
      <c r="A5522" s="0" t="n">
        <v>81</v>
      </c>
      <c r="B5522" s="0" t="s">
        <v>62</v>
      </c>
      <c r="C5522" s="0" t="n">
        <v>2012</v>
      </c>
      <c r="D5522" s="0" t="n">
        <v>2</v>
      </c>
      <c r="E5522" s="38" t="n">
        <v>566297.28</v>
      </c>
    </row>
    <row r="5523" customFormat="false" ht="15" hidden="false" customHeight="false" outlineLevel="0" collapsed="false">
      <c r="A5523" s="0" t="n">
        <v>81</v>
      </c>
      <c r="B5523" s="0" t="s">
        <v>62</v>
      </c>
      <c r="C5523" s="0" t="n">
        <v>2012</v>
      </c>
      <c r="D5523" s="0" t="n">
        <v>3</v>
      </c>
      <c r="E5523" s="38" t="n">
        <v>532210.3</v>
      </c>
    </row>
    <row r="5524" customFormat="false" ht="15" hidden="false" customHeight="false" outlineLevel="0" collapsed="false">
      <c r="A5524" s="0" t="n">
        <v>81</v>
      </c>
      <c r="B5524" s="0" t="s">
        <v>62</v>
      </c>
      <c r="C5524" s="0" t="n">
        <v>2012</v>
      </c>
      <c r="D5524" s="0" t="n">
        <v>4</v>
      </c>
      <c r="E5524" s="38" t="n">
        <v>569630.27</v>
      </c>
    </row>
    <row r="5525" customFormat="false" ht="15" hidden="false" customHeight="false" outlineLevel="0" collapsed="false">
      <c r="A5525" s="0" t="n">
        <v>81</v>
      </c>
      <c r="B5525" s="0" t="s">
        <v>62</v>
      </c>
      <c r="C5525" s="0" t="n">
        <v>2012</v>
      </c>
      <c r="D5525" s="0" t="n">
        <v>5</v>
      </c>
      <c r="E5525" s="38" t="n">
        <v>558171.61</v>
      </c>
    </row>
    <row r="5526" customFormat="false" ht="15" hidden="false" customHeight="false" outlineLevel="0" collapsed="false">
      <c r="A5526" s="0" t="n">
        <v>81</v>
      </c>
      <c r="B5526" s="0" t="s">
        <v>62</v>
      </c>
      <c r="C5526" s="0" t="n">
        <v>2012</v>
      </c>
      <c r="D5526" s="0" t="n">
        <v>6</v>
      </c>
      <c r="E5526" s="38" t="n">
        <v>555245.52</v>
      </c>
    </row>
    <row r="5527" customFormat="false" ht="15" hidden="false" customHeight="false" outlineLevel="0" collapsed="false">
      <c r="A5527" s="0" t="n">
        <v>81</v>
      </c>
      <c r="B5527" s="0" t="s">
        <v>62</v>
      </c>
      <c r="C5527" s="0" t="n">
        <v>2012</v>
      </c>
      <c r="D5527" s="0" t="n">
        <v>7</v>
      </c>
      <c r="E5527" s="38" t="n">
        <v>550728.79</v>
      </c>
    </row>
    <row r="5528" customFormat="false" ht="15" hidden="false" customHeight="false" outlineLevel="0" collapsed="false">
      <c r="A5528" s="0" t="n">
        <v>81</v>
      </c>
      <c r="B5528" s="0" t="s">
        <v>62</v>
      </c>
      <c r="C5528" s="0" t="n">
        <v>2012</v>
      </c>
      <c r="D5528" s="0" t="n">
        <v>8</v>
      </c>
      <c r="E5528" s="38" t="n">
        <v>523528.26</v>
      </c>
    </row>
    <row r="5529" customFormat="false" ht="15" hidden="false" customHeight="false" outlineLevel="0" collapsed="false">
      <c r="A5529" s="0" t="n">
        <v>81</v>
      </c>
      <c r="B5529" s="0" t="s">
        <v>62</v>
      </c>
      <c r="C5529" s="0" t="n">
        <v>2012</v>
      </c>
      <c r="D5529" s="0" t="n">
        <v>9</v>
      </c>
      <c r="E5529" s="38" t="n">
        <v>552441.34</v>
      </c>
    </row>
    <row r="5530" customFormat="false" ht="15" hidden="false" customHeight="false" outlineLevel="0" collapsed="false">
      <c r="A5530" s="0" t="n">
        <v>81</v>
      </c>
      <c r="B5530" s="0" t="s">
        <v>62</v>
      </c>
      <c r="C5530" s="0" t="n">
        <v>2012</v>
      </c>
      <c r="D5530" s="0" t="n">
        <v>10</v>
      </c>
      <c r="E5530" s="38" t="n">
        <v>521988.84</v>
      </c>
    </row>
    <row r="5531" customFormat="false" ht="15" hidden="false" customHeight="false" outlineLevel="0" collapsed="false">
      <c r="A5531" s="0" t="n">
        <v>81</v>
      </c>
      <c r="B5531" s="0" t="s">
        <v>62</v>
      </c>
      <c r="C5531" s="0" t="n">
        <v>2012</v>
      </c>
      <c r="D5531" s="0" t="n">
        <v>11</v>
      </c>
      <c r="E5531" s="38" t="n">
        <v>524881.79</v>
      </c>
    </row>
    <row r="5532" customFormat="false" ht="15" hidden="false" customHeight="false" outlineLevel="0" collapsed="false">
      <c r="A5532" s="0" t="n">
        <v>81</v>
      </c>
      <c r="B5532" s="0" t="s">
        <v>62</v>
      </c>
      <c r="C5532" s="0" t="n">
        <v>2012</v>
      </c>
      <c r="D5532" s="0" t="n">
        <v>12</v>
      </c>
      <c r="E5532" s="38" t="n">
        <v>567161.52</v>
      </c>
    </row>
    <row r="5533" customFormat="false" ht="15" hidden="false" customHeight="false" outlineLevel="0" collapsed="false">
      <c r="A5533" s="0" t="n">
        <v>81</v>
      </c>
      <c r="B5533" s="0" t="s">
        <v>62</v>
      </c>
      <c r="C5533" s="0" t="n">
        <v>2013</v>
      </c>
      <c r="D5533" s="0" t="n">
        <v>1</v>
      </c>
      <c r="E5533" s="38" t="n">
        <v>547703.2</v>
      </c>
    </row>
    <row r="5534" customFormat="false" ht="15" hidden="false" customHeight="false" outlineLevel="0" collapsed="false">
      <c r="A5534" s="0" t="n">
        <v>81</v>
      </c>
      <c r="B5534" s="0" t="s">
        <v>62</v>
      </c>
      <c r="C5534" s="0" t="n">
        <v>2013</v>
      </c>
      <c r="D5534" s="0" t="n">
        <v>2</v>
      </c>
      <c r="E5534" s="38" t="n">
        <v>579549</v>
      </c>
    </row>
    <row r="5535" customFormat="false" ht="15" hidden="false" customHeight="false" outlineLevel="0" collapsed="false">
      <c r="A5535" s="0" t="n">
        <v>81</v>
      </c>
      <c r="B5535" s="0" t="s">
        <v>62</v>
      </c>
      <c r="C5535" s="0" t="n">
        <v>2013</v>
      </c>
      <c r="D5535" s="0" t="n">
        <v>3</v>
      </c>
      <c r="E5535" s="38" t="n">
        <v>550671.28</v>
      </c>
    </row>
    <row r="5536" customFormat="false" ht="15" hidden="false" customHeight="false" outlineLevel="0" collapsed="false">
      <c r="A5536" s="0" t="n">
        <v>81</v>
      </c>
      <c r="B5536" s="0" t="s">
        <v>62</v>
      </c>
      <c r="C5536" s="0" t="n">
        <v>2013</v>
      </c>
      <c r="D5536" s="0" t="n">
        <v>4</v>
      </c>
      <c r="E5536" s="38" t="n">
        <v>582642.18</v>
      </c>
    </row>
    <row r="5537" customFormat="false" ht="15" hidden="false" customHeight="false" outlineLevel="0" collapsed="false">
      <c r="A5537" s="0" t="n">
        <v>81</v>
      </c>
      <c r="B5537" s="0" t="s">
        <v>62</v>
      </c>
      <c r="C5537" s="0" t="n">
        <v>2013</v>
      </c>
      <c r="D5537" s="0" t="n">
        <v>5</v>
      </c>
      <c r="E5537" s="38" t="n">
        <v>570841.58</v>
      </c>
    </row>
    <row r="5538" customFormat="false" ht="15" hidden="false" customHeight="false" outlineLevel="0" collapsed="false">
      <c r="A5538" s="0" t="n">
        <v>81</v>
      </c>
      <c r="B5538" s="0" t="s">
        <v>62</v>
      </c>
      <c r="C5538" s="0" t="n">
        <v>2013</v>
      </c>
      <c r="D5538" s="0" t="n">
        <v>6</v>
      </c>
      <c r="E5538" s="38" t="n">
        <v>583915.88</v>
      </c>
    </row>
    <row r="5539" customFormat="false" ht="15" hidden="false" customHeight="false" outlineLevel="0" collapsed="false">
      <c r="A5539" s="0" t="n">
        <v>81</v>
      </c>
      <c r="B5539" s="0" t="s">
        <v>62</v>
      </c>
      <c r="C5539" s="0" t="n">
        <v>2013</v>
      </c>
      <c r="D5539" s="0" t="n">
        <v>7</v>
      </c>
      <c r="E5539" s="38" t="n">
        <v>572202.93</v>
      </c>
    </row>
    <row r="5540" customFormat="false" ht="15" hidden="false" customHeight="false" outlineLevel="0" collapsed="false">
      <c r="A5540" s="0" t="n">
        <v>81</v>
      </c>
      <c r="B5540" s="0" t="s">
        <v>62</v>
      </c>
      <c r="C5540" s="0" t="n">
        <v>2013</v>
      </c>
      <c r="D5540" s="0" t="n">
        <v>8</v>
      </c>
      <c r="E5540" s="38" t="n">
        <v>560719.62</v>
      </c>
    </row>
    <row r="5541" customFormat="false" ht="15" hidden="false" customHeight="false" outlineLevel="0" collapsed="false">
      <c r="A5541" s="0" t="n">
        <v>81</v>
      </c>
      <c r="B5541" s="0" t="s">
        <v>64</v>
      </c>
      <c r="C5541" s="0" t="n">
        <v>2011</v>
      </c>
      <c r="D5541" s="0" t="n">
        <v>1</v>
      </c>
      <c r="E5541" s="38" t="n">
        <v>304245.41</v>
      </c>
    </row>
    <row r="5542" customFormat="false" ht="15" hidden="false" customHeight="false" outlineLevel="0" collapsed="false">
      <c r="A5542" s="0" t="n">
        <v>81</v>
      </c>
      <c r="B5542" s="0" t="s">
        <v>64</v>
      </c>
      <c r="C5542" s="0" t="n">
        <v>2011</v>
      </c>
      <c r="D5542" s="0" t="n">
        <v>2</v>
      </c>
      <c r="E5542" s="38" t="n">
        <v>334749.14</v>
      </c>
    </row>
    <row r="5543" customFormat="false" ht="15" hidden="false" customHeight="false" outlineLevel="0" collapsed="false">
      <c r="A5543" s="0" t="n">
        <v>81</v>
      </c>
      <c r="B5543" s="0" t="s">
        <v>64</v>
      </c>
      <c r="C5543" s="0" t="n">
        <v>2011</v>
      </c>
      <c r="D5543" s="0" t="n">
        <v>3</v>
      </c>
      <c r="E5543" s="38" t="n">
        <v>327727.57</v>
      </c>
    </row>
    <row r="5544" customFormat="false" ht="15" hidden="false" customHeight="false" outlineLevel="0" collapsed="false">
      <c r="A5544" s="0" t="n">
        <v>81</v>
      </c>
      <c r="B5544" s="0" t="s">
        <v>64</v>
      </c>
      <c r="C5544" s="0" t="n">
        <v>2011</v>
      </c>
      <c r="D5544" s="0" t="n">
        <v>4</v>
      </c>
      <c r="E5544" s="38" t="n">
        <v>339082.84</v>
      </c>
    </row>
    <row r="5545" customFormat="false" ht="15" hidden="false" customHeight="false" outlineLevel="0" collapsed="false">
      <c r="A5545" s="0" t="n">
        <v>81</v>
      </c>
      <c r="B5545" s="0" t="s">
        <v>64</v>
      </c>
      <c r="C5545" s="0" t="n">
        <v>2011</v>
      </c>
      <c r="D5545" s="0" t="n">
        <v>5</v>
      </c>
      <c r="E5545" s="38" t="n">
        <v>328594.72</v>
      </c>
    </row>
    <row r="5546" customFormat="false" ht="15" hidden="false" customHeight="false" outlineLevel="0" collapsed="false">
      <c r="A5546" s="0" t="n">
        <v>81</v>
      </c>
      <c r="B5546" s="0" t="s">
        <v>64</v>
      </c>
      <c r="C5546" s="0" t="n">
        <v>2011</v>
      </c>
      <c r="D5546" s="0" t="n">
        <v>6</v>
      </c>
      <c r="E5546" s="38" t="n">
        <v>334505.87</v>
      </c>
    </row>
    <row r="5547" customFormat="false" ht="15" hidden="false" customHeight="false" outlineLevel="0" collapsed="false">
      <c r="A5547" s="0" t="n">
        <v>81</v>
      </c>
      <c r="B5547" s="0" t="s">
        <v>64</v>
      </c>
      <c r="C5547" s="0" t="n">
        <v>2011</v>
      </c>
      <c r="D5547" s="0" t="n">
        <v>7</v>
      </c>
      <c r="E5547" s="38" t="n">
        <v>333053.94</v>
      </c>
    </row>
    <row r="5548" customFormat="false" ht="15" hidden="false" customHeight="false" outlineLevel="0" collapsed="false">
      <c r="A5548" s="0" t="n">
        <v>81</v>
      </c>
      <c r="B5548" s="0" t="s">
        <v>64</v>
      </c>
      <c r="C5548" s="0" t="n">
        <v>2011</v>
      </c>
      <c r="D5548" s="0" t="n">
        <v>8</v>
      </c>
      <c r="E5548" s="38" t="n">
        <v>326783.91</v>
      </c>
    </row>
    <row r="5549" customFormat="false" ht="15" hidden="false" customHeight="false" outlineLevel="0" collapsed="false">
      <c r="A5549" s="0" t="n">
        <v>81</v>
      </c>
      <c r="B5549" s="0" t="s">
        <v>64</v>
      </c>
      <c r="C5549" s="0" t="n">
        <v>2011</v>
      </c>
      <c r="D5549" s="0" t="n">
        <v>9</v>
      </c>
      <c r="E5549" s="38" t="n">
        <v>334484.65</v>
      </c>
    </row>
    <row r="5550" customFormat="false" ht="15" hidden="false" customHeight="false" outlineLevel="0" collapsed="false">
      <c r="A5550" s="0" t="n">
        <v>81</v>
      </c>
      <c r="B5550" s="0" t="s">
        <v>64</v>
      </c>
      <c r="C5550" s="0" t="n">
        <v>2011</v>
      </c>
      <c r="D5550" s="0" t="n">
        <v>10</v>
      </c>
      <c r="E5550" s="38" t="n">
        <v>311669.99</v>
      </c>
    </row>
    <row r="5551" customFormat="false" ht="15" hidden="false" customHeight="false" outlineLevel="0" collapsed="false">
      <c r="A5551" s="0" t="n">
        <v>81</v>
      </c>
      <c r="B5551" s="0" t="s">
        <v>64</v>
      </c>
      <c r="C5551" s="0" t="n">
        <v>2011</v>
      </c>
      <c r="D5551" s="0" t="n">
        <v>11</v>
      </c>
      <c r="E5551" s="38" t="n">
        <v>304503.5</v>
      </c>
    </row>
    <row r="5552" customFormat="false" ht="15" hidden="false" customHeight="false" outlineLevel="0" collapsed="false">
      <c r="A5552" s="0" t="n">
        <v>81</v>
      </c>
      <c r="B5552" s="0" t="s">
        <v>64</v>
      </c>
      <c r="C5552" s="0" t="n">
        <v>2011</v>
      </c>
      <c r="D5552" s="0" t="n">
        <v>12</v>
      </c>
      <c r="E5552" s="38" t="n">
        <v>340192.75</v>
      </c>
    </row>
    <row r="5553" customFormat="false" ht="15" hidden="false" customHeight="false" outlineLevel="0" collapsed="false">
      <c r="A5553" s="0" t="n">
        <v>81</v>
      </c>
      <c r="B5553" s="0" t="s">
        <v>64</v>
      </c>
      <c r="C5553" s="0" t="n">
        <v>2012</v>
      </c>
      <c r="D5553" s="0" t="n">
        <v>1</v>
      </c>
      <c r="E5553" s="38" t="n">
        <v>298602.1</v>
      </c>
    </row>
    <row r="5554" customFormat="false" ht="15" hidden="false" customHeight="false" outlineLevel="0" collapsed="false">
      <c r="A5554" s="0" t="n">
        <v>81</v>
      </c>
      <c r="B5554" s="0" t="s">
        <v>64</v>
      </c>
      <c r="C5554" s="0" t="n">
        <v>2012</v>
      </c>
      <c r="D5554" s="0" t="n">
        <v>2</v>
      </c>
      <c r="E5554" s="38" t="n">
        <v>327354.81</v>
      </c>
    </row>
    <row r="5555" customFormat="false" ht="15" hidden="false" customHeight="false" outlineLevel="0" collapsed="false">
      <c r="A5555" s="0" t="n">
        <v>81</v>
      </c>
      <c r="B5555" s="0" t="s">
        <v>64</v>
      </c>
      <c r="C5555" s="0" t="n">
        <v>2012</v>
      </c>
      <c r="D5555" s="0" t="n">
        <v>3</v>
      </c>
      <c r="E5555" s="38" t="n">
        <v>318306</v>
      </c>
    </row>
    <row r="5556" customFormat="false" ht="15" hidden="false" customHeight="false" outlineLevel="0" collapsed="false">
      <c r="A5556" s="0" t="n">
        <v>81</v>
      </c>
      <c r="B5556" s="0" t="s">
        <v>64</v>
      </c>
      <c r="C5556" s="0" t="n">
        <v>2012</v>
      </c>
      <c r="D5556" s="0" t="n">
        <v>4</v>
      </c>
      <c r="E5556" s="38" t="n">
        <v>335681.08</v>
      </c>
    </row>
    <row r="5557" customFormat="false" ht="15" hidden="false" customHeight="false" outlineLevel="0" collapsed="false">
      <c r="A5557" s="0" t="n">
        <v>81</v>
      </c>
      <c r="B5557" s="0" t="s">
        <v>64</v>
      </c>
      <c r="C5557" s="0" t="n">
        <v>2012</v>
      </c>
      <c r="D5557" s="0" t="n">
        <v>5</v>
      </c>
      <c r="E5557" s="38" t="n">
        <v>325585.79</v>
      </c>
    </row>
    <row r="5558" customFormat="false" ht="15" hidden="false" customHeight="false" outlineLevel="0" collapsed="false">
      <c r="A5558" s="0" t="n">
        <v>81</v>
      </c>
      <c r="B5558" s="0" t="s">
        <v>64</v>
      </c>
      <c r="C5558" s="0" t="n">
        <v>2012</v>
      </c>
      <c r="D5558" s="0" t="n">
        <v>6</v>
      </c>
      <c r="E5558" s="38" t="n">
        <v>328487.87</v>
      </c>
    </row>
    <row r="5559" customFormat="false" ht="15" hidden="false" customHeight="false" outlineLevel="0" collapsed="false">
      <c r="A5559" s="0" t="n">
        <v>81</v>
      </c>
      <c r="B5559" s="0" t="s">
        <v>64</v>
      </c>
      <c r="C5559" s="0" t="n">
        <v>2012</v>
      </c>
      <c r="D5559" s="0" t="n">
        <v>7</v>
      </c>
      <c r="E5559" s="38" t="n">
        <v>322004.85</v>
      </c>
    </row>
    <row r="5560" customFormat="false" ht="15" hidden="false" customHeight="false" outlineLevel="0" collapsed="false">
      <c r="A5560" s="0" t="n">
        <v>81</v>
      </c>
      <c r="B5560" s="0" t="s">
        <v>64</v>
      </c>
      <c r="C5560" s="0" t="n">
        <v>2012</v>
      </c>
      <c r="D5560" s="0" t="n">
        <v>8</v>
      </c>
      <c r="E5560" s="38" t="n">
        <v>309644.95</v>
      </c>
    </row>
    <row r="5561" customFormat="false" ht="15" hidden="false" customHeight="false" outlineLevel="0" collapsed="false">
      <c r="A5561" s="0" t="n">
        <v>81</v>
      </c>
      <c r="B5561" s="0" t="s">
        <v>64</v>
      </c>
      <c r="C5561" s="0" t="n">
        <v>2012</v>
      </c>
      <c r="D5561" s="0" t="n">
        <v>9</v>
      </c>
      <c r="E5561" s="38" t="n">
        <v>322765.48</v>
      </c>
    </row>
    <row r="5562" customFormat="false" ht="15" hidden="false" customHeight="false" outlineLevel="0" collapsed="false">
      <c r="A5562" s="0" t="n">
        <v>81</v>
      </c>
      <c r="B5562" s="0" t="s">
        <v>64</v>
      </c>
      <c r="C5562" s="0" t="n">
        <v>2012</v>
      </c>
      <c r="D5562" s="0" t="n">
        <v>10</v>
      </c>
      <c r="E5562" s="38" t="n">
        <v>314452.63</v>
      </c>
    </row>
    <row r="5563" customFormat="false" ht="15" hidden="false" customHeight="false" outlineLevel="0" collapsed="false">
      <c r="A5563" s="0" t="n">
        <v>81</v>
      </c>
      <c r="B5563" s="0" t="s">
        <v>64</v>
      </c>
      <c r="C5563" s="0" t="n">
        <v>2012</v>
      </c>
      <c r="D5563" s="0" t="n">
        <v>11</v>
      </c>
      <c r="E5563" s="38" t="n">
        <v>309590.74</v>
      </c>
    </row>
    <row r="5564" customFormat="false" ht="15" hidden="false" customHeight="false" outlineLevel="0" collapsed="false">
      <c r="A5564" s="0" t="n">
        <v>81</v>
      </c>
      <c r="B5564" s="0" t="s">
        <v>64</v>
      </c>
      <c r="C5564" s="0" t="n">
        <v>2012</v>
      </c>
      <c r="D5564" s="0" t="n">
        <v>12</v>
      </c>
      <c r="E5564" s="38" t="n">
        <v>347304.2</v>
      </c>
    </row>
    <row r="5565" customFormat="false" ht="15" hidden="false" customHeight="false" outlineLevel="0" collapsed="false">
      <c r="A5565" s="0" t="n">
        <v>81</v>
      </c>
      <c r="B5565" s="0" t="s">
        <v>64</v>
      </c>
      <c r="C5565" s="0" t="n">
        <v>2013</v>
      </c>
      <c r="D5565" s="0" t="n">
        <v>1</v>
      </c>
      <c r="E5565" s="38" t="n">
        <v>313936.05</v>
      </c>
    </row>
    <row r="5566" customFormat="false" ht="15" hidden="false" customHeight="false" outlineLevel="0" collapsed="false">
      <c r="A5566" s="0" t="n">
        <v>81</v>
      </c>
      <c r="B5566" s="0" t="s">
        <v>64</v>
      </c>
      <c r="C5566" s="0" t="n">
        <v>2013</v>
      </c>
      <c r="D5566" s="0" t="n">
        <v>2</v>
      </c>
      <c r="E5566" s="38" t="n">
        <v>338755.33</v>
      </c>
    </row>
    <row r="5567" customFormat="false" ht="15" hidden="false" customHeight="false" outlineLevel="0" collapsed="false">
      <c r="A5567" s="0" t="n">
        <v>81</v>
      </c>
      <c r="B5567" s="0" t="s">
        <v>64</v>
      </c>
      <c r="C5567" s="0" t="n">
        <v>2013</v>
      </c>
      <c r="D5567" s="0" t="n">
        <v>3</v>
      </c>
      <c r="E5567" s="38" t="n">
        <v>334050.44</v>
      </c>
    </row>
    <row r="5568" customFormat="false" ht="15" hidden="false" customHeight="false" outlineLevel="0" collapsed="false">
      <c r="A5568" s="0" t="n">
        <v>81</v>
      </c>
      <c r="B5568" s="0" t="s">
        <v>64</v>
      </c>
      <c r="C5568" s="0" t="n">
        <v>2013</v>
      </c>
      <c r="D5568" s="0" t="n">
        <v>4</v>
      </c>
      <c r="E5568" s="38" t="n">
        <v>350101.24</v>
      </c>
    </row>
    <row r="5569" customFormat="false" ht="15" hidden="false" customHeight="false" outlineLevel="0" collapsed="false">
      <c r="A5569" s="0" t="n">
        <v>81</v>
      </c>
      <c r="B5569" s="0" t="s">
        <v>64</v>
      </c>
      <c r="C5569" s="0" t="n">
        <v>2013</v>
      </c>
      <c r="D5569" s="0" t="n">
        <v>5</v>
      </c>
      <c r="E5569" s="38" t="n">
        <v>332820.22</v>
      </c>
    </row>
    <row r="5570" customFormat="false" ht="15" hidden="false" customHeight="false" outlineLevel="0" collapsed="false">
      <c r="A5570" s="0" t="n">
        <v>81</v>
      </c>
      <c r="B5570" s="0" t="s">
        <v>64</v>
      </c>
      <c r="C5570" s="0" t="n">
        <v>2013</v>
      </c>
      <c r="D5570" s="0" t="n">
        <v>6</v>
      </c>
      <c r="E5570" s="38" t="n">
        <v>343703.66</v>
      </c>
    </row>
    <row r="5571" customFormat="false" ht="15" hidden="false" customHeight="false" outlineLevel="0" collapsed="false">
      <c r="A5571" s="0" t="n">
        <v>81</v>
      </c>
      <c r="B5571" s="0" t="s">
        <v>64</v>
      </c>
      <c r="C5571" s="0" t="n">
        <v>2013</v>
      </c>
      <c r="D5571" s="0" t="n">
        <v>7</v>
      </c>
      <c r="E5571" s="38" t="n">
        <v>331508.75</v>
      </c>
    </row>
    <row r="5572" customFormat="false" ht="15" hidden="false" customHeight="false" outlineLevel="0" collapsed="false">
      <c r="A5572" s="0" t="n">
        <v>81</v>
      </c>
      <c r="B5572" s="0" t="s">
        <v>64</v>
      </c>
      <c r="C5572" s="0" t="n">
        <v>2013</v>
      </c>
      <c r="D5572" s="0" t="n">
        <v>8</v>
      </c>
      <c r="E5572" s="38" t="n">
        <v>325027.77</v>
      </c>
    </row>
    <row r="5573" customFormat="false" ht="15" hidden="false" customHeight="false" outlineLevel="0" collapsed="false">
      <c r="A5573" s="0" t="n">
        <v>82</v>
      </c>
      <c r="B5573" s="0" t="s">
        <v>60</v>
      </c>
      <c r="C5573" s="0" t="n">
        <v>2011</v>
      </c>
      <c r="D5573" s="0" t="n">
        <v>1</v>
      </c>
      <c r="E5573" s="38" t="n">
        <v>1433929.71</v>
      </c>
    </row>
    <row r="5574" customFormat="false" ht="15" hidden="false" customHeight="false" outlineLevel="0" collapsed="false">
      <c r="A5574" s="0" t="n">
        <v>82</v>
      </c>
      <c r="B5574" s="0" t="s">
        <v>60</v>
      </c>
      <c r="C5574" s="0" t="n">
        <v>2011</v>
      </c>
      <c r="D5574" s="0" t="n">
        <v>2</v>
      </c>
      <c r="E5574" s="38" t="n">
        <v>1504751.87</v>
      </c>
    </row>
    <row r="5575" customFormat="false" ht="15" hidden="false" customHeight="false" outlineLevel="0" collapsed="false">
      <c r="A5575" s="0" t="n">
        <v>82</v>
      </c>
      <c r="B5575" s="0" t="s">
        <v>60</v>
      </c>
      <c r="C5575" s="0" t="n">
        <v>2011</v>
      </c>
      <c r="D5575" s="0" t="n">
        <v>3</v>
      </c>
      <c r="E5575" s="38" t="n">
        <v>1417508.9</v>
      </c>
    </row>
    <row r="5576" customFormat="false" ht="15" hidden="false" customHeight="false" outlineLevel="0" collapsed="false">
      <c r="A5576" s="0" t="n">
        <v>82</v>
      </c>
      <c r="B5576" s="0" t="s">
        <v>60</v>
      </c>
      <c r="C5576" s="0" t="n">
        <v>2011</v>
      </c>
      <c r="D5576" s="0" t="n">
        <v>4</v>
      </c>
      <c r="E5576" s="38" t="n">
        <v>1612012.49</v>
      </c>
    </row>
    <row r="5577" customFormat="false" ht="15" hidden="false" customHeight="false" outlineLevel="0" collapsed="false">
      <c r="A5577" s="0" t="n">
        <v>82</v>
      </c>
      <c r="B5577" s="0" t="s">
        <v>60</v>
      </c>
      <c r="C5577" s="0" t="n">
        <v>2011</v>
      </c>
      <c r="D5577" s="0" t="n">
        <v>5</v>
      </c>
      <c r="E5577" s="38" t="n">
        <v>1651324.9</v>
      </c>
    </row>
    <row r="5578" customFormat="false" ht="15" hidden="false" customHeight="false" outlineLevel="0" collapsed="false">
      <c r="A5578" s="0" t="n">
        <v>82</v>
      </c>
      <c r="B5578" s="0" t="s">
        <v>60</v>
      </c>
      <c r="C5578" s="0" t="n">
        <v>2011</v>
      </c>
      <c r="D5578" s="0" t="n">
        <v>6</v>
      </c>
      <c r="E5578" s="38" t="n">
        <v>1635367.56</v>
      </c>
    </row>
    <row r="5579" customFormat="false" ht="15" hidden="false" customHeight="false" outlineLevel="0" collapsed="false">
      <c r="A5579" s="0" t="n">
        <v>82</v>
      </c>
      <c r="B5579" s="0" t="s">
        <v>60</v>
      </c>
      <c r="C5579" s="0" t="n">
        <v>2011</v>
      </c>
      <c r="D5579" s="0" t="n">
        <v>7</v>
      </c>
      <c r="E5579" s="38" t="n">
        <v>1635938.53</v>
      </c>
    </row>
    <row r="5580" customFormat="false" ht="15" hidden="false" customHeight="false" outlineLevel="0" collapsed="false">
      <c r="A5580" s="0" t="n">
        <v>82</v>
      </c>
      <c r="B5580" s="0" t="s">
        <v>60</v>
      </c>
      <c r="C5580" s="0" t="n">
        <v>2011</v>
      </c>
      <c r="D5580" s="0" t="n">
        <v>8</v>
      </c>
      <c r="E5580" s="38" t="n">
        <v>1538087.24</v>
      </c>
    </row>
    <row r="5581" customFormat="false" ht="15" hidden="false" customHeight="false" outlineLevel="0" collapsed="false">
      <c r="A5581" s="0" t="n">
        <v>82</v>
      </c>
      <c r="B5581" s="0" t="s">
        <v>60</v>
      </c>
      <c r="C5581" s="0" t="n">
        <v>2011</v>
      </c>
      <c r="D5581" s="0" t="n">
        <v>9</v>
      </c>
      <c r="E5581" s="38" t="n">
        <v>1699203.62</v>
      </c>
    </row>
    <row r="5582" customFormat="false" ht="15" hidden="false" customHeight="false" outlineLevel="0" collapsed="false">
      <c r="A5582" s="0" t="n">
        <v>82</v>
      </c>
      <c r="B5582" s="0" t="s">
        <v>60</v>
      </c>
      <c r="C5582" s="0" t="n">
        <v>2011</v>
      </c>
      <c r="D5582" s="0" t="n">
        <v>10</v>
      </c>
      <c r="E5582" s="38" t="n">
        <v>1937525.29</v>
      </c>
    </row>
    <row r="5583" customFormat="false" ht="15" hidden="false" customHeight="false" outlineLevel="0" collapsed="false">
      <c r="A5583" s="0" t="n">
        <v>82</v>
      </c>
      <c r="B5583" s="0" t="s">
        <v>60</v>
      </c>
      <c r="C5583" s="0" t="n">
        <v>2011</v>
      </c>
      <c r="D5583" s="0" t="n">
        <v>11</v>
      </c>
      <c r="E5583" s="38" t="n">
        <v>3825032.31</v>
      </c>
    </row>
    <row r="5584" customFormat="false" ht="15" hidden="false" customHeight="false" outlineLevel="0" collapsed="false">
      <c r="A5584" s="0" t="n">
        <v>82</v>
      </c>
      <c r="B5584" s="0" t="s">
        <v>60</v>
      </c>
      <c r="C5584" s="0" t="n">
        <v>2011</v>
      </c>
      <c r="D5584" s="0" t="n">
        <v>12</v>
      </c>
      <c r="E5584" s="38" t="n">
        <v>1558933.25</v>
      </c>
    </row>
    <row r="5585" customFormat="false" ht="15" hidden="false" customHeight="false" outlineLevel="0" collapsed="false">
      <c r="A5585" s="0" t="n">
        <v>82</v>
      </c>
      <c r="B5585" s="0" t="s">
        <v>60</v>
      </c>
      <c r="C5585" s="0" t="n">
        <v>2012</v>
      </c>
      <c r="D5585" s="0" t="n">
        <v>1</v>
      </c>
      <c r="E5585" s="38" t="n">
        <v>1647974</v>
      </c>
    </row>
    <row r="5586" customFormat="false" ht="15" hidden="false" customHeight="false" outlineLevel="0" collapsed="false">
      <c r="A5586" s="0" t="n">
        <v>82</v>
      </c>
      <c r="B5586" s="0" t="s">
        <v>60</v>
      </c>
      <c r="C5586" s="0" t="n">
        <v>2012</v>
      </c>
      <c r="D5586" s="0" t="n">
        <v>2</v>
      </c>
      <c r="E5586" s="38" t="n">
        <v>1722200.75</v>
      </c>
    </row>
    <row r="5587" customFormat="false" ht="15" hidden="false" customHeight="false" outlineLevel="0" collapsed="false">
      <c r="A5587" s="0" t="n">
        <v>82</v>
      </c>
      <c r="B5587" s="0" t="s">
        <v>60</v>
      </c>
      <c r="C5587" s="0" t="n">
        <v>2012</v>
      </c>
      <c r="D5587" s="0" t="n">
        <v>3</v>
      </c>
      <c r="E5587" s="38" t="n">
        <v>1701436.88</v>
      </c>
    </row>
    <row r="5588" customFormat="false" ht="15" hidden="false" customHeight="false" outlineLevel="0" collapsed="false">
      <c r="A5588" s="0" t="n">
        <v>82</v>
      </c>
      <c r="B5588" s="0" t="s">
        <v>60</v>
      </c>
      <c r="C5588" s="0" t="n">
        <v>2012</v>
      </c>
      <c r="D5588" s="0" t="n">
        <v>4</v>
      </c>
      <c r="E5588" s="38" t="n">
        <v>1785324.68</v>
      </c>
    </row>
    <row r="5589" customFormat="false" ht="15" hidden="false" customHeight="false" outlineLevel="0" collapsed="false">
      <c r="A5589" s="0" t="n">
        <v>82</v>
      </c>
      <c r="B5589" s="0" t="s">
        <v>60</v>
      </c>
      <c r="C5589" s="0" t="n">
        <v>2012</v>
      </c>
      <c r="D5589" s="0" t="n">
        <v>5</v>
      </c>
      <c r="E5589" s="38" t="n">
        <v>1924344.15</v>
      </c>
    </row>
    <row r="5590" customFormat="false" ht="15" hidden="false" customHeight="false" outlineLevel="0" collapsed="false">
      <c r="A5590" s="0" t="n">
        <v>82</v>
      </c>
      <c r="B5590" s="0" t="s">
        <v>60</v>
      </c>
      <c r="C5590" s="0" t="n">
        <v>2012</v>
      </c>
      <c r="D5590" s="0" t="n">
        <v>6</v>
      </c>
      <c r="E5590" s="38" t="n">
        <v>1905422.73</v>
      </c>
    </row>
    <row r="5591" customFormat="false" ht="15" hidden="false" customHeight="false" outlineLevel="0" collapsed="false">
      <c r="A5591" s="0" t="n">
        <v>82</v>
      </c>
      <c r="B5591" s="0" t="s">
        <v>60</v>
      </c>
      <c r="C5591" s="0" t="n">
        <v>2012</v>
      </c>
      <c r="D5591" s="0" t="n">
        <v>7</v>
      </c>
      <c r="E5591" s="38" t="n">
        <v>1943108.59</v>
      </c>
    </row>
    <row r="5592" customFormat="false" ht="15" hidden="false" customHeight="false" outlineLevel="0" collapsed="false">
      <c r="A5592" s="0" t="n">
        <v>82</v>
      </c>
      <c r="B5592" s="0" t="s">
        <v>60</v>
      </c>
      <c r="C5592" s="0" t="n">
        <v>2012</v>
      </c>
      <c r="D5592" s="0" t="n">
        <v>8</v>
      </c>
      <c r="E5592" s="38" t="n">
        <v>1697854.33</v>
      </c>
    </row>
    <row r="5593" customFormat="false" ht="15" hidden="false" customHeight="false" outlineLevel="0" collapsed="false">
      <c r="A5593" s="0" t="n">
        <v>82</v>
      </c>
      <c r="B5593" s="0" t="s">
        <v>60</v>
      </c>
      <c r="C5593" s="0" t="n">
        <v>2012</v>
      </c>
      <c r="D5593" s="0" t="n">
        <v>9</v>
      </c>
      <c r="E5593" s="38" t="n">
        <v>1856600.62</v>
      </c>
    </row>
    <row r="5594" customFormat="false" ht="15" hidden="false" customHeight="false" outlineLevel="0" collapsed="false">
      <c r="A5594" s="0" t="n">
        <v>82</v>
      </c>
      <c r="B5594" s="0" t="s">
        <v>60</v>
      </c>
      <c r="C5594" s="0" t="n">
        <v>2012</v>
      </c>
      <c r="D5594" s="0" t="n">
        <v>10</v>
      </c>
      <c r="E5594" s="38" t="n">
        <v>2079238.97</v>
      </c>
    </row>
    <row r="5595" customFormat="false" ht="15" hidden="false" customHeight="false" outlineLevel="0" collapsed="false">
      <c r="A5595" s="0" t="n">
        <v>82</v>
      </c>
      <c r="B5595" s="0" t="s">
        <v>60</v>
      </c>
      <c r="C5595" s="0" t="n">
        <v>2012</v>
      </c>
      <c r="D5595" s="0" t="n">
        <v>11</v>
      </c>
      <c r="E5595" s="38" t="n">
        <v>4380564.01</v>
      </c>
    </row>
    <row r="5596" customFormat="false" ht="15" hidden="false" customHeight="false" outlineLevel="0" collapsed="false">
      <c r="A5596" s="0" t="n">
        <v>82</v>
      </c>
      <c r="B5596" s="0" t="s">
        <v>60</v>
      </c>
      <c r="C5596" s="0" t="n">
        <v>2012</v>
      </c>
      <c r="D5596" s="0" t="n">
        <v>12</v>
      </c>
      <c r="E5596" s="38" t="n">
        <v>1664328.62</v>
      </c>
    </row>
    <row r="5597" customFormat="false" ht="15" hidden="false" customHeight="false" outlineLevel="0" collapsed="false">
      <c r="A5597" s="0" t="n">
        <v>82</v>
      </c>
      <c r="B5597" s="0" t="s">
        <v>60</v>
      </c>
      <c r="C5597" s="0" t="n">
        <v>2013</v>
      </c>
      <c r="D5597" s="0" t="n">
        <v>1</v>
      </c>
      <c r="E5597" s="38" t="n">
        <v>1802597.96</v>
      </c>
    </row>
    <row r="5598" customFormat="false" ht="15" hidden="false" customHeight="false" outlineLevel="0" collapsed="false">
      <c r="A5598" s="0" t="n">
        <v>82</v>
      </c>
      <c r="B5598" s="0" t="s">
        <v>60</v>
      </c>
      <c r="C5598" s="0" t="n">
        <v>2013</v>
      </c>
      <c r="D5598" s="0" t="n">
        <v>2</v>
      </c>
      <c r="E5598" s="38" t="n">
        <v>1929679.99</v>
      </c>
    </row>
    <row r="5599" customFormat="false" ht="15" hidden="false" customHeight="false" outlineLevel="0" collapsed="false">
      <c r="A5599" s="0" t="n">
        <v>82</v>
      </c>
      <c r="B5599" s="0" t="s">
        <v>60</v>
      </c>
      <c r="C5599" s="0" t="n">
        <v>2013</v>
      </c>
      <c r="D5599" s="0" t="n">
        <v>3</v>
      </c>
      <c r="E5599" s="38" t="n">
        <v>1851887.81</v>
      </c>
    </row>
    <row r="5600" customFormat="false" ht="15" hidden="false" customHeight="false" outlineLevel="0" collapsed="false">
      <c r="A5600" s="0" t="n">
        <v>82</v>
      </c>
      <c r="B5600" s="0" t="s">
        <v>60</v>
      </c>
      <c r="C5600" s="0" t="n">
        <v>2013</v>
      </c>
      <c r="D5600" s="0" t="n">
        <v>4</v>
      </c>
      <c r="E5600" s="38" t="n">
        <v>1993039.39</v>
      </c>
    </row>
    <row r="5601" customFormat="false" ht="15" hidden="false" customHeight="false" outlineLevel="0" collapsed="false">
      <c r="A5601" s="0" t="n">
        <v>82</v>
      </c>
      <c r="B5601" s="0" t="s">
        <v>60</v>
      </c>
      <c r="C5601" s="0" t="n">
        <v>2013</v>
      </c>
      <c r="D5601" s="0" t="n">
        <v>5</v>
      </c>
      <c r="E5601" s="38" t="n">
        <v>1953843.15</v>
      </c>
    </row>
    <row r="5602" customFormat="false" ht="15" hidden="false" customHeight="false" outlineLevel="0" collapsed="false">
      <c r="A5602" s="0" t="n">
        <v>82</v>
      </c>
      <c r="B5602" s="0" t="s">
        <v>60</v>
      </c>
      <c r="C5602" s="0" t="n">
        <v>2013</v>
      </c>
      <c r="D5602" s="0" t="n">
        <v>6</v>
      </c>
      <c r="E5602" s="38" t="n">
        <v>1955682.53</v>
      </c>
    </row>
    <row r="5603" customFormat="false" ht="15" hidden="false" customHeight="false" outlineLevel="0" collapsed="false">
      <c r="A5603" s="0" t="n">
        <v>82</v>
      </c>
      <c r="B5603" s="0" t="s">
        <v>60</v>
      </c>
      <c r="C5603" s="0" t="n">
        <v>2013</v>
      </c>
      <c r="D5603" s="0" t="n">
        <v>7</v>
      </c>
      <c r="E5603" s="38" t="n">
        <v>1962287.55</v>
      </c>
    </row>
    <row r="5604" customFormat="false" ht="15" hidden="false" customHeight="false" outlineLevel="0" collapsed="false">
      <c r="A5604" s="0" t="n">
        <v>82</v>
      </c>
      <c r="B5604" s="0" t="s">
        <v>60</v>
      </c>
      <c r="C5604" s="0" t="n">
        <v>2013</v>
      </c>
      <c r="D5604" s="0" t="n">
        <v>8</v>
      </c>
      <c r="E5604" s="38" t="n">
        <v>1788639.02</v>
      </c>
    </row>
    <row r="5605" customFormat="false" ht="15" hidden="false" customHeight="false" outlineLevel="0" collapsed="false">
      <c r="A5605" s="0" t="n">
        <v>82</v>
      </c>
      <c r="B5605" s="0" t="s">
        <v>62</v>
      </c>
      <c r="C5605" s="0" t="n">
        <v>2011</v>
      </c>
      <c r="D5605" s="0" t="n">
        <v>1</v>
      </c>
      <c r="E5605" s="38" t="n">
        <v>757638.01</v>
      </c>
    </row>
    <row r="5606" customFormat="false" ht="15" hidden="false" customHeight="false" outlineLevel="0" collapsed="false">
      <c r="A5606" s="0" t="n">
        <v>82</v>
      </c>
      <c r="B5606" s="0" t="s">
        <v>62</v>
      </c>
      <c r="C5606" s="0" t="n">
        <v>2011</v>
      </c>
      <c r="D5606" s="0" t="n">
        <v>2</v>
      </c>
      <c r="E5606" s="38" t="n">
        <v>840150.28</v>
      </c>
    </row>
    <row r="5607" customFormat="false" ht="15" hidden="false" customHeight="false" outlineLevel="0" collapsed="false">
      <c r="A5607" s="0" t="n">
        <v>82</v>
      </c>
      <c r="B5607" s="0" t="s">
        <v>62</v>
      </c>
      <c r="C5607" s="0" t="n">
        <v>2011</v>
      </c>
      <c r="D5607" s="0" t="n">
        <v>3</v>
      </c>
      <c r="E5607" s="38" t="n">
        <v>762979.07</v>
      </c>
    </row>
    <row r="5608" customFormat="false" ht="15" hidden="false" customHeight="false" outlineLevel="0" collapsed="false">
      <c r="A5608" s="0" t="n">
        <v>82</v>
      </c>
      <c r="B5608" s="0" t="s">
        <v>62</v>
      </c>
      <c r="C5608" s="0" t="n">
        <v>2011</v>
      </c>
      <c r="D5608" s="0" t="n">
        <v>4</v>
      </c>
      <c r="E5608" s="38" t="n">
        <v>833620.25</v>
      </c>
    </row>
    <row r="5609" customFormat="false" ht="15" hidden="false" customHeight="false" outlineLevel="0" collapsed="false">
      <c r="A5609" s="0" t="n">
        <v>82</v>
      </c>
      <c r="B5609" s="0" t="s">
        <v>62</v>
      </c>
      <c r="C5609" s="0" t="n">
        <v>2011</v>
      </c>
      <c r="D5609" s="0" t="n">
        <v>5</v>
      </c>
      <c r="E5609" s="38" t="n">
        <v>885656.67</v>
      </c>
    </row>
    <row r="5610" customFormat="false" ht="15" hidden="false" customHeight="false" outlineLevel="0" collapsed="false">
      <c r="A5610" s="0" t="n">
        <v>82</v>
      </c>
      <c r="B5610" s="0" t="s">
        <v>62</v>
      </c>
      <c r="C5610" s="0" t="n">
        <v>2011</v>
      </c>
      <c r="D5610" s="0" t="n">
        <v>6</v>
      </c>
      <c r="E5610" s="38" t="n">
        <v>873982.47</v>
      </c>
    </row>
    <row r="5611" customFormat="false" ht="15" hidden="false" customHeight="false" outlineLevel="0" collapsed="false">
      <c r="A5611" s="0" t="n">
        <v>82</v>
      </c>
      <c r="B5611" s="0" t="s">
        <v>62</v>
      </c>
      <c r="C5611" s="0" t="n">
        <v>2011</v>
      </c>
      <c r="D5611" s="0" t="n">
        <v>7</v>
      </c>
      <c r="E5611" s="38" t="n">
        <v>873906.18</v>
      </c>
    </row>
    <row r="5612" customFormat="false" ht="15" hidden="false" customHeight="false" outlineLevel="0" collapsed="false">
      <c r="A5612" s="0" t="n">
        <v>82</v>
      </c>
      <c r="B5612" s="0" t="s">
        <v>62</v>
      </c>
      <c r="C5612" s="0" t="n">
        <v>2011</v>
      </c>
      <c r="D5612" s="0" t="n">
        <v>8</v>
      </c>
      <c r="E5612" s="38" t="n">
        <v>812564.17</v>
      </c>
    </row>
    <row r="5613" customFormat="false" ht="15" hidden="false" customHeight="false" outlineLevel="0" collapsed="false">
      <c r="A5613" s="0" t="n">
        <v>82</v>
      </c>
      <c r="B5613" s="0" t="s">
        <v>62</v>
      </c>
      <c r="C5613" s="0" t="n">
        <v>2011</v>
      </c>
      <c r="D5613" s="0" t="n">
        <v>9</v>
      </c>
      <c r="E5613" s="38" t="n">
        <v>875687.29</v>
      </c>
    </row>
    <row r="5614" customFormat="false" ht="15" hidden="false" customHeight="false" outlineLevel="0" collapsed="false">
      <c r="A5614" s="0" t="n">
        <v>82</v>
      </c>
      <c r="B5614" s="0" t="s">
        <v>62</v>
      </c>
      <c r="C5614" s="0" t="n">
        <v>2011</v>
      </c>
      <c r="D5614" s="0" t="n">
        <v>10</v>
      </c>
      <c r="E5614" s="38" t="n">
        <v>1003097.18</v>
      </c>
    </row>
    <row r="5615" customFormat="false" ht="15" hidden="false" customHeight="false" outlineLevel="0" collapsed="false">
      <c r="A5615" s="0" t="n">
        <v>82</v>
      </c>
      <c r="B5615" s="0" t="s">
        <v>62</v>
      </c>
      <c r="C5615" s="0" t="n">
        <v>2011</v>
      </c>
      <c r="D5615" s="0" t="n">
        <v>11</v>
      </c>
      <c r="E5615" s="38" t="n">
        <v>2009314.58</v>
      </c>
    </row>
    <row r="5616" customFormat="false" ht="15" hidden="false" customHeight="false" outlineLevel="0" collapsed="false">
      <c r="A5616" s="0" t="n">
        <v>82</v>
      </c>
      <c r="B5616" s="0" t="s">
        <v>62</v>
      </c>
      <c r="C5616" s="0" t="n">
        <v>2011</v>
      </c>
      <c r="D5616" s="0" t="n">
        <v>12</v>
      </c>
      <c r="E5616" s="38" t="n">
        <v>800088.06</v>
      </c>
    </row>
    <row r="5617" customFormat="false" ht="15" hidden="false" customHeight="false" outlineLevel="0" collapsed="false">
      <c r="A5617" s="0" t="n">
        <v>82</v>
      </c>
      <c r="B5617" s="0" t="s">
        <v>62</v>
      </c>
      <c r="C5617" s="0" t="n">
        <v>2012</v>
      </c>
      <c r="D5617" s="0" t="n">
        <v>1</v>
      </c>
      <c r="E5617" s="38" t="n">
        <v>836363.03</v>
      </c>
    </row>
    <row r="5618" customFormat="false" ht="15" hidden="false" customHeight="false" outlineLevel="0" collapsed="false">
      <c r="A5618" s="0" t="n">
        <v>82</v>
      </c>
      <c r="B5618" s="0" t="s">
        <v>62</v>
      </c>
      <c r="C5618" s="0" t="n">
        <v>2012</v>
      </c>
      <c r="D5618" s="0" t="n">
        <v>2</v>
      </c>
      <c r="E5618" s="38" t="n">
        <v>859314.18</v>
      </c>
    </row>
    <row r="5619" customFormat="false" ht="15" hidden="false" customHeight="false" outlineLevel="0" collapsed="false">
      <c r="A5619" s="0" t="n">
        <v>82</v>
      </c>
      <c r="B5619" s="0" t="s">
        <v>62</v>
      </c>
      <c r="C5619" s="0" t="n">
        <v>2012</v>
      </c>
      <c r="D5619" s="0" t="n">
        <v>3</v>
      </c>
      <c r="E5619" s="38" t="n">
        <v>853777.56</v>
      </c>
    </row>
    <row r="5620" customFormat="false" ht="15" hidden="false" customHeight="false" outlineLevel="0" collapsed="false">
      <c r="A5620" s="0" t="n">
        <v>82</v>
      </c>
      <c r="B5620" s="0" t="s">
        <v>62</v>
      </c>
      <c r="C5620" s="0" t="n">
        <v>2012</v>
      </c>
      <c r="D5620" s="0" t="n">
        <v>4</v>
      </c>
      <c r="E5620" s="38" t="n">
        <v>864629.92</v>
      </c>
    </row>
    <row r="5621" customFormat="false" ht="15" hidden="false" customHeight="false" outlineLevel="0" collapsed="false">
      <c r="A5621" s="0" t="n">
        <v>82</v>
      </c>
      <c r="B5621" s="0" t="s">
        <v>62</v>
      </c>
      <c r="C5621" s="0" t="n">
        <v>2012</v>
      </c>
      <c r="D5621" s="0" t="n">
        <v>5</v>
      </c>
      <c r="E5621" s="38" t="n">
        <v>937919.07</v>
      </c>
    </row>
    <row r="5622" customFormat="false" ht="15" hidden="false" customHeight="false" outlineLevel="0" collapsed="false">
      <c r="A5622" s="0" t="n">
        <v>82</v>
      </c>
      <c r="B5622" s="0" t="s">
        <v>62</v>
      </c>
      <c r="C5622" s="0" t="n">
        <v>2012</v>
      </c>
      <c r="D5622" s="0" t="n">
        <v>6</v>
      </c>
      <c r="E5622" s="38" t="n">
        <v>941649.69</v>
      </c>
    </row>
    <row r="5623" customFormat="false" ht="15" hidden="false" customHeight="false" outlineLevel="0" collapsed="false">
      <c r="A5623" s="0" t="n">
        <v>82</v>
      </c>
      <c r="B5623" s="0" t="s">
        <v>62</v>
      </c>
      <c r="C5623" s="0" t="n">
        <v>2012</v>
      </c>
      <c r="D5623" s="0" t="n">
        <v>7</v>
      </c>
      <c r="E5623" s="38" t="n">
        <v>991759.22</v>
      </c>
    </row>
    <row r="5624" customFormat="false" ht="15" hidden="false" customHeight="false" outlineLevel="0" collapsed="false">
      <c r="A5624" s="0" t="n">
        <v>82</v>
      </c>
      <c r="B5624" s="0" t="s">
        <v>62</v>
      </c>
      <c r="C5624" s="0" t="n">
        <v>2012</v>
      </c>
      <c r="D5624" s="0" t="n">
        <v>8</v>
      </c>
      <c r="E5624" s="38" t="n">
        <v>868887.45</v>
      </c>
    </row>
    <row r="5625" customFormat="false" ht="15" hidden="false" customHeight="false" outlineLevel="0" collapsed="false">
      <c r="A5625" s="0" t="n">
        <v>82</v>
      </c>
      <c r="B5625" s="0" t="s">
        <v>62</v>
      </c>
      <c r="C5625" s="0" t="n">
        <v>2012</v>
      </c>
      <c r="D5625" s="0" t="n">
        <v>9</v>
      </c>
      <c r="E5625" s="38" t="n">
        <v>919614.67</v>
      </c>
    </row>
    <row r="5626" customFormat="false" ht="15" hidden="false" customHeight="false" outlineLevel="0" collapsed="false">
      <c r="A5626" s="0" t="n">
        <v>82</v>
      </c>
      <c r="B5626" s="0" t="s">
        <v>62</v>
      </c>
      <c r="C5626" s="0" t="n">
        <v>2012</v>
      </c>
      <c r="D5626" s="0" t="n">
        <v>10</v>
      </c>
      <c r="E5626" s="38" t="n">
        <v>1024568.57</v>
      </c>
    </row>
    <row r="5627" customFormat="false" ht="15" hidden="false" customHeight="false" outlineLevel="0" collapsed="false">
      <c r="A5627" s="0" t="n">
        <v>82</v>
      </c>
      <c r="B5627" s="0" t="s">
        <v>62</v>
      </c>
      <c r="C5627" s="0" t="n">
        <v>2012</v>
      </c>
      <c r="D5627" s="0" t="n">
        <v>11</v>
      </c>
      <c r="E5627" s="38" t="n">
        <v>1982686.65</v>
      </c>
    </row>
    <row r="5628" customFormat="false" ht="15" hidden="false" customHeight="false" outlineLevel="0" collapsed="false">
      <c r="A5628" s="0" t="n">
        <v>82</v>
      </c>
      <c r="B5628" s="0" t="s">
        <v>62</v>
      </c>
      <c r="C5628" s="0" t="n">
        <v>2012</v>
      </c>
      <c r="D5628" s="0" t="n">
        <v>12</v>
      </c>
      <c r="E5628" s="38" t="n">
        <v>813742.3</v>
      </c>
    </row>
    <row r="5629" customFormat="false" ht="15" hidden="false" customHeight="false" outlineLevel="0" collapsed="false">
      <c r="A5629" s="0" t="n">
        <v>82</v>
      </c>
      <c r="B5629" s="0" t="s">
        <v>62</v>
      </c>
      <c r="C5629" s="0" t="n">
        <v>2013</v>
      </c>
      <c r="D5629" s="0" t="n">
        <v>1</v>
      </c>
      <c r="E5629" s="38" t="n">
        <v>872661.47</v>
      </c>
    </row>
    <row r="5630" customFormat="false" ht="15" hidden="false" customHeight="false" outlineLevel="0" collapsed="false">
      <c r="A5630" s="0" t="n">
        <v>82</v>
      </c>
      <c r="B5630" s="0" t="s">
        <v>62</v>
      </c>
      <c r="C5630" s="0" t="n">
        <v>2013</v>
      </c>
      <c r="D5630" s="0" t="n">
        <v>2</v>
      </c>
      <c r="E5630" s="38" t="n">
        <v>951336.45</v>
      </c>
    </row>
    <row r="5631" customFormat="false" ht="15" hidden="false" customHeight="false" outlineLevel="0" collapsed="false">
      <c r="A5631" s="0" t="n">
        <v>82</v>
      </c>
      <c r="B5631" s="0" t="s">
        <v>62</v>
      </c>
      <c r="C5631" s="0" t="n">
        <v>2013</v>
      </c>
      <c r="D5631" s="0" t="n">
        <v>3</v>
      </c>
      <c r="E5631" s="38" t="n">
        <v>913661.59</v>
      </c>
    </row>
    <row r="5632" customFormat="false" ht="15" hidden="false" customHeight="false" outlineLevel="0" collapsed="false">
      <c r="A5632" s="0" t="n">
        <v>82</v>
      </c>
      <c r="B5632" s="0" t="s">
        <v>62</v>
      </c>
      <c r="C5632" s="0" t="n">
        <v>2013</v>
      </c>
      <c r="D5632" s="0" t="n">
        <v>4</v>
      </c>
      <c r="E5632" s="38" t="n">
        <v>956848.02</v>
      </c>
    </row>
    <row r="5633" customFormat="false" ht="15" hidden="false" customHeight="false" outlineLevel="0" collapsed="false">
      <c r="A5633" s="0" t="n">
        <v>82</v>
      </c>
      <c r="B5633" s="0" t="s">
        <v>62</v>
      </c>
      <c r="C5633" s="0" t="n">
        <v>2013</v>
      </c>
      <c r="D5633" s="0" t="n">
        <v>5</v>
      </c>
      <c r="E5633" s="38" t="n">
        <v>1017430.22</v>
      </c>
    </row>
    <row r="5634" customFormat="false" ht="15" hidden="false" customHeight="false" outlineLevel="0" collapsed="false">
      <c r="A5634" s="0" t="n">
        <v>82</v>
      </c>
      <c r="B5634" s="0" t="s">
        <v>62</v>
      </c>
      <c r="C5634" s="0" t="n">
        <v>2013</v>
      </c>
      <c r="D5634" s="0" t="n">
        <v>6</v>
      </c>
      <c r="E5634" s="38" t="n">
        <v>1005140.63</v>
      </c>
    </row>
    <row r="5635" customFormat="false" ht="15" hidden="false" customHeight="false" outlineLevel="0" collapsed="false">
      <c r="A5635" s="0" t="n">
        <v>82</v>
      </c>
      <c r="B5635" s="0" t="s">
        <v>62</v>
      </c>
      <c r="C5635" s="0" t="n">
        <v>2013</v>
      </c>
      <c r="D5635" s="0" t="n">
        <v>7</v>
      </c>
      <c r="E5635" s="38" t="n">
        <v>1014077.48</v>
      </c>
    </row>
    <row r="5636" customFormat="false" ht="15" hidden="false" customHeight="false" outlineLevel="0" collapsed="false">
      <c r="A5636" s="0" t="n">
        <v>82</v>
      </c>
      <c r="B5636" s="0" t="s">
        <v>62</v>
      </c>
      <c r="C5636" s="0" t="n">
        <v>2013</v>
      </c>
      <c r="D5636" s="0" t="n">
        <v>8</v>
      </c>
      <c r="E5636" s="38" t="n">
        <v>907755.28</v>
      </c>
    </row>
    <row r="5637" customFormat="false" ht="15" hidden="false" customHeight="false" outlineLevel="0" collapsed="false">
      <c r="A5637" s="0" t="n">
        <v>82</v>
      </c>
      <c r="B5637" s="0" t="s">
        <v>64</v>
      </c>
      <c r="C5637" s="0" t="n">
        <v>2011</v>
      </c>
      <c r="D5637" s="0" t="n">
        <v>1</v>
      </c>
      <c r="E5637" s="38" t="n">
        <v>119452.03</v>
      </c>
    </row>
    <row r="5638" customFormat="false" ht="15" hidden="false" customHeight="false" outlineLevel="0" collapsed="false">
      <c r="A5638" s="0" t="n">
        <v>82</v>
      </c>
      <c r="B5638" s="0" t="s">
        <v>64</v>
      </c>
      <c r="C5638" s="0" t="n">
        <v>2011</v>
      </c>
      <c r="D5638" s="0" t="n">
        <v>2</v>
      </c>
      <c r="E5638" s="38" t="n">
        <v>129749.85</v>
      </c>
    </row>
    <row r="5639" customFormat="false" ht="15" hidden="false" customHeight="false" outlineLevel="0" collapsed="false">
      <c r="A5639" s="0" t="n">
        <v>82</v>
      </c>
      <c r="B5639" s="0" t="s">
        <v>64</v>
      </c>
      <c r="C5639" s="0" t="n">
        <v>2011</v>
      </c>
      <c r="D5639" s="0" t="n">
        <v>3</v>
      </c>
      <c r="E5639" s="38" t="n">
        <v>127733.06</v>
      </c>
    </row>
    <row r="5640" customFormat="false" ht="15" hidden="false" customHeight="false" outlineLevel="0" collapsed="false">
      <c r="A5640" s="0" t="n">
        <v>82</v>
      </c>
      <c r="B5640" s="0" t="s">
        <v>64</v>
      </c>
      <c r="C5640" s="0" t="n">
        <v>2011</v>
      </c>
      <c r="D5640" s="0" t="n">
        <v>4</v>
      </c>
      <c r="E5640" s="38" t="n">
        <v>144346.12</v>
      </c>
    </row>
    <row r="5641" customFormat="false" ht="15" hidden="false" customHeight="false" outlineLevel="0" collapsed="false">
      <c r="A5641" s="0" t="n">
        <v>82</v>
      </c>
      <c r="B5641" s="0" t="s">
        <v>64</v>
      </c>
      <c r="C5641" s="0" t="n">
        <v>2011</v>
      </c>
      <c r="D5641" s="0" t="n">
        <v>5</v>
      </c>
      <c r="E5641" s="38" t="n">
        <v>137447.86</v>
      </c>
    </row>
    <row r="5642" customFormat="false" ht="15" hidden="false" customHeight="false" outlineLevel="0" collapsed="false">
      <c r="A5642" s="0" t="n">
        <v>82</v>
      </c>
      <c r="B5642" s="0" t="s">
        <v>64</v>
      </c>
      <c r="C5642" s="0" t="n">
        <v>2011</v>
      </c>
      <c r="D5642" s="0" t="n">
        <v>6</v>
      </c>
      <c r="E5642" s="38" t="n">
        <v>135342.92</v>
      </c>
    </row>
    <row r="5643" customFormat="false" ht="15" hidden="false" customHeight="false" outlineLevel="0" collapsed="false">
      <c r="A5643" s="0" t="n">
        <v>82</v>
      </c>
      <c r="B5643" s="0" t="s">
        <v>64</v>
      </c>
      <c r="C5643" s="0" t="n">
        <v>2011</v>
      </c>
      <c r="D5643" s="0" t="n">
        <v>7</v>
      </c>
      <c r="E5643" s="38" t="n">
        <v>134465.24</v>
      </c>
    </row>
    <row r="5644" customFormat="false" ht="15" hidden="false" customHeight="false" outlineLevel="0" collapsed="false">
      <c r="A5644" s="0" t="n">
        <v>82</v>
      </c>
      <c r="B5644" s="0" t="s">
        <v>64</v>
      </c>
      <c r="C5644" s="0" t="n">
        <v>2011</v>
      </c>
      <c r="D5644" s="0" t="n">
        <v>8</v>
      </c>
      <c r="E5644" s="38" t="n">
        <v>133121.06</v>
      </c>
    </row>
    <row r="5645" customFormat="false" ht="15" hidden="false" customHeight="false" outlineLevel="0" collapsed="false">
      <c r="A5645" s="0" t="n">
        <v>82</v>
      </c>
      <c r="B5645" s="0" t="s">
        <v>64</v>
      </c>
      <c r="C5645" s="0" t="n">
        <v>2011</v>
      </c>
      <c r="D5645" s="0" t="n">
        <v>9</v>
      </c>
      <c r="E5645" s="38" t="n">
        <v>140558.9</v>
      </c>
    </row>
    <row r="5646" customFormat="false" ht="15" hidden="false" customHeight="false" outlineLevel="0" collapsed="false">
      <c r="A5646" s="0" t="n">
        <v>82</v>
      </c>
      <c r="B5646" s="0" t="s">
        <v>64</v>
      </c>
      <c r="C5646" s="0" t="n">
        <v>2011</v>
      </c>
      <c r="D5646" s="0" t="n">
        <v>10</v>
      </c>
      <c r="E5646" s="38" t="n">
        <v>139931.1</v>
      </c>
    </row>
    <row r="5647" customFormat="false" ht="15" hidden="false" customHeight="false" outlineLevel="0" collapsed="false">
      <c r="A5647" s="0" t="n">
        <v>82</v>
      </c>
      <c r="B5647" s="0" t="s">
        <v>64</v>
      </c>
      <c r="C5647" s="0" t="n">
        <v>2011</v>
      </c>
      <c r="D5647" s="0" t="n">
        <v>11</v>
      </c>
      <c r="E5647" s="38" t="n">
        <v>220405.42</v>
      </c>
    </row>
    <row r="5648" customFormat="false" ht="15" hidden="false" customHeight="false" outlineLevel="0" collapsed="false">
      <c r="A5648" s="0" t="n">
        <v>82</v>
      </c>
      <c r="B5648" s="0" t="s">
        <v>64</v>
      </c>
      <c r="C5648" s="0" t="n">
        <v>2011</v>
      </c>
      <c r="D5648" s="0" t="n">
        <v>12</v>
      </c>
      <c r="E5648" s="38" t="n">
        <v>147194.36</v>
      </c>
    </row>
    <row r="5649" customFormat="false" ht="15" hidden="false" customHeight="false" outlineLevel="0" collapsed="false">
      <c r="A5649" s="0" t="n">
        <v>82</v>
      </c>
      <c r="B5649" s="0" t="s">
        <v>64</v>
      </c>
      <c r="C5649" s="0" t="n">
        <v>2012</v>
      </c>
      <c r="D5649" s="0" t="n">
        <v>1</v>
      </c>
      <c r="E5649" s="38" t="n">
        <v>140663.22</v>
      </c>
    </row>
    <row r="5650" customFormat="false" ht="15" hidden="false" customHeight="false" outlineLevel="0" collapsed="false">
      <c r="A5650" s="0" t="n">
        <v>82</v>
      </c>
      <c r="B5650" s="0" t="s">
        <v>64</v>
      </c>
      <c r="C5650" s="0" t="n">
        <v>2012</v>
      </c>
      <c r="D5650" s="0" t="n">
        <v>2</v>
      </c>
      <c r="E5650" s="38" t="n">
        <v>150017.08</v>
      </c>
    </row>
    <row r="5651" customFormat="false" ht="15" hidden="false" customHeight="false" outlineLevel="0" collapsed="false">
      <c r="A5651" s="0" t="n">
        <v>82</v>
      </c>
      <c r="B5651" s="0" t="s">
        <v>64</v>
      </c>
      <c r="C5651" s="0" t="n">
        <v>2012</v>
      </c>
      <c r="D5651" s="0" t="n">
        <v>3</v>
      </c>
      <c r="E5651" s="38" t="n">
        <v>148504.31</v>
      </c>
    </row>
    <row r="5652" customFormat="false" ht="15" hidden="false" customHeight="false" outlineLevel="0" collapsed="false">
      <c r="A5652" s="0" t="n">
        <v>82</v>
      </c>
      <c r="B5652" s="0" t="s">
        <v>64</v>
      </c>
      <c r="C5652" s="0" t="n">
        <v>2012</v>
      </c>
      <c r="D5652" s="0" t="n">
        <v>4</v>
      </c>
      <c r="E5652" s="38" t="n">
        <v>158090.63</v>
      </c>
    </row>
    <row r="5653" customFormat="false" ht="15" hidden="false" customHeight="false" outlineLevel="0" collapsed="false">
      <c r="A5653" s="0" t="n">
        <v>82</v>
      </c>
      <c r="B5653" s="0" t="s">
        <v>64</v>
      </c>
      <c r="C5653" s="0" t="n">
        <v>2012</v>
      </c>
      <c r="D5653" s="0" t="n">
        <v>5</v>
      </c>
      <c r="E5653" s="38" t="n">
        <v>154345.7</v>
      </c>
    </row>
    <row r="5654" customFormat="false" ht="15" hidden="false" customHeight="false" outlineLevel="0" collapsed="false">
      <c r="A5654" s="0" t="n">
        <v>82</v>
      </c>
      <c r="B5654" s="0" t="s">
        <v>64</v>
      </c>
      <c r="C5654" s="0" t="n">
        <v>2012</v>
      </c>
      <c r="D5654" s="0" t="n">
        <v>6</v>
      </c>
      <c r="E5654" s="38" t="n">
        <v>150936.94</v>
      </c>
    </row>
    <row r="5655" customFormat="false" ht="15" hidden="false" customHeight="false" outlineLevel="0" collapsed="false">
      <c r="A5655" s="0" t="n">
        <v>82</v>
      </c>
      <c r="B5655" s="0" t="s">
        <v>64</v>
      </c>
      <c r="C5655" s="0" t="n">
        <v>2012</v>
      </c>
      <c r="D5655" s="0" t="n">
        <v>7</v>
      </c>
      <c r="E5655" s="38" t="n">
        <v>147154.81</v>
      </c>
    </row>
    <row r="5656" customFormat="false" ht="15" hidden="false" customHeight="false" outlineLevel="0" collapsed="false">
      <c r="A5656" s="0" t="n">
        <v>82</v>
      </c>
      <c r="B5656" s="0" t="s">
        <v>64</v>
      </c>
      <c r="C5656" s="0" t="n">
        <v>2012</v>
      </c>
      <c r="D5656" s="0" t="n">
        <v>8</v>
      </c>
      <c r="E5656" s="38" t="n">
        <v>143505.47</v>
      </c>
    </row>
    <row r="5657" customFormat="false" ht="15" hidden="false" customHeight="false" outlineLevel="0" collapsed="false">
      <c r="A5657" s="0" t="n">
        <v>82</v>
      </c>
      <c r="B5657" s="0" t="s">
        <v>64</v>
      </c>
      <c r="C5657" s="0" t="n">
        <v>2012</v>
      </c>
      <c r="D5657" s="0" t="n">
        <v>9</v>
      </c>
      <c r="E5657" s="38" t="n">
        <v>158300.09</v>
      </c>
    </row>
    <row r="5658" customFormat="false" ht="15" hidden="false" customHeight="false" outlineLevel="0" collapsed="false">
      <c r="A5658" s="0" t="n">
        <v>82</v>
      </c>
      <c r="B5658" s="0" t="s">
        <v>64</v>
      </c>
      <c r="C5658" s="0" t="n">
        <v>2012</v>
      </c>
      <c r="D5658" s="0" t="n">
        <v>10</v>
      </c>
      <c r="E5658" s="38" t="n">
        <v>163353.67</v>
      </c>
    </row>
    <row r="5659" customFormat="false" ht="15" hidden="false" customHeight="false" outlineLevel="0" collapsed="false">
      <c r="A5659" s="0" t="n">
        <v>82</v>
      </c>
      <c r="B5659" s="0" t="s">
        <v>64</v>
      </c>
      <c r="C5659" s="0" t="n">
        <v>2012</v>
      </c>
      <c r="D5659" s="0" t="n">
        <v>11</v>
      </c>
      <c r="E5659" s="38" t="n">
        <v>248812.96</v>
      </c>
    </row>
    <row r="5660" customFormat="false" ht="15" hidden="false" customHeight="false" outlineLevel="0" collapsed="false">
      <c r="A5660" s="0" t="n">
        <v>82</v>
      </c>
      <c r="B5660" s="0" t="s">
        <v>64</v>
      </c>
      <c r="C5660" s="0" t="n">
        <v>2012</v>
      </c>
      <c r="D5660" s="0" t="n">
        <v>12</v>
      </c>
      <c r="E5660" s="38" t="n">
        <v>156468.67</v>
      </c>
    </row>
    <row r="5661" customFormat="false" ht="15" hidden="false" customHeight="false" outlineLevel="0" collapsed="false">
      <c r="A5661" s="0" t="n">
        <v>82</v>
      </c>
      <c r="B5661" s="0" t="s">
        <v>64</v>
      </c>
      <c r="C5661" s="0" t="n">
        <v>2013</v>
      </c>
      <c r="D5661" s="0" t="n">
        <v>1</v>
      </c>
      <c r="E5661" s="38" t="n">
        <v>153781.83</v>
      </c>
    </row>
    <row r="5662" customFormat="false" ht="15" hidden="false" customHeight="false" outlineLevel="0" collapsed="false">
      <c r="A5662" s="0" t="n">
        <v>82</v>
      </c>
      <c r="B5662" s="0" t="s">
        <v>64</v>
      </c>
      <c r="C5662" s="0" t="n">
        <v>2013</v>
      </c>
      <c r="D5662" s="0" t="n">
        <v>2</v>
      </c>
      <c r="E5662" s="38" t="n">
        <v>162923.18</v>
      </c>
    </row>
    <row r="5663" customFormat="false" ht="15" hidden="false" customHeight="false" outlineLevel="0" collapsed="false">
      <c r="A5663" s="0" t="n">
        <v>82</v>
      </c>
      <c r="B5663" s="0" t="s">
        <v>64</v>
      </c>
      <c r="C5663" s="0" t="n">
        <v>2013</v>
      </c>
      <c r="D5663" s="0" t="n">
        <v>3</v>
      </c>
      <c r="E5663" s="38" t="n">
        <v>161305.88</v>
      </c>
    </row>
    <row r="5664" customFormat="false" ht="15" hidden="false" customHeight="false" outlineLevel="0" collapsed="false">
      <c r="A5664" s="0" t="n">
        <v>82</v>
      </c>
      <c r="B5664" s="0" t="s">
        <v>64</v>
      </c>
      <c r="C5664" s="0" t="n">
        <v>2013</v>
      </c>
      <c r="D5664" s="0" t="n">
        <v>4</v>
      </c>
      <c r="E5664" s="38" t="n">
        <v>169985.96</v>
      </c>
    </row>
    <row r="5665" customFormat="false" ht="15" hidden="false" customHeight="false" outlineLevel="0" collapsed="false">
      <c r="A5665" s="0" t="n">
        <v>82</v>
      </c>
      <c r="B5665" s="0" t="s">
        <v>64</v>
      </c>
      <c r="C5665" s="0" t="n">
        <v>2013</v>
      </c>
      <c r="D5665" s="0" t="n">
        <v>5</v>
      </c>
      <c r="E5665" s="38" t="n">
        <v>159296.84</v>
      </c>
    </row>
    <row r="5666" customFormat="false" ht="15" hidden="false" customHeight="false" outlineLevel="0" collapsed="false">
      <c r="A5666" s="0" t="n">
        <v>82</v>
      </c>
      <c r="B5666" s="0" t="s">
        <v>64</v>
      </c>
      <c r="C5666" s="0" t="n">
        <v>2013</v>
      </c>
      <c r="D5666" s="0" t="n">
        <v>6</v>
      </c>
      <c r="E5666" s="38" t="n">
        <v>155999.33</v>
      </c>
    </row>
    <row r="5667" customFormat="false" ht="15" hidden="false" customHeight="false" outlineLevel="0" collapsed="false">
      <c r="A5667" s="0" t="n">
        <v>82</v>
      </c>
      <c r="B5667" s="0" t="s">
        <v>64</v>
      </c>
      <c r="C5667" s="0" t="n">
        <v>2013</v>
      </c>
      <c r="D5667" s="0" t="n">
        <v>7</v>
      </c>
      <c r="E5667" s="38" t="n">
        <v>149106.25</v>
      </c>
    </row>
    <row r="5668" customFormat="false" ht="15" hidden="false" customHeight="false" outlineLevel="0" collapsed="false">
      <c r="A5668" s="0" t="n">
        <v>82</v>
      </c>
      <c r="B5668" s="0" t="s">
        <v>64</v>
      </c>
      <c r="C5668" s="0" t="n">
        <v>2013</v>
      </c>
      <c r="D5668" s="0" t="n">
        <v>8</v>
      </c>
      <c r="E5668" s="38" t="n">
        <v>152277.12</v>
      </c>
    </row>
    <row r="5669" customFormat="false" ht="15" hidden="false" customHeight="false" outlineLevel="0" collapsed="false">
      <c r="A5669" s="0" t="n">
        <v>83</v>
      </c>
      <c r="B5669" s="0" t="s">
        <v>60</v>
      </c>
      <c r="C5669" s="0" t="n">
        <v>2011</v>
      </c>
      <c r="D5669" s="0" t="n">
        <v>1</v>
      </c>
      <c r="E5669" s="38" t="n">
        <v>601736.08</v>
      </c>
    </row>
    <row r="5670" customFormat="false" ht="15" hidden="false" customHeight="false" outlineLevel="0" collapsed="false">
      <c r="A5670" s="0" t="n">
        <v>83</v>
      </c>
      <c r="B5670" s="0" t="s">
        <v>60</v>
      </c>
      <c r="C5670" s="0" t="n">
        <v>2011</v>
      </c>
      <c r="D5670" s="0" t="n">
        <v>2</v>
      </c>
      <c r="E5670" s="38" t="n">
        <v>620040.93</v>
      </c>
    </row>
    <row r="5671" customFormat="false" ht="15" hidden="false" customHeight="false" outlineLevel="0" collapsed="false">
      <c r="A5671" s="0" t="n">
        <v>83</v>
      </c>
      <c r="B5671" s="0" t="s">
        <v>60</v>
      </c>
      <c r="C5671" s="0" t="n">
        <v>2011</v>
      </c>
      <c r="D5671" s="0" t="n">
        <v>3</v>
      </c>
      <c r="E5671" s="38" t="n">
        <v>517426.98</v>
      </c>
    </row>
    <row r="5672" customFormat="false" ht="15" hidden="false" customHeight="false" outlineLevel="0" collapsed="false">
      <c r="A5672" s="0" t="n">
        <v>83</v>
      </c>
      <c r="B5672" s="0" t="s">
        <v>60</v>
      </c>
      <c r="C5672" s="0" t="n">
        <v>2011</v>
      </c>
      <c r="D5672" s="0" t="n">
        <v>4</v>
      </c>
      <c r="E5672" s="38" t="n">
        <v>512889.22</v>
      </c>
    </row>
    <row r="5673" customFormat="false" ht="15" hidden="false" customHeight="false" outlineLevel="0" collapsed="false">
      <c r="A5673" s="0" t="n">
        <v>83</v>
      </c>
      <c r="B5673" s="0" t="s">
        <v>60</v>
      </c>
      <c r="C5673" s="0" t="n">
        <v>2011</v>
      </c>
      <c r="D5673" s="0" t="n">
        <v>5</v>
      </c>
      <c r="E5673" s="38" t="n">
        <v>490714.07</v>
      </c>
    </row>
    <row r="5674" customFormat="false" ht="15" hidden="false" customHeight="false" outlineLevel="0" collapsed="false">
      <c r="A5674" s="0" t="n">
        <v>83</v>
      </c>
      <c r="B5674" s="0" t="s">
        <v>60</v>
      </c>
      <c r="C5674" s="0" t="n">
        <v>2011</v>
      </c>
      <c r="D5674" s="0" t="n">
        <v>6</v>
      </c>
      <c r="E5674" s="38" t="n">
        <v>511972.64</v>
      </c>
    </row>
    <row r="5675" customFormat="false" ht="15" hidden="false" customHeight="false" outlineLevel="0" collapsed="false">
      <c r="A5675" s="0" t="n">
        <v>83</v>
      </c>
      <c r="B5675" s="0" t="s">
        <v>60</v>
      </c>
      <c r="C5675" s="0" t="n">
        <v>2011</v>
      </c>
      <c r="D5675" s="0" t="n">
        <v>7</v>
      </c>
      <c r="E5675" s="38" t="n">
        <v>497422.81</v>
      </c>
    </row>
    <row r="5676" customFormat="false" ht="15" hidden="false" customHeight="false" outlineLevel="0" collapsed="false">
      <c r="A5676" s="0" t="n">
        <v>83</v>
      </c>
      <c r="B5676" s="0" t="s">
        <v>60</v>
      </c>
      <c r="C5676" s="0" t="n">
        <v>2011</v>
      </c>
      <c r="D5676" s="0" t="n">
        <v>8</v>
      </c>
      <c r="E5676" s="38" t="n">
        <v>442092.9</v>
      </c>
    </row>
    <row r="5677" customFormat="false" ht="15" hidden="false" customHeight="false" outlineLevel="0" collapsed="false">
      <c r="A5677" s="0" t="n">
        <v>83</v>
      </c>
      <c r="B5677" s="0" t="s">
        <v>60</v>
      </c>
      <c r="C5677" s="0" t="n">
        <v>2011</v>
      </c>
      <c r="D5677" s="0" t="n">
        <v>9</v>
      </c>
      <c r="E5677" s="38" t="n">
        <v>441152.39</v>
      </c>
    </row>
    <row r="5678" customFormat="false" ht="15" hidden="false" customHeight="false" outlineLevel="0" collapsed="false">
      <c r="A5678" s="0" t="n">
        <v>83</v>
      </c>
      <c r="B5678" s="0" t="s">
        <v>60</v>
      </c>
      <c r="C5678" s="0" t="n">
        <v>2011</v>
      </c>
      <c r="D5678" s="0" t="n">
        <v>10</v>
      </c>
      <c r="E5678" s="38" t="n">
        <v>413280.46</v>
      </c>
    </row>
    <row r="5679" customFormat="false" ht="15" hidden="false" customHeight="false" outlineLevel="0" collapsed="false">
      <c r="A5679" s="0" t="n">
        <v>83</v>
      </c>
      <c r="B5679" s="0" t="s">
        <v>60</v>
      </c>
      <c r="C5679" s="0" t="n">
        <v>2011</v>
      </c>
      <c r="D5679" s="0" t="n">
        <v>11</v>
      </c>
      <c r="E5679" s="38" t="n">
        <v>547666.33</v>
      </c>
    </row>
    <row r="5680" customFormat="false" ht="15" hidden="false" customHeight="false" outlineLevel="0" collapsed="false">
      <c r="A5680" s="0" t="n">
        <v>83</v>
      </c>
      <c r="B5680" s="0" t="s">
        <v>60</v>
      </c>
      <c r="C5680" s="0" t="n">
        <v>2011</v>
      </c>
      <c r="D5680" s="0" t="n">
        <v>12</v>
      </c>
      <c r="E5680" s="38" t="n">
        <v>530508.87</v>
      </c>
    </row>
    <row r="5681" customFormat="false" ht="15" hidden="false" customHeight="false" outlineLevel="0" collapsed="false">
      <c r="A5681" s="0" t="n">
        <v>83</v>
      </c>
      <c r="B5681" s="0" t="s">
        <v>60</v>
      </c>
      <c r="C5681" s="0" t="n">
        <v>2012</v>
      </c>
      <c r="D5681" s="0" t="n">
        <v>1</v>
      </c>
      <c r="E5681" s="38" t="n">
        <v>494487.02</v>
      </c>
    </row>
    <row r="5682" customFormat="false" ht="15" hidden="false" customHeight="false" outlineLevel="0" collapsed="false">
      <c r="A5682" s="0" t="n">
        <v>83</v>
      </c>
      <c r="B5682" s="0" t="s">
        <v>60</v>
      </c>
      <c r="C5682" s="0" t="n">
        <v>2012</v>
      </c>
      <c r="D5682" s="0" t="n">
        <v>2</v>
      </c>
      <c r="E5682" s="38" t="n">
        <v>560961.29</v>
      </c>
    </row>
    <row r="5683" customFormat="false" ht="15" hidden="false" customHeight="false" outlineLevel="0" collapsed="false">
      <c r="A5683" s="0" t="n">
        <v>83</v>
      </c>
      <c r="B5683" s="0" t="s">
        <v>60</v>
      </c>
      <c r="C5683" s="0" t="n">
        <v>2012</v>
      </c>
      <c r="D5683" s="0" t="n">
        <v>3</v>
      </c>
      <c r="E5683" s="38" t="n">
        <v>506862.3</v>
      </c>
    </row>
    <row r="5684" customFormat="false" ht="15" hidden="false" customHeight="false" outlineLevel="0" collapsed="false">
      <c r="A5684" s="0" t="n">
        <v>83</v>
      </c>
      <c r="B5684" s="0" t="s">
        <v>60</v>
      </c>
      <c r="C5684" s="0" t="n">
        <v>2012</v>
      </c>
      <c r="D5684" s="0" t="n">
        <v>4</v>
      </c>
      <c r="E5684" s="38" t="n">
        <v>461705.7</v>
      </c>
    </row>
    <row r="5685" customFormat="false" ht="15" hidden="false" customHeight="false" outlineLevel="0" collapsed="false">
      <c r="A5685" s="0" t="n">
        <v>83</v>
      </c>
      <c r="B5685" s="0" t="s">
        <v>60</v>
      </c>
      <c r="C5685" s="0" t="n">
        <v>2012</v>
      </c>
      <c r="D5685" s="0" t="n">
        <v>5</v>
      </c>
      <c r="E5685" s="38" t="n">
        <v>445819.19</v>
      </c>
    </row>
    <row r="5686" customFormat="false" ht="15" hidden="false" customHeight="false" outlineLevel="0" collapsed="false">
      <c r="A5686" s="0" t="n">
        <v>83</v>
      </c>
      <c r="B5686" s="0" t="s">
        <v>60</v>
      </c>
      <c r="C5686" s="0" t="n">
        <v>2012</v>
      </c>
      <c r="D5686" s="0" t="n">
        <v>6</v>
      </c>
      <c r="E5686" s="38" t="n">
        <v>472374.54</v>
      </c>
    </row>
    <row r="5687" customFormat="false" ht="15" hidden="false" customHeight="false" outlineLevel="0" collapsed="false">
      <c r="A5687" s="0" t="n">
        <v>83</v>
      </c>
      <c r="B5687" s="0" t="s">
        <v>60</v>
      </c>
      <c r="C5687" s="0" t="n">
        <v>2012</v>
      </c>
      <c r="D5687" s="0" t="n">
        <v>7</v>
      </c>
      <c r="E5687" s="38" t="n">
        <v>469272.05</v>
      </c>
    </row>
    <row r="5688" customFormat="false" ht="15" hidden="false" customHeight="false" outlineLevel="0" collapsed="false">
      <c r="A5688" s="0" t="n">
        <v>83</v>
      </c>
      <c r="B5688" s="0" t="s">
        <v>60</v>
      </c>
      <c r="C5688" s="0" t="n">
        <v>2012</v>
      </c>
      <c r="D5688" s="0" t="n">
        <v>8</v>
      </c>
      <c r="E5688" s="38" t="n">
        <v>430938.88</v>
      </c>
    </row>
    <row r="5689" customFormat="false" ht="15" hidden="false" customHeight="false" outlineLevel="0" collapsed="false">
      <c r="A5689" s="0" t="n">
        <v>83</v>
      </c>
      <c r="B5689" s="0" t="s">
        <v>60</v>
      </c>
      <c r="C5689" s="0" t="n">
        <v>2012</v>
      </c>
      <c r="D5689" s="0" t="n">
        <v>9</v>
      </c>
      <c r="E5689" s="38" t="n">
        <v>432826.21</v>
      </c>
    </row>
    <row r="5690" customFormat="false" ht="15" hidden="false" customHeight="false" outlineLevel="0" collapsed="false">
      <c r="A5690" s="0" t="n">
        <v>83</v>
      </c>
      <c r="B5690" s="0" t="s">
        <v>60</v>
      </c>
      <c r="C5690" s="0" t="n">
        <v>2012</v>
      </c>
      <c r="D5690" s="0" t="n">
        <v>10</v>
      </c>
      <c r="E5690" s="38" t="n">
        <v>399387.33</v>
      </c>
    </row>
    <row r="5691" customFormat="false" ht="15" hidden="false" customHeight="false" outlineLevel="0" collapsed="false">
      <c r="A5691" s="0" t="n">
        <v>83</v>
      </c>
      <c r="B5691" s="0" t="s">
        <v>60</v>
      </c>
      <c r="C5691" s="0" t="n">
        <v>2012</v>
      </c>
      <c r="D5691" s="0" t="n">
        <v>11</v>
      </c>
      <c r="E5691" s="38" t="n">
        <v>512459.56</v>
      </c>
    </row>
    <row r="5692" customFormat="false" ht="15" hidden="false" customHeight="false" outlineLevel="0" collapsed="false">
      <c r="A5692" s="0" t="n">
        <v>83</v>
      </c>
      <c r="B5692" s="0" t="s">
        <v>60</v>
      </c>
      <c r="C5692" s="0" t="n">
        <v>2012</v>
      </c>
      <c r="D5692" s="0" t="n">
        <v>12</v>
      </c>
      <c r="E5692" s="38" t="n">
        <v>521081.39</v>
      </c>
    </row>
    <row r="5693" customFormat="false" ht="15" hidden="false" customHeight="false" outlineLevel="0" collapsed="false">
      <c r="A5693" s="0" t="n">
        <v>83</v>
      </c>
      <c r="B5693" s="0" t="s">
        <v>60</v>
      </c>
      <c r="C5693" s="0" t="n">
        <v>2013</v>
      </c>
      <c r="D5693" s="0" t="n">
        <v>1</v>
      </c>
      <c r="E5693" s="38" t="n">
        <v>521960.43</v>
      </c>
    </row>
    <row r="5694" customFormat="false" ht="15" hidden="false" customHeight="false" outlineLevel="0" collapsed="false">
      <c r="A5694" s="0" t="n">
        <v>83</v>
      </c>
      <c r="B5694" s="0" t="s">
        <v>60</v>
      </c>
      <c r="C5694" s="0" t="n">
        <v>2013</v>
      </c>
      <c r="D5694" s="0" t="n">
        <v>2</v>
      </c>
      <c r="E5694" s="38" t="n">
        <v>543594.95</v>
      </c>
    </row>
    <row r="5695" customFormat="false" ht="15" hidden="false" customHeight="false" outlineLevel="0" collapsed="false">
      <c r="A5695" s="0" t="n">
        <v>83</v>
      </c>
      <c r="B5695" s="0" t="s">
        <v>60</v>
      </c>
      <c r="C5695" s="0" t="n">
        <v>2013</v>
      </c>
      <c r="D5695" s="0" t="n">
        <v>3</v>
      </c>
      <c r="E5695" s="38" t="n">
        <v>499020.75</v>
      </c>
    </row>
    <row r="5696" customFormat="false" ht="15" hidden="false" customHeight="false" outlineLevel="0" collapsed="false">
      <c r="A5696" s="0" t="n">
        <v>83</v>
      </c>
      <c r="B5696" s="0" t="s">
        <v>60</v>
      </c>
      <c r="C5696" s="0" t="n">
        <v>2013</v>
      </c>
      <c r="D5696" s="0" t="n">
        <v>4</v>
      </c>
      <c r="E5696" s="38" t="n">
        <v>476385.04</v>
      </c>
    </row>
    <row r="5697" customFormat="false" ht="15" hidden="false" customHeight="false" outlineLevel="0" collapsed="false">
      <c r="A5697" s="0" t="n">
        <v>83</v>
      </c>
      <c r="B5697" s="0" t="s">
        <v>60</v>
      </c>
      <c r="C5697" s="0" t="n">
        <v>2013</v>
      </c>
      <c r="D5697" s="0" t="n">
        <v>5</v>
      </c>
      <c r="E5697" s="38" t="n">
        <v>466632.8</v>
      </c>
    </row>
    <row r="5698" customFormat="false" ht="15" hidden="false" customHeight="false" outlineLevel="0" collapsed="false">
      <c r="A5698" s="0" t="n">
        <v>83</v>
      </c>
      <c r="B5698" s="0" t="s">
        <v>60</v>
      </c>
      <c r="C5698" s="0" t="n">
        <v>2013</v>
      </c>
      <c r="D5698" s="0" t="n">
        <v>6</v>
      </c>
      <c r="E5698" s="38" t="n">
        <v>493091.95</v>
      </c>
    </row>
    <row r="5699" customFormat="false" ht="15" hidden="false" customHeight="false" outlineLevel="0" collapsed="false">
      <c r="A5699" s="0" t="n">
        <v>83</v>
      </c>
      <c r="B5699" s="0" t="s">
        <v>60</v>
      </c>
      <c r="C5699" s="0" t="n">
        <v>2013</v>
      </c>
      <c r="D5699" s="0" t="n">
        <v>7</v>
      </c>
      <c r="E5699" s="38" t="n">
        <v>475646.27</v>
      </c>
    </row>
    <row r="5700" customFormat="false" ht="15" hidden="false" customHeight="false" outlineLevel="0" collapsed="false">
      <c r="A5700" s="0" t="n">
        <v>83</v>
      </c>
      <c r="B5700" s="0" t="s">
        <v>60</v>
      </c>
      <c r="C5700" s="0" t="n">
        <v>2013</v>
      </c>
      <c r="D5700" s="0" t="n">
        <v>8</v>
      </c>
      <c r="E5700" s="38" t="n">
        <v>462161.68</v>
      </c>
    </row>
    <row r="5701" customFormat="false" ht="15" hidden="false" customHeight="false" outlineLevel="0" collapsed="false">
      <c r="A5701" s="0" t="n">
        <v>83</v>
      </c>
      <c r="B5701" s="0" t="s">
        <v>62</v>
      </c>
      <c r="C5701" s="0" t="n">
        <v>2011</v>
      </c>
      <c r="D5701" s="0" t="n">
        <v>1</v>
      </c>
      <c r="E5701" s="38" t="n">
        <v>44243.27</v>
      </c>
    </row>
    <row r="5702" customFormat="false" ht="15" hidden="false" customHeight="false" outlineLevel="0" collapsed="false">
      <c r="A5702" s="0" t="n">
        <v>83</v>
      </c>
      <c r="B5702" s="0" t="s">
        <v>62</v>
      </c>
      <c r="C5702" s="0" t="n">
        <v>2011</v>
      </c>
      <c r="D5702" s="0" t="n">
        <v>2</v>
      </c>
      <c r="E5702" s="38" t="n">
        <v>60988.38</v>
      </c>
    </row>
    <row r="5703" customFormat="false" ht="15" hidden="false" customHeight="false" outlineLevel="0" collapsed="false">
      <c r="A5703" s="0" t="n">
        <v>83</v>
      </c>
      <c r="B5703" s="0" t="s">
        <v>62</v>
      </c>
      <c r="C5703" s="0" t="n">
        <v>2011</v>
      </c>
      <c r="D5703" s="0" t="n">
        <v>3</v>
      </c>
      <c r="E5703" s="38" t="n">
        <v>48759.75</v>
      </c>
    </row>
    <row r="5704" customFormat="false" ht="15" hidden="false" customHeight="false" outlineLevel="0" collapsed="false">
      <c r="A5704" s="0" t="n">
        <v>83</v>
      </c>
      <c r="B5704" s="0" t="s">
        <v>62</v>
      </c>
      <c r="C5704" s="0" t="n">
        <v>2011</v>
      </c>
      <c r="D5704" s="0" t="n">
        <v>4</v>
      </c>
      <c r="E5704" s="38" t="n">
        <v>55499.29</v>
      </c>
    </row>
    <row r="5705" customFormat="false" ht="15" hidden="false" customHeight="false" outlineLevel="0" collapsed="false">
      <c r="A5705" s="0" t="n">
        <v>83</v>
      </c>
      <c r="B5705" s="0" t="s">
        <v>62</v>
      </c>
      <c r="C5705" s="0" t="n">
        <v>2011</v>
      </c>
      <c r="D5705" s="0" t="n">
        <v>5</v>
      </c>
      <c r="E5705" s="38" t="n">
        <v>48973.43</v>
      </c>
    </row>
    <row r="5706" customFormat="false" ht="15" hidden="false" customHeight="false" outlineLevel="0" collapsed="false">
      <c r="A5706" s="0" t="n">
        <v>83</v>
      </c>
      <c r="B5706" s="0" t="s">
        <v>62</v>
      </c>
      <c r="C5706" s="0" t="n">
        <v>2011</v>
      </c>
      <c r="D5706" s="0" t="n">
        <v>6</v>
      </c>
      <c r="E5706" s="38" t="n">
        <v>58889.64</v>
      </c>
    </row>
    <row r="5707" customFormat="false" ht="15" hidden="false" customHeight="false" outlineLevel="0" collapsed="false">
      <c r="A5707" s="0" t="n">
        <v>83</v>
      </c>
      <c r="B5707" s="0" t="s">
        <v>62</v>
      </c>
      <c r="C5707" s="0" t="n">
        <v>2011</v>
      </c>
      <c r="D5707" s="0" t="n">
        <v>7</v>
      </c>
      <c r="E5707" s="38" t="n">
        <v>49308.53</v>
      </c>
    </row>
    <row r="5708" customFormat="false" ht="15" hidden="false" customHeight="false" outlineLevel="0" collapsed="false">
      <c r="A5708" s="0" t="n">
        <v>83</v>
      </c>
      <c r="B5708" s="0" t="s">
        <v>62</v>
      </c>
      <c r="C5708" s="0" t="n">
        <v>2011</v>
      </c>
      <c r="D5708" s="0" t="n">
        <v>8</v>
      </c>
      <c r="E5708" s="38" t="n">
        <v>39670.53</v>
      </c>
    </row>
    <row r="5709" customFormat="false" ht="15" hidden="false" customHeight="false" outlineLevel="0" collapsed="false">
      <c r="A5709" s="0" t="n">
        <v>83</v>
      </c>
      <c r="B5709" s="0" t="s">
        <v>62</v>
      </c>
      <c r="C5709" s="0" t="n">
        <v>2011</v>
      </c>
      <c r="D5709" s="0" t="n">
        <v>9</v>
      </c>
      <c r="E5709" s="38" t="n">
        <v>42082.84</v>
      </c>
    </row>
    <row r="5710" customFormat="false" ht="15" hidden="false" customHeight="false" outlineLevel="0" collapsed="false">
      <c r="A5710" s="0" t="n">
        <v>83</v>
      </c>
      <c r="B5710" s="0" t="s">
        <v>62</v>
      </c>
      <c r="C5710" s="0" t="n">
        <v>2011</v>
      </c>
      <c r="D5710" s="0" t="n">
        <v>10</v>
      </c>
      <c r="E5710" s="38" t="n">
        <v>45370.09</v>
      </c>
    </row>
    <row r="5711" customFormat="false" ht="15" hidden="false" customHeight="false" outlineLevel="0" collapsed="false">
      <c r="A5711" s="0" t="n">
        <v>83</v>
      </c>
      <c r="B5711" s="0" t="s">
        <v>62</v>
      </c>
      <c r="C5711" s="0" t="n">
        <v>2011</v>
      </c>
      <c r="D5711" s="0" t="n">
        <v>11</v>
      </c>
      <c r="E5711" s="38" t="n">
        <v>61287.73</v>
      </c>
    </row>
    <row r="5712" customFormat="false" ht="15" hidden="false" customHeight="false" outlineLevel="0" collapsed="false">
      <c r="A5712" s="0" t="n">
        <v>83</v>
      </c>
      <c r="B5712" s="0" t="s">
        <v>62</v>
      </c>
      <c r="C5712" s="0" t="n">
        <v>2011</v>
      </c>
      <c r="D5712" s="0" t="n">
        <v>12</v>
      </c>
      <c r="E5712" s="38" t="n">
        <v>49578.06</v>
      </c>
    </row>
    <row r="5713" customFormat="false" ht="15" hidden="false" customHeight="false" outlineLevel="0" collapsed="false">
      <c r="A5713" s="0" t="n">
        <v>83</v>
      </c>
      <c r="B5713" s="0" t="s">
        <v>62</v>
      </c>
      <c r="C5713" s="0" t="n">
        <v>2012</v>
      </c>
      <c r="D5713" s="0" t="n">
        <v>1</v>
      </c>
      <c r="E5713" s="38" t="n">
        <v>45027.29</v>
      </c>
    </row>
    <row r="5714" customFormat="false" ht="15" hidden="false" customHeight="false" outlineLevel="0" collapsed="false">
      <c r="A5714" s="0" t="n">
        <v>83</v>
      </c>
      <c r="B5714" s="0" t="s">
        <v>62</v>
      </c>
      <c r="C5714" s="0" t="n">
        <v>2012</v>
      </c>
      <c r="D5714" s="0" t="n">
        <v>2</v>
      </c>
      <c r="E5714" s="38" t="n">
        <v>49858.24</v>
      </c>
    </row>
    <row r="5715" customFormat="false" ht="15" hidden="false" customHeight="false" outlineLevel="0" collapsed="false">
      <c r="A5715" s="0" t="n">
        <v>83</v>
      </c>
      <c r="B5715" s="0" t="s">
        <v>62</v>
      </c>
      <c r="C5715" s="0" t="n">
        <v>2012</v>
      </c>
      <c r="D5715" s="0" t="n">
        <v>3</v>
      </c>
      <c r="E5715" s="38" t="n">
        <v>41213.61</v>
      </c>
    </row>
    <row r="5716" customFormat="false" ht="15" hidden="false" customHeight="false" outlineLevel="0" collapsed="false">
      <c r="A5716" s="0" t="n">
        <v>83</v>
      </c>
      <c r="B5716" s="0" t="s">
        <v>62</v>
      </c>
      <c r="C5716" s="0" t="n">
        <v>2012</v>
      </c>
      <c r="D5716" s="0" t="n">
        <v>4</v>
      </c>
      <c r="E5716" s="38" t="n">
        <v>35189.69</v>
      </c>
    </row>
    <row r="5717" customFormat="false" ht="15" hidden="false" customHeight="false" outlineLevel="0" collapsed="false">
      <c r="A5717" s="0" t="n">
        <v>83</v>
      </c>
      <c r="B5717" s="0" t="s">
        <v>62</v>
      </c>
      <c r="C5717" s="0" t="n">
        <v>2012</v>
      </c>
      <c r="D5717" s="0" t="n">
        <v>5</v>
      </c>
      <c r="E5717" s="38" t="n">
        <v>32760.2</v>
      </c>
    </row>
    <row r="5718" customFormat="false" ht="15" hidden="false" customHeight="false" outlineLevel="0" collapsed="false">
      <c r="A5718" s="0" t="n">
        <v>83</v>
      </c>
      <c r="B5718" s="0" t="s">
        <v>62</v>
      </c>
      <c r="C5718" s="0" t="n">
        <v>2012</v>
      </c>
      <c r="D5718" s="0" t="n">
        <v>6</v>
      </c>
      <c r="E5718" s="38" t="n">
        <v>30189.29</v>
      </c>
    </row>
    <row r="5719" customFormat="false" ht="15" hidden="false" customHeight="false" outlineLevel="0" collapsed="false">
      <c r="A5719" s="0" t="n">
        <v>83</v>
      </c>
      <c r="B5719" s="0" t="s">
        <v>62</v>
      </c>
      <c r="C5719" s="0" t="n">
        <v>2012</v>
      </c>
      <c r="D5719" s="0" t="n">
        <v>7</v>
      </c>
      <c r="E5719" s="38" t="n">
        <v>27083.38</v>
      </c>
    </row>
    <row r="5720" customFormat="false" ht="15" hidden="false" customHeight="false" outlineLevel="0" collapsed="false">
      <c r="A5720" s="0" t="n">
        <v>83</v>
      </c>
      <c r="B5720" s="0" t="s">
        <v>62</v>
      </c>
      <c r="C5720" s="0" t="n">
        <v>2012</v>
      </c>
      <c r="D5720" s="0" t="n">
        <v>8</v>
      </c>
      <c r="E5720" s="38" t="n">
        <v>24352.66</v>
      </c>
    </row>
    <row r="5721" customFormat="false" ht="15" hidden="false" customHeight="false" outlineLevel="0" collapsed="false">
      <c r="A5721" s="0" t="n">
        <v>83</v>
      </c>
      <c r="B5721" s="0" t="s">
        <v>62</v>
      </c>
      <c r="C5721" s="0" t="n">
        <v>2012</v>
      </c>
      <c r="D5721" s="0" t="n">
        <v>9</v>
      </c>
      <c r="E5721" s="38" t="n">
        <v>41336.44</v>
      </c>
    </row>
    <row r="5722" customFormat="false" ht="15" hidden="false" customHeight="false" outlineLevel="0" collapsed="false">
      <c r="A5722" s="0" t="n">
        <v>83</v>
      </c>
      <c r="B5722" s="0" t="s">
        <v>62</v>
      </c>
      <c r="C5722" s="0" t="n">
        <v>2012</v>
      </c>
      <c r="D5722" s="0" t="n">
        <v>10</v>
      </c>
      <c r="E5722" s="38" t="n">
        <v>43356.89</v>
      </c>
    </row>
    <row r="5723" customFormat="false" ht="15" hidden="false" customHeight="false" outlineLevel="0" collapsed="false">
      <c r="A5723" s="0" t="n">
        <v>83</v>
      </c>
      <c r="B5723" s="0" t="s">
        <v>62</v>
      </c>
      <c r="C5723" s="0" t="n">
        <v>2012</v>
      </c>
      <c r="D5723" s="0" t="n">
        <v>11</v>
      </c>
      <c r="E5723" s="38" t="n">
        <v>57722.26</v>
      </c>
    </row>
    <row r="5724" customFormat="false" ht="15" hidden="false" customHeight="false" outlineLevel="0" collapsed="false">
      <c r="A5724" s="0" t="n">
        <v>83</v>
      </c>
      <c r="B5724" s="0" t="s">
        <v>62</v>
      </c>
      <c r="C5724" s="0" t="n">
        <v>2012</v>
      </c>
      <c r="D5724" s="0" t="n">
        <v>12</v>
      </c>
      <c r="E5724" s="38" t="n">
        <v>51944.89</v>
      </c>
    </row>
    <row r="5725" customFormat="false" ht="15" hidden="false" customHeight="false" outlineLevel="0" collapsed="false">
      <c r="A5725" s="0" t="n">
        <v>83</v>
      </c>
      <c r="B5725" s="0" t="s">
        <v>62</v>
      </c>
      <c r="C5725" s="0" t="n">
        <v>2013</v>
      </c>
      <c r="D5725" s="0" t="n">
        <v>1</v>
      </c>
      <c r="E5725" s="38" t="n">
        <v>46019.75</v>
      </c>
    </row>
    <row r="5726" customFormat="false" ht="15" hidden="false" customHeight="false" outlineLevel="0" collapsed="false">
      <c r="A5726" s="0" t="n">
        <v>83</v>
      </c>
      <c r="B5726" s="0" t="s">
        <v>62</v>
      </c>
      <c r="C5726" s="0" t="n">
        <v>2013</v>
      </c>
      <c r="D5726" s="0" t="n">
        <v>2</v>
      </c>
      <c r="E5726" s="38" t="n">
        <v>55678.71</v>
      </c>
    </row>
    <row r="5727" customFormat="false" ht="15" hidden="false" customHeight="false" outlineLevel="0" collapsed="false">
      <c r="A5727" s="0" t="n">
        <v>83</v>
      </c>
      <c r="B5727" s="0" t="s">
        <v>62</v>
      </c>
      <c r="C5727" s="0" t="n">
        <v>2013</v>
      </c>
      <c r="D5727" s="0" t="n">
        <v>3</v>
      </c>
      <c r="E5727" s="38" t="n">
        <v>48513.26</v>
      </c>
    </row>
    <row r="5728" customFormat="false" ht="15" hidden="false" customHeight="false" outlineLevel="0" collapsed="false">
      <c r="A5728" s="0" t="n">
        <v>83</v>
      </c>
      <c r="B5728" s="0" t="s">
        <v>62</v>
      </c>
      <c r="C5728" s="0" t="n">
        <v>2013</v>
      </c>
      <c r="D5728" s="0" t="n">
        <v>4</v>
      </c>
      <c r="E5728" s="38" t="n">
        <v>38543.83</v>
      </c>
    </row>
    <row r="5729" customFormat="false" ht="15" hidden="false" customHeight="false" outlineLevel="0" collapsed="false">
      <c r="A5729" s="0" t="n">
        <v>83</v>
      </c>
      <c r="B5729" s="0" t="s">
        <v>62</v>
      </c>
      <c r="C5729" s="0" t="n">
        <v>2013</v>
      </c>
      <c r="D5729" s="0" t="n">
        <v>5</v>
      </c>
      <c r="E5729" s="38" t="n">
        <v>39314.24</v>
      </c>
    </row>
    <row r="5730" customFormat="false" ht="15" hidden="false" customHeight="false" outlineLevel="0" collapsed="false">
      <c r="A5730" s="0" t="n">
        <v>83</v>
      </c>
      <c r="B5730" s="0" t="s">
        <v>62</v>
      </c>
      <c r="C5730" s="0" t="n">
        <v>2013</v>
      </c>
      <c r="D5730" s="0" t="n">
        <v>6</v>
      </c>
      <c r="E5730" s="38" t="n">
        <v>44885.91</v>
      </c>
    </row>
    <row r="5731" customFormat="false" ht="15" hidden="false" customHeight="false" outlineLevel="0" collapsed="false">
      <c r="A5731" s="0" t="n">
        <v>83</v>
      </c>
      <c r="B5731" s="0" t="s">
        <v>62</v>
      </c>
      <c r="C5731" s="0" t="n">
        <v>2013</v>
      </c>
      <c r="D5731" s="0" t="n">
        <v>7</v>
      </c>
      <c r="E5731" s="38" t="n">
        <v>41797.9</v>
      </c>
    </row>
    <row r="5732" customFormat="false" ht="15" hidden="false" customHeight="false" outlineLevel="0" collapsed="false">
      <c r="A5732" s="0" t="n">
        <v>83</v>
      </c>
      <c r="B5732" s="0" t="s">
        <v>62</v>
      </c>
      <c r="C5732" s="0" t="n">
        <v>2013</v>
      </c>
      <c r="D5732" s="0" t="n">
        <v>8</v>
      </c>
      <c r="E5732" s="38" t="n">
        <v>44910.21</v>
      </c>
    </row>
    <row r="5733" customFormat="false" ht="15" hidden="false" customHeight="false" outlineLevel="0" collapsed="false">
      <c r="A5733" s="0" t="n">
        <v>83</v>
      </c>
      <c r="B5733" s="0" t="s">
        <v>64</v>
      </c>
      <c r="C5733" s="0" t="n">
        <v>2011</v>
      </c>
      <c r="D5733" s="0" t="n">
        <v>1</v>
      </c>
      <c r="E5733" s="38" t="n">
        <v>77545.39</v>
      </c>
    </row>
    <row r="5734" customFormat="false" ht="15" hidden="false" customHeight="false" outlineLevel="0" collapsed="false">
      <c r="A5734" s="0" t="n">
        <v>83</v>
      </c>
      <c r="B5734" s="0" t="s">
        <v>64</v>
      </c>
      <c r="C5734" s="0" t="n">
        <v>2011</v>
      </c>
      <c r="D5734" s="0" t="n">
        <v>2</v>
      </c>
      <c r="E5734" s="38" t="n">
        <v>83322.21</v>
      </c>
    </row>
    <row r="5735" customFormat="false" ht="15" hidden="false" customHeight="false" outlineLevel="0" collapsed="false">
      <c r="A5735" s="0" t="n">
        <v>83</v>
      </c>
      <c r="B5735" s="0" t="s">
        <v>64</v>
      </c>
      <c r="C5735" s="0" t="n">
        <v>2011</v>
      </c>
      <c r="D5735" s="0" t="n">
        <v>3</v>
      </c>
      <c r="E5735" s="38" t="n">
        <v>66784.68</v>
      </c>
    </row>
    <row r="5736" customFormat="false" ht="15" hidden="false" customHeight="false" outlineLevel="0" collapsed="false">
      <c r="A5736" s="0" t="n">
        <v>83</v>
      </c>
      <c r="B5736" s="0" t="s">
        <v>64</v>
      </c>
      <c r="C5736" s="0" t="n">
        <v>2011</v>
      </c>
      <c r="D5736" s="0" t="n">
        <v>4</v>
      </c>
      <c r="E5736" s="38" t="n">
        <v>68775.3</v>
      </c>
    </row>
    <row r="5737" customFormat="false" ht="15" hidden="false" customHeight="false" outlineLevel="0" collapsed="false">
      <c r="A5737" s="0" t="n">
        <v>83</v>
      </c>
      <c r="B5737" s="0" t="s">
        <v>64</v>
      </c>
      <c r="C5737" s="0" t="n">
        <v>2011</v>
      </c>
      <c r="D5737" s="0" t="n">
        <v>5</v>
      </c>
      <c r="E5737" s="38" t="n">
        <v>68582.67</v>
      </c>
    </row>
    <row r="5738" customFormat="false" ht="15" hidden="false" customHeight="false" outlineLevel="0" collapsed="false">
      <c r="A5738" s="0" t="n">
        <v>83</v>
      </c>
      <c r="B5738" s="0" t="s">
        <v>64</v>
      </c>
      <c r="C5738" s="0" t="n">
        <v>2011</v>
      </c>
      <c r="D5738" s="0" t="n">
        <v>6</v>
      </c>
      <c r="E5738" s="38" t="n">
        <v>80508.32</v>
      </c>
    </row>
    <row r="5739" customFormat="false" ht="15" hidden="false" customHeight="false" outlineLevel="0" collapsed="false">
      <c r="A5739" s="0" t="n">
        <v>83</v>
      </c>
      <c r="B5739" s="0" t="s">
        <v>64</v>
      </c>
      <c r="C5739" s="0" t="n">
        <v>2011</v>
      </c>
      <c r="D5739" s="0" t="n">
        <v>7</v>
      </c>
      <c r="E5739" s="38" t="n">
        <v>77894.04</v>
      </c>
    </row>
    <row r="5740" customFormat="false" ht="15" hidden="false" customHeight="false" outlineLevel="0" collapsed="false">
      <c r="A5740" s="0" t="n">
        <v>83</v>
      </c>
      <c r="B5740" s="0" t="s">
        <v>64</v>
      </c>
      <c r="C5740" s="0" t="n">
        <v>2011</v>
      </c>
      <c r="D5740" s="0" t="n">
        <v>8</v>
      </c>
      <c r="E5740" s="38" t="n">
        <v>67996.04</v>
      </c>
    </row>
    <row r="5741" customFormat="false" ht="15" hidden="false" customHeight="false" outlineLevel="0" collapsed="false">
      <c r="A5741" s="0" t="n">
        <v>83</v>
      </c>
      <c r="B5741" s="0" t="s">
        <v>64</v>
      </c>
      <c r="C5741" s="0" t="n">
        <v>2011</v>
      </c>
      <c r="D5741" s="0" t="n">
        <v>9</v>
      </c>
      <c r="E5741" s="38" t="n">
        <v>69124.65</v>
      </c>
    </row>
    <row r="5742" customFormat="false" ht="15" hidden="false" customHeight="false" outlineLevel="0" collapsed="false">
      <c r="A5742" s="0" t="n">
        <v>83</v>
      </c>
      <c r="B5742" s="0" t="s">
        <v>64</v>
      </c>
      <c r="C5742" s="0" t="n">
        <v>2011</v>
      </c>
      <c r="D5742" s="0" t="n">
        <v>10</v>
      </c>
      <c r="E5742" s="38" t="n">
        <v>56478.91</v>
      </c>
    </row>
    <row r="5743" customFormat="false" ht="15" hidden="false" customHeight="false" outlineLevel="0" collapsed="false">
      <c r="A5743" s="0" t="n">
        <v>83</v>
      </c>
      <c r="B5743" s="0" t="s">
        <v>64</v>
      </c>
      <c r="C5743" s="0" t="n">
        <v>2011</v>
      </c>
      <c r="D5743" s="0" t="n">
        <v>11</v>
      </c>
      <c r="E5743" s="38" t="n">
        <v>66857.28</v>
      </c>
    </row>
    <row r="5744" customFormat="false" ht="15" hidden="false" customHeight="false" outlineLevel="0" collapsed="false">
      <c r="A5744" s="0" t="n">
        <v>83</v>
      </c>
      <c r="B5744" s="0" t="s">
        <v>64</v>
      </c>
      <c r="C5744" s="0" t="n">
        <v>2011</v>
      </c>
      <c r="D5744" s="0" t="n">
        <v>12</v>
      </c>
      <c r="E5744" s="38" t="n">
        <v>78306.58</v>
      </c>
    </row>
    <row r="5745" customFormat="false" ht="15" hidden="false" customHeight="false" outlineLevel="0" collapsed="false">
      <c r="A5745" s="0" t="n">
        <v>83</v>
      </c>
      <c r="B5745" s="0" t="s">
        <v>64</v>
      </c>
      <c r="C5745" s="0" t="n">
        <v>2012</v>
      </c>
      <c r="D5745" s="0" t="n">
        <v>1</v>
      </c>
      <c r="E5745" s="38" t="n">
        <v>67695.14</v>
      </c>
    </row>
    <row r="5746" customFormat="false" ht="15" hidden="false" customHeight="false" outlineLevel="0" collapsed="false">
      <c r="A5746" s="0" t="n">
        <v>83</v>
      </c>
      <c r="B5746" s="0" t="s">
        <v>64</v>
      </c>
      <c r="C5746" s="0" t="n">
        <v>2012</v>
      </c>
      <c r="D5746" s="0" t="n">
        <v>2</v>
      </c>
      <c r="E5746" s="38" t="n">
        <v>86015.55</v>
      </c>
    </row>
    <row r="5747" customFormat="false" ht="15" hidden="false" customHeight="false" outlineLevel="0" collapsed="false">
      <c r="A5747" s="0" t="n">
        <v>83</v>
      </c>
      <c r="B5747" s="0" t="s">
        <v>64</v>
      </c>
      <c r="C5747" s="0" t="n">
        <v>2012</v>
      </c>
      <c r="D5747" s="0" t="n">
        <v>3</v>
      </c>
      <c r="E5747" s="38" t="n">
        <v>76369.36</v>
      </c>
    </row>
    <row r="5748" customFormat="false" ht="15" hidden="false" customHeight="false" outlineLevel="0" collapsed="false">
      <c r="A5748" s="0" t="n">
        <v>83</v>
      </c>
      <c r="B5748" s="0" t="s">
        <v>64</v>
      </c>
      <c r="C5748" s="0" t="n">
        <v>2012</v>
      </c>
      <c r="D5748" s="0" t="n">
        <v>4</v>
      </c>
      <c r="E5748" s="38" t="n">
        <v>67107.81</v>
      </c>
    </row>
    <row r="5749" customFormat="false" ht="15" hidden="false" customHeight="false" outlineLevel="0" collapsed="false">
      <c r="A5749" s="0" t="n">
        <v>83</v>
      </c>
      <c r="B5749" s="0" t="s">
        <v>64</v>
      </c>
      <c r="C5749" s="0" t="n">
        <v>2012</v>
      </c>
      <c r="D5749" s="0" t="n">
        <v>5</v>
      </c>
      <c r="E5749" s="38" t="n">
        <v>64741.92</v>
      </c>
    </row>
    <row r="5750" customFormat="false" ht="15" hidden="false" customHeight="false" outlineLevel="0" collapsed="false">
      <c r="A5750" s="0" t="n">
        <v>83</v>
      </c>
      <c r="B5750" s="0" t="s">
        <v>64</v>
      </c>
      <c r="C5750" s="0" t="n">
        <v>2012</v>
      </c>
      <c r="D5750" s="0" t="n">
        <v>6</v>
      </c>
      <c r="E5750" s="38" t="n">
        <v>69596.56</v>
      </c>
    </row>
    <row r="5751" customFormat="false" ht="15" hidden="false" customHeight="false" outlineLevel="0" collapsed="false">
      <c r="A5751" s="0" t="n">
        <v>83</v>
      </c>
      <c r="B5751" s="0" t="s">
        <v>64</v>
      </c>
      <c r="C5751" s="0" t="n">
        <v>2012</v>
      </c>
      <c r="D5751" s="0" t="n">
        <v>7</v>
      </c>
      <c r="E5751" s="38" t="n">
        <v>66754.47</v>
      </c>
    </row>
    <row r="5752" customFormat="false" ht="15" hidden="false" customHeight="false" outlineLevel="0" collapsed="false">
      <c r="A5752" s="0" t="n">
        <v>83</v>
      </c>
      <c r="B5752" s="0" t="s">
        <v>64</v>
      </c>
      <c r="C5752" s="0" t="n">
        <v>2012</v>
      </c>
      <c r="D5752" s="0" t="n">
        <v>8</v>
      </c>
      <c r="E5752" s="38" t="n">
        <v>61169.87</v>
      </c>
    </row>
    <row r="5753" customFormat="false" ht="15" hidden="false" customHeight="false" outlineLevel="0" collapsed="false">
      <c r="A5753" s="0" t="n">
        <v>83</v>
      </c>
      <c r="B5753" s="0" t="s">
        <v>64</v>
      </c>
      <c r="C5753" s="0" t="n">
        <v>2012</v>
      </c>
      <c r="D5753" s="0" t="n">
        <v>9</v>
      </c>
      <c r="E5753" s="38" t="n">
        <v>59542.45</v>
      </c>
    </row>
    <row r="5754" customFormat="false" ht="15" hidden="false" customHeight="false" outlineLevel="0" collapsed="false">
      <c r="A5754" s="0" t="n">
        <v>83</v>
      </c>
      <c r="B5754" s="0" t="s">
        <v>64</v>
      </c>
      <c r="C5754" s="0" t="n">
        <v>2012</v>
      </c>
      <c r="D5754" s="0" t="n">
        <v>10</v>
      </c>
      <c r="E5754" s="38" t="n">
        <v>52450.92</v>
      </c>
    </row>
    <row r="5755" customFormat="false" ht="15" hidden="false" customHeight="false" outlineLevel="0" collapsed="false">
      <c r="A5755" s="0" t="n">
        <v>83</v>
      </c>
      <c r="B5755" s="0" t="s">
        <v>64</v>
      </c>
      <c r="C5755" s="0" t="n">
        <v>2012</v>
      </c>
      <c r="D5755" s="0" t="n">
        <v>11</v>
      </c>
      <c r="E5755" s="38" t="n">
        <v>63197.36</v>
      </c>
    </row>
    <row r="5756" customFormat="false" ht="15" hidden="false" customHeight="false" outlineLevel="0" collapsed="false">
      <c r="A5756" s="0" t="n">
        <v>83</v>
      </c>
      <c r="B5756" s="0" t="s">
        <v>64</v>
      </c>
      <c r="C5756" s="0" t="n">
        <v>2012</v>
      </c>
      <c r="D5756" s="0" t="n">
        <v>12</v>
      </c>
      <c r="E5756" s="38" t="n">
        <v>79121.23</v>
      </c>
    </row>
    <row r="5757" customFormat="false" ht="15" hidden="false" customHeight="false" outlineLevel="0" collapsed="false">
      <c r="A5757" s="0" t="n">
        <v>83</v>
      </c>
      <c r="B5757" s="0" t="s">
        <v>64</v>
      </c>
      <c r="C5757" s="0" t="n">
        <v>2013</v>
      </c>
      <c r="D5757" s="0" t="n">
        <v>1</v>
      </c>
      <c r="E5757" s="38" t="n">
        <v>79734.9</v>
      </c>
    </row>
    <row r="5758" customFormat="false" ht="15" hidden="false" customHeight="false" outlineLevel="0" collapsed="false">
      <c r="A5758" s="0" t="n">
        <v>83</v>
      </c>
      <c r="B5758" s="0" t="s">
        <v>64</v>
      </c>
      <c r="C5758" s="0" t="n">
        <v>2013</v>
      </c>
      <c r="D5758" s="0" t="n">
        <v>2</v>
      </c>
      <c r="E5758" s="38" t="n">
        <v>80829.13</v>
      </c>
    </row>
    <row r="5759" customFormat="false" ht="15" hidden="false" customHeight="false" outlineLevel="0" collapsed="false">
      <c r="A5759" s="0" t="n">
        <v>83</v>
      </c>
      <c r="B5759" s="0" t="s">
        <v>64</v>
      </c>
      <c r="C5759" s="0" t="n">
        <v>2013</v>
      </c>
      <c r="D5759" s="0" t="n">
        <v>3</v>
      </c>
      <c r="E5759" s="38" t="n">
        <v>73379.61</v>
      </c>
    </row>
    <row r="5760" customFormat="false" ht="15" hidden="false" customHeight="false" outlineLevel="0" collapsed="false">
      <c r="A5760" s="0" t="n">
        <v>83</v>
      </c>
      <c r="B5760" s="0" t="s">
        <v>64</v>
      </c>
      <c r="C5760" s="0" t="n">
        <v>2013</v>
      </c>
      <c r="D5760" s="0" t="n">
        <v>4</v>
      </c>
      <c r="E5760" s="38" t="n">
        <v>70035.83</v>
      </c>
    </row>
    <row r="5761" customFormat="false" ht="15" hidden="false" customHeight="false" outlineLevel="0" collapsed="false">
      <c r="A5761" s="0" t="n">
        <v>83</v>
      </c>
      <c r="B5761" s="0" t="s">
        <v>64</v>
      </c>
      <c r="C5761" s="0" t="n">
        <v>2013</v>
      </c>
      <c r="D5761" s="0" t="n">
        <v>5</v>
      </c>
      <c r="E5761" s="38" t="n">
        <v>70416.11</v>
      </c>
    </row>
    <row r="5762" customFormat="false" ht="15" hidden="false" customHeight="false" outlineLevel="0" collapsed="false">
      <c r="A5762" s="0" t="n">
        <v>83</v>
      </c>
      <c r="B5762" s="0" t="s">
        <v>64</v>
      </c>
      <c r="C5762" s="0" t="n">
        <v>2013</v>
      </c>
      <c r="D5762" s="0" t="n">
        <v>6</v>
      </c>
      <c r="E5762" s="38" t="n">
        <v>69832.3</v>
      </c>
    </row>
    <row r="5763" customFormat="false" ht="15" hidden="false" customHeight="false" outlineLevel="0" collapsed="false">
      <c r="A5763" s="0" t="n">
        <v>83</v>
      </c>
      <c r="B5763" s="0" t="s">
        <v>64</v>
      </c>
      <c r="C5763" s="0" t="n">
        <v>2013</v>
      </c>
      <c r="D5763" s="0" t="n">
        <v>7</v>
      </c>
      <c r="E5763" s="38" t="n">
        <v>66930.07</v>
      </c>
    </row>
    <row r="5764" customFormat="false" ht="15" hidden="false" customHeight="false" outlineLevel="0" collapsed="false">
      <c r="A5764" s="0" t="n">
        <v>83</v>
      </c>
      <c r="B5764" s="0" t="s">
        <v>64</v>
      </c>
      <c r="C5764" s="0" t="n">
        <v>2013</v>
      </c>
      <c r="D5764" s="0" t="n">
        <v>8</v>
      </c>
      <c r="E5764" s="38" t="n">
        <v>62482.18</v>
      </c>
    </row>
    <row r="5765" customFormat="false" ht="15" hidden="false" customHeight="false" outlineLevel="0" collapsed="false">
      <c r="A5765" s="0" t="n">
        <v>85</v>
      </c>
      <c r="B5765" s="0" t="s">
        <v>60</v>
      </c>
      <c r="C5765" s="0" t="n">
        <v>2011</v>
      </c>
      <c r="D5765" s="0" t="n">
        <v>1</v>
      </c>
      <c r="E5765" s="38" t="n">
        <v>208518.06</v>
      </c>
    </row>
    <row r="5766" customFormat="false" ht="15" hidden="false" customHeight="false" outlineLevel="0" collapsed="false">
      <c r="A5766" s="0" t="n">
        <v>85</v>
      </c>
      <c r="B5766" s="0" t="s">
        <v>60</v>
      </c>
      <c r="C5766" s="0" t="n">
        <v>2011</v>
      </c>
      <c r="D5766" s="0" t="n">
        <v>2</v>
      </c>
      <c r="E5766" s="38" t="n">
        <v>231352.41</v>
      </c>
    </row>
    <row r="5767" customFormat="false" ht="15" hidden="false" customHeight="false" outlineLevel="0" collapsed="false">
      <c r="A5767" s="0" t="n">
        <v>85</v>
      </c>
      <c r="B5767" s="0" t="s">
        <v>60</v>
      </c>
      <c r="C5767" s="0" t="n">
        <v>2011</v>
      </c>
      <c r="D5767" s="0" t="n">
        <v>3</v>
      </c>
      <c r="E5767" s="38" t="n">
        <v>230796.58</v>
      </c>
    </row>
    <row r="5768" customFormat="false" ht="15" hidden="false" customHeight="false" outlineLevel="0" collapsed="false">
      <c r="A5768" s="0" t="n">
        <v>85</v>
      </c>
      <c r="B5768" s="0" t="s">
        <v>60</v>
      </c>
      <c r="C5768" s="0" t="n">
        <v>2011</v>
      </c>
      <c r="D5768" s="0" t="n">
        <v>4</v>
      </c>
      <c r="E5768" s="38" t="n">
        <v>298074.53</v>
      </c>
    </row>
    <row r="5769" customFormat="false" ht="15" hidden="false" customHeight="false" outlineLevel="0" collapsed="false">
      <c r="A5769" s="0" t="n">
        <v>85</v>
      </c>
      <c r="B5769" s="0" t="s">
        <v>60</v>
      </c>
      <c r="C5769" s="0" t="n">
        <v>2011</v>
      </c>
      <c r="D5769" s="0" t="n">
        <v>5</v>
      </c>
      <c r="E5769" s="38" t="n">
        <v>283089.5</v>
      </c>
    </row>
    <row r="5770" customFormat="false" ht="15" hidden="false" customHeight="false" outlineLevel="0" collapsed="false">
      <c r="A5770" s="0" t="n">
        <v>85</v>
      </c>
      <c r="B5770" s="0" t="s">
        <v>60</v>
      </c>
      <c r="C5770" s="0" t="n">
        <v>2011</v>
      </c>
      <c r="D5770" s="0" t="n">
        <v>6</v>
      </c>
      <c r="E5770" s="38" t="n">
        <v>279371.62</v>
      </c>
    </row>
    <row r="5771" customFormat="false" ht="15" hidden="false" customHeight="false" outlineLevel="0" collapsed="false">
      <c r="A5771" s="0" t="n">
        <v>85</v>
      </c>
      <c r="B5771" s="0" t="s">
        <v>60</v>
      </c>
      <c r="C5771" s="0" t="n">
        <v>2011</v>
      </c>
      <c r="D5771" s="0" t="n">
        <v>7</v>
      </c>
      <c r="E5771" s="38" t="n">
        <v>274625.05</v>
      </c>
    </row>
    <row r="5772" customFormat="false" ht="15" hidden="false" customHeight="false" outlineLevel="0" collapsed="false">
      <c r="A5772" s="0" t="n">
        <v>85</v>
      </c>
      <c r="B5772" s="0" t="s">
        <v>60</v>
      </c>
      <c r="C5772" s="0" t="n">
        <v>2011</v>
      </c>
      <c r="D5772" s="0" t="n">
        <v>8</v>
      </c>
      <c r="E5772" s="38" t="n">
        <v>243767.73</v>
      </c>
    </row>
    <row r="5773" customFormat="false" ht="15" hidden="false" customHeight="false" outlineLevel="0" collapsed="false">
      <c r="A5773" s="0" t="n">
        <v>85</v>
      </c>
      <c r="B5773" s="0" t="s">
        <v>60</v>
      </c>
      <c r="C5773" s="0" t="n">
        <v>2011</v>
      </c>
      <c r="D5773" s="0" t="n">
        <v>9</v>
      </c>
      <c r="E5773" s="38" t="n">
        <v>234111.07</v>
      </c>
    </row>
    <row r="5774" customFormat="false" ht="15" hidden="false" customHeight="false" outlineLevel="0" collapsed="false">
      <c r="A5774" s="0" t="n">
        <v>85</v>
      </c>
      <c r="B5774" s="0" t="s">
        <v>60</v>
      </c>
      <c r="C5774" s="0" t="n">
        <v>2011</v>
      </c>
      <c r="D5774" s="0" t="n">
        <v>10</v>
      </c>
      <c r="E5774" s="38" t="n">
        <v>245632.74</v>
      </c>
    </row>
    <row r="5775" customFormat="false" ht="15" hidden="false" customHeight="false" outlineLevel="0" collapsed="false">
      <c r="A5775" s="0" t="n">
        <v>85</v>
      </c>
      <c r="B5775" s="0" t="s">
        <v>60</v>
      </c>
      <c r="C5775" s="0" t="n">
        <v>2011</v>
      </c>
      <c r="D5775" s="0" t="n">
        <v>11</v>
      </c>
      <c r="E5775" s="38" t="n">
        <v>440434.96</v>
      </c>
    </row>
    <row r="5776" customFormat="false" ht="15" hidden="false" customHeight="false" outlineLevel="0" collapsed="false">
      <c r="A5776" s="0" t="n">
        <v>85</v>
      </c>
      <c r="B5776" s="0" t="s">
        <v>60</v>
      </c>
      <c r="C5776" s="0" t="n">
        <v>2011</v>
      </c>
      <c r="D5776" s="0" t="n">
        <v>12</v>
      </c>
      <c r="E5776" s="38" t="n">
        <v>196932.45</v>
      </c>
    </row>
    <row r="5777" customFormat="false" ht="15" hidden="false" customHeight="false" outlineLevel="0" collapsed="false">
      <c r="A5777" s="0" t="n">
        <v>85</v>
      </c>
      <c r="B5777" s="0" t="s">
        <v>60</v>
      </c>
      <c r="C5777" s="0" t="n">
        <v>2012</v>
      </c>
      <c r="D5777" s="0" t="n">
        <v>1</v>
      </c>
      <c r="E5777" s="38" t="n">
        <v>172560.8</v>
      </c>
    </row>
    <row r="5778" customFormat="false" ht="15" hidden="false" customHeight="false" outlineLevel="0" collapsed="false">
      <c r="A5778" s="0" t="n">
        <v>85</v>
      </c>
      <c r="B5778" s="0" t="s">
        <v>60</v>
      </c>
      <c r="C5778" s="0" t="n">
        <v>2012</v>
      </c>
      <c r="D5778" s="0" t="n">
        <v>2</v>
      </c>
      <c r="E5778" s="38" t="n">
        <v>193892.03</v>
      </c>
    </row>
    <row r="5779" customFormat="false" ht="15" hidden="false" customHeight="false" outlineLevel="0" collapsed="false">
      <c r="A5779" s="0" t="n">
        <v>85</v>
      </c>
      <c r="B5779" s="0" t="s">
        <v>60</v>
      </c>
      <c r="C5779" s="0" t="n">
        <v>2012</v>
      </c>
      <c r="D5779" s="0" t="n">
        <v>3</v>
      </c>
      <c r="E5779" s="38" t="n">
        <v>197036.24</v>
      </c>
    </row>
    <row r="5780" customFormat="false" ht="15" hidden="false" customHeight="false" outlineLevel="0" collapsed="false">
      <c r="A5780" s="0" t="n">
        <v>85</v>
      </c>
      <c r="B5780" s="0" t="s">
        <v>60</v>
      </c>
      <c r="C5780" s="0" t="n">
        <v>2012</v>
      </c>
      <c r="D5780" s="0" t="n">
        <v>4</v>
      </c>
      <c r="E5780" s="38" t="n">
        <v>256770.61</v>
      </c>
    </row>
    <row r="5781" customFormat="false" ht="15" hidden="false" customHeight="false" outlineLevel="0" collapsed="false">
      <c r="A5781" s="0" t="n">
        <v>85</v>
      </c>
      <c r="B5781" s="0" t="s">
        <v>60</v>
      </c>
      <c r="C5781" s="0" t="n">
        <v>2012</v>
      </c>
      <c r="D5781" s="0" t="n">
        <v>5</v>
      </c>
      <c r="E5781" s="38" t="n">
        <v>235364.91</v>
      </c>
    </row>
    <row r="5782" customFormat="false" ht="15" hidden="false" customHeight="false" outlineLevel="0" collapsed="false">
      <c r="A5782" s="0" t="n">
        <v>85</v>
      </c>
      <c r="B5782" s="0" t="s">
        <v>60</v>
      </c>
      <c r="C5782" s="0" t="n">
        <v>2012</v>
      </c>
      <c r="D5782" s="0" t="n">
        <v>6</v>
      </c>
      <c r="E5782" s="38" t="n">
        <v>242622.84</v>
      </c>
    </row>
    <row r="5783" customFormat="false" ht="15" hidden="false" customHeight="false" outlineLevel="0" collapsed="false">
      <c r="A5783" s="0" t="n">
        <v>85</v>
      </c>
      <c r="B5783" s="0" t="s">
        <v>60</v>
      </c>
      <c r="C5783" s="0" t="n">
        <v>2012</v>
      </c>
      <c r="D5783" s="0" t="n">
        <v>7</v>
      </c>
      <c r="E5783" s="38" t="n">
        <v>244524.9</v>
      </c>
    </row>
    <row r="5784" customFormat="false" ht="15" hidden="false" customHeight="false" outlineLevel="0" collapsed="false">
      <c r="A5784" s="0" t="n">
        <v>85</v>
      </c>
      <c r="B5784" s="0" t="s">
        <v>60</v>
      </c>
      <c r="C5784" s="0" t="n">
        <v>2012</v>
      </c>
      <c r="D5784" s="0" t="n">
        <v>8</v>
      </c>
      <c r="E5784" s="38" t="n">
        <v>212076.77</v>
      </c>
    </row>
    <row r="5785" customFormat="false" ht="15" hidden="false" customHeight="false" outlineLevel="0" collapsed="false">
      <c r="A5785" s="0" t="n">
        <v>85</v>
      </c>
      <c r="B5785" s="0" t="s">
        <v>60</v>
      </c>
      <c r="C5785" s="0" t="n">
        <v>2012</v>
      </c>
      <c r="D5785" s="0" t="n">
        <v>9</v>
      </c>
      <c r="E5785" s="38" t="n">
        <v>210306.84</v>
      </c>
    </row>
    <row r="5786" customFormat="false" ht="15" hidden="false" customHeight="false" outlineLevel="0" collapsed="false">
      <c r="A5786" s="0" t="n">
        <v>85</v>
      </c>
      <c r="B5786" s="0" t="s">
        <v>60</v>
      </c>
      <c r="C5786" s="0" t="n">
        <v>2012</v>
      </c>
      <c r="D5786" s="0" t="n">
        <v>10</v>
      </c>
      <c r="E5786" s="38" t="n">
        <v>215760.72</v>
      </c>
    </row>
    <row r="5787" customFormat="false" ht="15" hidden="false" customHeight="false" outlineLevel="0" collapsed="false">
      <c r="A5787" s="0" t="n">
        <v>85</v>
      </c>
      <c r="B5787" s="0" t="s">
        <v>60</v>
      </c>
      <c r="C5787" s="0" t="n">
        <v>2012</v>
      </c>
      <c r="D5787" s="0" t="n">
        <v>11</v>
      </c>
      <c r="E5787" s="38" t="n">
        <v>485843.82</v>
      </c>
    </row>
    <row r="5788" customFormat="false" ht="15" hidden="false" customHeight="false" outlineLevel="0" collapsed="false">
      <c r="A5788" s="0" t="n">
        <v>85</v>
      </c>
      <c r="B5788" s="0" t="s">
        <v>60</v>
      </c>
      <c r="C5788" s="0" t="n">
        <v>2012</v>
      </c>
      <c r="D5788" s="0" t="n">
        <v>12</v>
      </c>
      <c r="E5788" s="38" t="n">
        <v>185798.78</v>
      </c>
    </row>
    <row r="5789" customFormat="false" ht="15" hidden="false" customHeight="false" outlineLevel="0" collapsed="false">
      <c r="A5789" s="0" t="n">
        <v>85</v>
      </c>
      <c r="B5789" s="0" t="s">
        <v>60</v>
      </c>
      <c r="C5789" s="0" t="n">
        <v>2013</v>
      </c>
      <c r="D5789" s="0" t="n">
        <v>1</v>
      </c>
      <c r="E5789" s="38" t="n">
        <v>168055.48</v>
      </c>
    </row>
    <row r="5790" customFormat="false" ht="15" hidden="false" customHeight="false" outlineLevel="0" collapsed="false">
      <c r="A5790" s="0" t="n">
        <v>85</v>
      </c>
      <c r="B5790" s="0" t="s">
        <v>60</v>
      </c>
      <c r="C5790" s="0" t="n">
        <v>2013</v>
      </c>
      <c r="D5790" s="0" t="n">
        <v>2</v>
      </c>
      <c r="E5790" s="38" t="n">
        <v>176011.49</v>
      </c>
    </row>
    <row r="5791" customFormat="false" ht="15" hidden="false" customHeight="false" outlineLevel="0" collapsed="false">
      <c r="A5791" s="0" t="n">
        <v>85</v>
      </c>
      <c r="B5791" s="0" t="s">
        <v>60</v>
      </c>
      <c r="C5791" s="0" t="n">
        <v>2013</v>
      </c>
      <c r="D5791" s="0" t="n">
        <v>3</v>
      </c>
      <c r="E5791" s="38" t="n">
        <v>191802.21</v>
      </c>
    </row>
    <row r="5792" customFormat="false" ht="15" hidden="false" customHeight="false" outlineLevel="0" collapsed="false">
      <c r="A5792" s="0" t="n">
        <v>85</v>
      </c>
      <c r="B5792" s="0" t="s">
        <v>60</v>
      </c>
      <c r="C5792" s="0" t="n">
        <v>2013</v>
      </c>
      <c r="D5792" s="0" t="n">
        <v>4</v>
      </c>
      <c r="E5792" s="38" t="n">
        <v>252955.53</v>
      </c>
    </row>
    <row r="5793" customFormat="false" ht="15" hidden="false" customHeight="false" outlineLevel="0" collapsed="false">
      <c r="A5793" s="0" t="n">
        <v>85</v>
      </c>
      <c r="B5793" s="0" t="s">
        <v>60</v>
      </c>
      <c r="C5793" s="0" t="n">
        <v>2013</v>
      </c>
      <c r="D5793" s="0" t="n">
        <v>5</v>
      </c>
      <c r="E5793" s="38" t="n">
        <v>222295.32</v>
      </c>
    </row>
    <row r="5794" customFormat="false" ht="15" hidden="false" customHeight="false" outlineLevel="0" collapsed="false">
      <c r="A5794" s="0" t="n">
        <v>85</v>
      </c>
      <c r="B5794" s="0" t="s">
        <v>60</v>
      </c>
      <c r="C5794" s="0" t="n">
        <v>2013</v>
      </c>
      <c r="D5794" s="0" t="n">
        <v>6</v>
      </c>
      <c r="E5794" s="38" t="n">
        <v>220877.39</v>
      </c>
    </row>
    <row r="5795" customFormat="false" ht="15" hidden="false" customHeight="false" outlineLevel="0" collapsed="false">
      <c r="A5795" s="0" t="n">
        <v>85</v>
      </c>
      <c r="B5795" s="0" t="s">
        <v>60</v>
      </c>
      <c r="C5795" s="0" t="n">
        <v>2013</v>
      </c>
      <c r="D5795" s="0" t="n">
        <v>7</v>
      </c>
      <c r="E5795" s="38" t="n">
        <v>222010.76</v>
      </c>
    </row>
    <row r="5796" customFormat="false" ht="15" hidden="false" customHeight="false" outlineLevel="0" collapsed="false">
      <c r="A5796" s="0" t="n">
        <v>85</v>
      </c>
      <c r="B5796" s="0" t="s">
        <v>60</v>
      </c>
      <c r="C5796" s="0" t="n">
        <v>2013</v>
      </c>
      <c r="D5796" s="0" t="n">
        <v>8</v>
      </c>
      <c r="E5796" s="38" t="n">
        <v>188259.26</v>
      </c>
    </row>
    <row r="5797" customFormat="false" ht="15" hidden="false" customHeight="false" outlineLevel="0" collapsed="false">
      <c r="A5797" s="0" t="n">
        <v>85</v>
      </c>
      <c r="B5797" s="0" t="s">
        <v>62</v>
      </c>
      <c r="C5797" s="0" t="n">
        <v>2011</v>
      </c>
      <c r="D5797" s="0" t="n">
        <v>1</v>
      </c>
      <c r="E5797" s="38" t="n">
        <v>142004.82</v>
      </c>
    </row>
    <row r="5798" customFormat="false" ht="15" hidden="false" customHeight="false" outlineLevel="0" collapsed="false">
      <c r="A5798" s="0" t="n">
        <v>85</v>
      </c>
      <c r="B5798" s="0" t="s">
        <v>62</v>
      </c>
      <c r="C5798" s="0" t="n">
        <v>2011</v>
      </c>
      <c r="D5798" s="0" t="n">
        <v>2</v>
      </c>
      <c r="E5798" s="38" t="n">
        <v>158508.65</v>
      </c>
    </row>
    <row r="5799" customFormat="false" ht="15" hidden="false" customHeight="false" outlineLevel="0" collapsed="false">
      <c r="A5799" s="0" t="n">
        <v>85</v>
      </c>
      <c r="B5799" s="0" t="s">
        <v>62</v>
      </c>
      <c r="C5799" s="0" t="n">
        <v>2011</v>
      </c>
      <c r="D5799" s="0" t="n">
        <v>3</v>
      </c>
      <c r="E5799" s="38" t="n">
        <v>159330.4</v>
      </c>
    </row>
    <row r="5800" customFormat="false" ht="15" hidden="false" customHeight="false" outlineLevel="0" collapsed="false">
      <c r="A5800" s="0" t="n">
        <v>85</v>
      </c>
      <c r="B5800" s="0" t="s">
        <v>62</v>
      </c>
      <c r="C5800" s="0" t="n">
        <v>2011</v>
      </c>
      <c r="D5800" s="0" t="n">
        <v>4</v>
      </c>
      <c r="E5800" s="38" t="n">
        <v>200429.9</v>
      </c>
    </row>
    <row r="5801" customFormat="false" ht="15" hidden="false" customHeight="false" outlineLevel="0" collapsed="false">
      <c r="A5801" s="0" t="n">
        <v>85</v>
      </c>
      <c r="B5801" s="0" t="s">
        <v>62</v>
      </c>
      <c r="C5801" s="0" t="n">
        <v>2011</v>
      </c>
      <c r="D5801" s="0" t="n">
        <v>5</v>
      </c>
      <c r="E5801" s="38" t="n">
        <v>205067.99</v>
      </c>
    </row>
    <row r="5802" customFormat="false" ht="15" hidden="false" customHeight="false" outlineLevel="0" collapsed="false">
      <c r="A5802" s="0" t="n">
        <v>85</v>
      </c>
      <c r="B5802" s="0" t="s">
        <v>62</v>
      </c>
      <c r="C5802" s="0" t="n">
        <v>2011</v>
      </c>
      <c r="D5802" s="0" t="n">
        <v>6</v>
      </c>
      <c r="E5802" s="38" t="n">
        <v>210156.69</v>
      </c>
    </row>
    <row r="5803" customFormat="false" ht="15" hidden="false" customHeight="false" outlineLevel="0" collapsed="false">
      <c r="A5803" s="0" t="n">
        <v>85</v>
      </c>
      <c r="B5803" s="0" t="s">
        <v>62</v>
      </c>
      <c r="C5803" s="0" t="n">
        <v>2011</v>
      </c>
      <c r="D5803" s="0" t="n">
        <v>7</v>
      </c>
      <c r="E5803" s="38" t="n">
        <v>217754.86</v>
      </c>
    </row>
    <row r="5804" customFormat="false" ht="15" hidden="false" customHeight="false" outlineLevel="0" collapsed="false">
      <c r="A5804" s="0" t="n">
        <v>85</v>
      </c>
      <c r="B5804" s="0" t="s">
        <v>62</v>
      </c>
      <c r="C5804" s="0" t="n">
        <v>2011</v>
      </c>
      <c r="D5804" s="0" t="n">
        <v>8</v>
      </c>
      <c r="E5804" s="38" t="n">
        <v>181084.02</v>
      </c>
    </row>
    <row r="5805" customFormat="false" ht="15" hidden="false" customHeight="false" outlineLevel="0" collapsed="false">
      <c r="A5805" s="0" t="n">
        <v>85</v>
      </c>
      <c r="B5805" s="0" t="s">
        <v>62</v>
      </c>
      <c r="C5805" s="0" t="n">
        <v>2011</v>
      </c>
      <c r="D5805" s="0" t="n">
        <v>9</v>
      </c>
      <c r="E5805" s="38" t="n">
        <v>176268.57</v>
      </c>
    </row>
    <row r="5806" customFormat="false" ht="15" hidden="false" customHeight="false" outlineLevel="0" collapsed="false">
      <c r="A5806" s="0" t="n">
        <v>85</v>
      </c>
      <c r="B5806" s="0" t="s">
        <v>62</v>
      </c>
      <c r="C5806" s="0" t="n">
        <v>2011</v>
      </c>
      <c r="D5806" s="0" t="n">
        <v>10</v>
      </c>
      <c r="E5806" s="38" t="n">
        <v>176138.78</v>
      </c>
    </row>
    <row r="5807" customFormat="false" ht="15" hidden="false" customHeight="false" outlineLevel="0" collapsed="false">
      <c r="A5807" s="0" t="n">
        <v>85</v>
      </c>
      <c r="B5807" s="0" t="s">
        <v>62</v>
      </c>
      <c r="C5807" s="0" t="n">
        <v>2011</v>
      </c>
      <c r="D5807" s="0" t="n">
        <v>11</v>
      </c>
      <c r="E5807" s="38" t="n">
        <v>344605.64</v>
      </c>
    </row>
    <row r="5808" customFormat="false" ht="15" hidden="false" customHeight="false" outlineLevel="0" collapsed="false">
      <c r="A5808" s="0" t="n">
        <v>85</v>
      </c>
      <c r="B5808" s="0" t="s">
        <v>62</v>
      </c>
      <c r="C5808" s="0" t="n">
        <v>2011</v>
      </c>
      <c r="D5808" s="0" t="n">
        <v>12</v>
      </c>
      <c r="E5808" s="38" t="n">
        <v>143013.36</v>
      </c>
    </row>
    <row r="5809" customFormat="false" ht="15" hidden="false" customHeight="false" outlineLevel="0" collapsed="false">
      <c r="A5809" s="0" t="n">
        <v>85</v>
      </c>
      <c r="B5809" s="0" t="s">
        <v>62</v>
      </c>
      <c r="C5809" s="0" t="n">
        <v>2012</v>
      </c>
      <c r="D5809" s="0" t="n">
        <v>1</v>
      </c>
      <c r="E5809" s="38" t="n">
        <v>128521.19</v>
      </c>
    </row>
    <row r="5810" customFormat="false" ht="15" hidden="false" customHeight="false" outlineLevel="0" collapsed="false">
      <c r="A5810" s="0" t="n">
        <v>85</v>
      </c>
      <c r="B5810" s="0" t="s">
        <v>62</v>
      </c>
      <c r="C5810" s="0" t="n">
        <v>2012</v>
      </c>
      <c r="D5810" s="0" t="n">
        <v>2</v>
      </c>
      <c r="E5810" s="38" t="n">
        <v>142173.27</v>
      </c>
    </row>
    <row r="5811" customFormat="false" ht="15" hidden="false" customHeight="false" outlineLevel="0" collapsed="false">
      <c r="A5811" s="0" t="n">
        <v>85</v>
      </c>
      <c r="B5811" s="0" t="s">
        <v>62</v>
      </c>
      <c r="C5811" s="0" t="n">
        <v>2012</v>
      </c>
      <c r="D5811" s="0" t="n">
        <v>3</v>
      </c>
      <c r="E5811" s="38" t="n">
        <v>142339.18</v>
      </c>
    </row>
    <row r="5812" customFormat="false" ht="15" hidden="false" customHeight="false" outlineLevel="0" collapsed="false">
      <c r="A5812" s="0" t="n">
        <v>85</v>
      </c>
      <c r="B5812" s="0" t="s">
        <v>62</v>
      </c>
      <c r="C5812" s="0" t="n">
        <v>2012</v>
      </c>
      <c r="D5812" s="0" t="n">
        <v>4</v>
      </c>
      <c r="E5812" s="38" t="n">
        <v>181417.25</v>
      </c>
    </row>
    <row r="5813" customFormat="false" ht="15" hidden="false" customHeight="false" outlineLevel="0" collapsed="false">
      <c r="A5813" s="0" t="n">
        <v>85</v>
      </c>
      <c r="B5813" s="0" t="s">
        <v>62</v>
      </c>
      <c r="C5813" s="0" t="n">
        <v>2012</v>
      </c>
      <c r="D5813" s="0" t="n">
        <v>5</v>
      </c>
      <c r="E5813" s="38" t="n">
        <v>177823.75</v>
      </c>
    </row>
    <row r="5814" customFormat="false" ht="15" hidden="false" customHeight="false" outlineLevel="0" collapsed="false">
      <c r="A5814" s="0" t="n">
        <v>85</v>
      </c>
      <c r="B5814" s="0" t="s">
        <v>62</v>
      </c>
      <c r="C5814" s="0" t="n">
        <v>2012</v>
      </c>
      <c r="D5814" s="0" t="n">
        <v>6</v>
      </c>
      <c r="E5814" s="38" t="n">
        <v>176618.86</v>
      </c>
    </row>
    <row r="5815" customFormat="false" ht="15" hidden="false" customHeight="false" outlineLevel="0" collapsed="false">
      <c r="A5815" s="0" t="n">
        <v>85</v>
      </c>
      <c r="B5815" s="0" t="s">
        <v>62</v>
      </c>
      <c r="C5815" s="0" t="n">
        <v>2012</v>
      </c>
      <c r="D5815" s="0" t="n">
        <v>7</v>
      </c>
      <c r="E5815" s="38" t="n">
        <v>185347.5</v>
      </c>
    </row>
    <row r="5816" customFormat="false" ht="15" hidden="false" customHeight="false" outlineLevel="0" collapsed="false">
      <c r="A5816" s="0" t="n">
        <v>85</v>
      </c>
      <c r="B5816" s="0" t="s">
        <v>62</v>
      </c>
      <c r="C5816" s="0" t="n">
        <v>2012</v>
      </c>
      <c r="D5816" s="0" t="n">
        <v>8</v>
      </c>
      <c r="E5816" s="38" t="n">
        <v>161434.97</v>
      </c>
    </row>
    <row r="5817" customFormat="false" ht="15" hidden="false" customHeight="false" outlineLevel="0" collapsed="false">
      <c r="A5817" s="0" t="n">
        <v>85</v>
      </c>
      <c r="B5817" s="0" t="s">
        <v>62</v>
      </c>
      <c r="C5817" s="0" t="n">
        <v>2012</v>
      </c>
      <c r="D5817" s="0" t="n">
        <v>9</v>
      </c>
      <c r="E5817" s="38" t="n">
        <v>162343.69</v>
      </c>
    </row>
    <row r="5818" customFormat="false" ht="15" hidden="false" customHeight="false" outlineLevel="0" collapsed="false">
      <c r="A5818" s="0" t="n">
        <v>85</v>
      </c>
      <c r="B5818" s="0" t="s">
        <v>62</v>
      </c>
      <c r="C5818" s="0" t="n">
        <v>2012</v>
      </c>
      <c r="D5818" s="0" t="n">
        <v>10</v>
      </c>
      <c r="E5818" s="38" t="n">
        <v>161000.33</v>
      </c>
    </row>
    <row r="5819" customFormat="false" ht="15" hidden="false" customHeight="false" outlineLevel="0" collapsed="false">
      <c r="A5819" s="0" t="n">
        <v>85</v>
      </c>
      <c r="B5819" s="0" t="s">
        <v>62</v>
      </c>
      <c r="C5819" s="0" t="n">
        <v>2012</v>
      </c>
      <c r="D5819" s="0" t="n">
        <v>11</v>
      </c>
      <c r="E5819" s="38" t="n">
        <v>390564.97</v>
      </c>
    </row>
    <row r="5820" customFormat="false" ht="15" hidden="false" customHeight="false" outlineLevel="0" collapsed="false">
      <c r="A5820" s="0" t="n">
        <v>85</v>
      </c>
      <c r="B5820" s="0" t="s">
        <v>62</v>
      </c>
      <c r="C5820" s="0" t="n">
        <v>2012</v>
      </c>
      <c r="D5820" s="0" t="n">
        <v>12</v>
      </c>
      <c r="E5820" s="38" t="n">
        <v>140949.91</v>
      </c>
    </row>
    <row r="5821" customFormat="false" ht="15" hidden="false" customHeight="false" outlineLevel="0" collapsed="false">
      <c r="A5821" s="0" t="n">
        <v>85</v>
      </c>
      <c r="B5821" s="0" t="s">
        <v>62</v>
      </c>
      <c r="C5821" s="0" t="n">
        <v>2013</v>
      </c>
      <c r="D5821" s="0" t="n">
        <v>1</v>
      </c>
      <c r="E5821" s="38" t="n">
        <v>128971.5</v>
      </c>
    </row>
    <row r="5822" customFormat="false" ht="15" hidden="false" customHeight="false" outlineLevel="0" collapsed="false">
      <c r="A5822" s="0" t="n">
        <v>85</v>
      </c>
      <c r="B5822" s="0" t="s">
        <v>62</v>
      </c>
      <c r="C5822" s="0" t="n">
        <v>2013</v>
      </c>
      <c r="D5822" s="0" t="n">
        <v>2</v>
      </c>
      <c r="E5822" s="38" t="n">
        <v>128535.87</v>
      </c>
    </row>
    <row r="5823" customFormat="false" ht="15" hidden="false" customHeight="false" outlineLevel="0" collapsed="false">
      <c r="A5823" s="0" t="n">
        <v>85</v>
      </c>
      <c r="B5823" s="0" t="s">
        <v>62</v>
      </c>
      <c r="C5823" s="0" t="n">
        <v>2013</v>
      </c>
      <c r="D5823" s="0" t="n">
        <v>3</v>
      </c>
      <c r="E5823" s="38" t="n">
        <v>127949.8</v>
      </c>
    </row>
    <row r="5824" customFormat="false" ht="15" hidden="false" customHeight="false" outlineLevel="0" collapsed="false">
      <c r="A5824" s="0" t="n">
        <v>85</v>
      </c>
      <c r="B5824" s="0" t="s">
        <v>62</v>
      </c>
      <c r="C5824" s="0" t="n">
        <v>2013</v>
      </c>
      <c r="D5824" s="0" t="n">
        <v>4</v>
      </c>
      <c r="E5824" s="38" t="n">
        <v>167145.13</v>
      </c>
    </row>
    <row r="5825" customFormat="false" ht="15" hidden="false" customHeight="false" outlineLevel="0" collapsed="false">
      <c r="A5825" s="0" t="n">
        <v>85</v>
      </c>
      <c r="B5825" s="0" t="s">
        <v>62</v>
      </c>
      <c r="C5825" s="0" t="n">
        <v>2013</v>
      </c>
      <c r="D5825" s="0" t="n">
        <v>5</v>
      </c>
      <c r="E5825" s="38" t="n">
        <v>174241.7</v>
      </c>
    </row>
    <row r="5826" customFormat="false" ht="15" hidden="false" customHeight="false" outlineLevel="0" collapsed="false">
      <c r="A5826" s="0" t="n">
        <v>85</v>
      </c>
      <c r="B5826" s="0" t="s">
        <v>62</v>
      </c>
      <c r="C5826" s="0" t="n">
        <v>2013</v>
      </c>
      <c r="D5826" s="0" t="n">
        <v>6</v>
      </c>
      <c r="E5826" s="38" t="n">
        <v>158557.95</v>
      </c>
    </row>
    <row r="5827" customFormat="false" ht="15" hidden="false" customHeight="false" outlineLevel="0" collapsed="false">
      <c r="A5827" s="0" t="n">
        <v>85</v>
      </c>
      <c r="B5827" s="0" t="s">
        <v>62</v>
      </c>
      <c r="C5827" s="0" t="n">
        <v>2013</v>
      </c>
      <c r="D5827" s="0" t="n">
        <v>7</v>
      </c>
      <c r="E5827" s="38" t="n">
        <v>169567.73</v>
      </c>
    </row>
    <row r="5828" customFormat="false" ht="15" hidden="false" customHeight="false" outlineLevel="0" collapsed="false">
      <c r="A5828" s="0" t="n">
        <v>85</v>
      </c>
      <c r="B5828" s="0" t="s">
        <v>62</v>
      </c>
      <c r="C5828" s="0" t="n">
        <v>2013</v>
      </c>
      <c r="D5828" s="0" t="n">
        <v>8</v>
      </c>
      <c r="E5828" s="38" t="n">
        <v>146883.26</v>
      </c>
    </row>
    <row r="5829" customFormat="false" ht="15" hidden="false" customHeight="false" outlineLevel="0" collapsed="false">
      <c r="A5829" s="0" t="n">
        <v>85</v>
      </c>
      <c r="B5829" s="0" t="s">
        <v>64</v>
      </c>
      <c r="C5829" s="0" t="n">
        <v>2011</v>
      </c>
      <c r="D5829" s="0" t="n">
        <v>1</v>
      </c>
      <c r="E5829" s="38" t="n">
        <v>1960.89</v>
      </c>
    </row>
    <row r="5830" customFormat="false" ht="15" hidden="false" customHeight="false" outlineLevel="0" collapsed="false">
      <c r="A5830" s="0" t="n">
        <v>85</v>
      </c>
      <c r="B5830" s="0" t="s">
        <v>64</v>
      </c>
      <c r="C5830" s="0" t="n">
        <v>2011</v>
      </c>
      <c r="D5830" s="0" t="n">
        <v>2</v>
      </c>
      <c r="E5830" s="38" t="n">
        <v>2661.53</v>
      </c>
    </row>
    <row r="5831" customFormat="false" ht="15" hidden="false" customHeight="false" outlineLevel="0" collapsed="false">
      <c r="A5831" s="0" t="n">
        <v>85</v>
      </c>
      <c r="B5831" s="0" t="s">
        <v>64</v>
      </c>
      <c r="C5831" s="0" t="n">
        <v>2011</v>
      </c>
      <c r="D5831" s="0" t="n">
        <v>3</v>
      </c>
      <c r="E5831" s="38" t="n">
        <v>2590.79</v>
      </c>
    </row>
    <row r="5832" customFormat="false" ht="15" hidden="false" customHeight="false" outlineLevel="0" collapsed="false">
      <c r="A5832" s="0" t="n">
        <v>85</v>
      </c>
      <c r="B5832" s="0" t="s">
        <v>64</v>
      </c>
      <c r="C5832" s="0" t="n">
        <v>2011</v>
      </c>
      <c r="D5832" s="0" t="n">
        <v>4</v>
      </c>
      <c r="E5832" s="38" t="n">
        <v>3036.72</v>
      </c>
    </row>
    <row r="5833" customFormat="false" ht="15" hidden="false" customHeight="false" outlineLevel="0" collapsed="false">
      <c r="A5833" s="0" t="n">
        <v>85</v>
      </c>
      <c r="B5833" s="0" t="s">
        <v>64</v>
      </c>
      <c r="C5833" s="0" t="n">
        <v>2011</v>
      </c>
      <c r="D5833" s="0" t="n">
        <v>5</v>
      </c>
      <c r="E5833" s="38" t="n">
        <v>3224.57</v>
      </c>
    </row>
    <row r="5834" customFormat="false" ht="15" hidden="false" customHeight="false" outlineLevel="0" collapsed="false">
      <c r="A5834" s="0" t="n">
        <v>85</v>
      </c>
      <c r="B5834" s="0" t="s">
        <v>64</v>
      </c>
      <c r="C5834" s="0" t="n">
        <v>2011</v>
      </c>
      <c r="D5834" s="0" t="n">
        <v>6</v>
      </c>
      <c r="E5834" s="38" t="n">
        <v>3095.43</v>
      </c>
    </row>
    <row r="5835" customFormat="false" ht="15" hidden="false" customHeight="false" outlineLevel="0" collapsed="false">
      <c r="A5835" s="0" t="n">
        <v>85</v>
      </c>
      <c r="B5835" s="0" t="s">
        <v>64</v>
      </c>
      <c r="C5835" s="0" t="n">
        <v>2011</v>
      </c>
      <c r="D5835" s="0" t="n">
        <v>7</v>
      </c>
      <c r="E5835" s="38" t="n">
        <v>2794.92</v>
      </c>
    </row>
    <row r="5836" customFormat="false" ht="15" hidden="false" customHeight="false" outlineLevel="0" collapsed="false">
      <c r="A5836" s="0" t="n">
        <v>85</v>
      </c>
      <c r="B5836" s="0" t="s">
        <v>64</v>
      </c>
      <c r="C5836" s="0" t="n">
        <v>2011</v>
      </c>
      <c r="D5836" s="0" t="n">
        <v>8</v>
      </c>
      <c r="E5836" s="38" t="n">
        <v>2366.49</v>
      </c>
    </row>
    <row r="5837" customFormat="false" ht="15" hidden="false" customHeight="false" outlineLevel="0" collapsed="false">
      <c r="A5837" s="0" t="n">
        <v>85</v>
      </c>
      <c r="B5837" s="0" t="s">
        <v>64</v>
      </c>
      <c r="C5837" s="0" t="n">
        <v>2011</v>
      </c>
      <c r="D5837" s="0" t="n">
        <v>9</v>
      </c>
      <c r="E5837" s="38" t="n">
        <v>2140.09</v>
      </c>
    </row>
    <row r="5838" customFormat="false" ht="15" hidden="false" customHeight="false" outlineLevel="0" collapsed="false">
      <c r="A5838" s="0" t="n">
        <v>85</v>
      </c>
      <c r="B5838" s="0" t="s">
        <v>64</v>
      </c>
      <c r="C5838" s="0" t="n">
        <v>2011</v>
      </c>
      <c r="D5838" s="0" t="n">
        <v>10</v>
      </c>
      <c r="E5838" s="38" t="n">
        <v>1973.59</v>
      </c>
    </row>
    <row r="5839" customFormat="false" ht="15" hidden="false" customHeight="false" outlineLevel="0" collapsed="false">
      <c r="A5839" s="0" t="n">
        <v>85</v>
      </c>
      <c r="B5839" s="0" t="s">
        <v>64</v>
      </c>
      <c r="C5839" s="0" t="n">
        <v>2011</v>
      </c>
      <c r="D5839" s="0" t="n">
        <v>11</v>
      </c>
      <c r="E5839" s="38" t="n">
        <v>3800.82</v>
      </c>
    </row>
    <row r="5840" customFormat="false" ht="15" hidden="false" customHeight="false" outlineLevel="0" collapsed="false">
      <c r="A5840" s="0" t="n">
        <v>85</v>
      </c>
      <c r="B5840" s="0" t="s">
        <v>64</v>
      </c>
      <c r="C5840" s="0" t="n">
        <v>2011</v>
      </c>
      <c r="D5840" s="0" t="n">
        <v>12</v>
      </c>
      <c r="E5840" s="38" t="n">
        <v>2300.61</v>
      </c>
    </row>
    <row r="5841" customFormat="false" ht="15" hidden="false" customHeight="false" outlineLevel="0" collapsed="false">
      <c r="A5841" s="0" t="n">
        <v>85</v>
      </c>
      <c r="B5841" s="0" t="s">
        <v>64</v>
      </c>
      <c r="C5841" s="0" t="n">
        <v>2012</v>
      </c>
      <c r="D5841" s="0" t="n">
        <v>1</v>
      </c>
      <c r="E5841" s="38" t="n">
        <v>1848.41</v>
      </c>
    </row>
    <row r="5842" customFormat="false" ht="15" hidden="false" customHeight="false" outlineLevel="0" collapsed="false">
      <c r="A5842" s="0" t="n">
        <v>85</v>
      </c>
      <c r="B5842" s="0" t="s">
        <v>64</v>
      </c>
      <c r="C5842" s="0" t="n">
        <v>2012</v>
      </c>
      <c r="D5842" s="0" t="n">
        <v>2</v>
      </c>
      <c r="E5842" s="38" t="n">
        <v>2176.98</v>
      </c>
    </row>
    <row r="5843" customFormat="false" ht="15" hidden="false" customHeight="false" outlineLevel="0" collapsed="false">
      <c r="A5843" s="0" t="n">
        <v>85</v>
      </c>
      <c r="B5843" s="0" t="s">
        <v>64</v>
      </c>
      <c r="C5843" s="0" t="n">
        <v>2012</v>
      </c>
      <c r="D5843" s="0" t="n">
        <v>3</v>
      </c>
      <c r="E5843" s="38" t="n">
        <v>1680.25</v>
      </c>
    </row>
    <row r="5844" customFormat="false" ht="15" hidden="false" customHeight="false" outlineLevel="0" collapsed="false">
      <c r="A5844" s="0" t="n">
        <v>85</v>
      </c>
      <c r="B5844" s="0" t="s">
        <v>64</v>
      </c>
      <c r="C5844" s="0" t="n">
        <v>2012</v>
      </c>
      <c r="D5844" s="0" t="n">
        <v>4</v>
      </c>
      <c r="E5844" s="38" t="n">
        <v>3016.67</v>
      </c>
    </row>
    <row r="5845" customFormat="false" ht="15" hidden="false" customHeight="false" outlineLevel="0" collapsed="false">
      <c r="A5845" s="0" t="n">
        <v>85</v>
      </c>
      <c r="B5845" s="0" t="s">
        <v>64</v>
      </c>
      <c r="C5845" s="0" t="n">
        <v>2012</v>
      </c>
      <c r="D5845" s="0" t="n">
        <v>5</v>
      </c>
      <c r="E5845" s="38" t="n">
        <v>2395.03</v>
      </c>
    </row>
    <row r="5846" customFormat="false" ht="15" hidden="false" customHeight="false" outlineLevel="0" collapsed="false">
      <c r="A5846" s="0" t="n">
        <v>85</v>
      </c>
      <c r="B5846" s="0" t="s">
        <v>64</v>
      </c>
      <c r="C5846" s="0" t="n">
        <v>2012</v>
      </c>
      <c r="D5846" s="0" t="n">
        <v>6</v>
      </c>
      <c r="E5846" s="38" t="n">
        <v>2147.26</v>
      </c>
    </row>
    <row r="5847" customFormat="false" ht="15" hidden="false" customHeight="false" outlineLevel="0" collapsed="false">
      <c r="A5847" s="0" t="n">
        <v>85</v>
      </c>
      <c r="B5847" s="0" t="s">
        <v>64</v>
      </c>
      <c r="C5847" s="0" t="n">
        <v>2012</v>
      </c>
      <c r="D5847" s="0" t="n">
        <v>7</v>
      </c>
      <c r="E5847" s="38" t="n">
        <v>2584.23</v>
      </c>
    </row>
    <row r="5848" customFormat="false" ht="15" hidden="false" customHeight="false" outlineLevel="0" collapsed="false">
      <c r="A5848" s="0" t="n">
        <v>85</v>
      </c>
      <c r="B5848" s="0" t="s">
        <v>64</v>
      </c>
      <c r="C5848" s="0" t="n">
        <v>2012</v>
      </c>
      <c r="D5848" s="0" t="n">
        <v>8</v>
      </c>
      <c r="E5848" s="38" t="n">
        <v>1660.96</v>
      </c>
    </row>
    <row r="5849" customFormat="false" ht="15" hidden="false" customHeight="false" outlineLevel="0" collapsed="false">
      <c r="A5849" s="0" t="n">
        <v>85</v>
      </c>
      <c r="B5849" s="0" t="s">
        <v>64</v>
      </c>
      <c r="C5849" s="0" t="n">
        <v>2012</v>
      </c>
      <c r="D5849" s="0" t="n">
        <v>9</v>
      </c>
      <c r="E5849" s="38" t="n">
        <v>1906.69</v>
      </c>
    </row>
    <row r="5850" customFormat="false" ht="15" hidden="false" customHeight="false" outlineLevel="0" collapsed="false">
      <c r="A5850" s="0" t="n">
        <v>85</v>
      </c>
      <c r="B5850" s="0" t="s">
        <v>64</v>
      </c>
      <c r="C5850" s="0" t="n">
        <v>2012</v>
      </c>
      <c r="D5850" s="0" t="n">
        <v>10</v>
      </c>
      <c r="E5850" s="38" t="n">
        <v>1643.08</v>
      </c>
    </row>
    <row r="5851" customFormat="false" ht="15" hidden="false" customHeight="false" outlineLevel="0" collapsed="false">
      <c r="A5851" s="0" t="n">
        <v>85</v>
      </c>
      <c r="B5851" s="0" t="s">
        <v>64</v>
      </c>
      <c r="C5851" s="0" t="n">
        <v>2012</v>
      </c>
      <c r="D5851" s="0" t="n">
        <v>11</v>
      </c>
      <c r="E5851" s="38" t="n">
        <v>3437.17</v>
      </c>
    </row>
    <row r="5852" customFormat="false" ht="15" hidden="false" customHeight="false" outlineLevel="0" collapsed="false">
      <c r="A5852" s="0" t="n">
        <v>85</v>
      </c>
      <c r="B5852" s="0" t="s">
        <v>64</v>
      </c>
      <c r="C5852" s="0" t="n">
        <v>2012</v>
      </c>
      <c r="D5852" s="0" t="n">
        <v>12</v>
      </c>
      <c r="E5852" s="38" t="n">
        <v>1787.04</v>
      </c>
    </row>
    <row r="5853" customFormat="false" ht="15" hidden="false" customHeight="false" outlineLevel="0" collapsed="false">
      <c r="A5853" s="0" t="n">
        <v>85</v>
      </c>
      <c r="B5853" s="0" t="s">
        <v>64</v>
      </c>
      <c r="C5853" s="0" t="n">
        <v>2013</v>
      </c>
      <c r="D5853" s="0" t="n">
        <v>1</v>
      </c>
      <c r="E5853" s="38" t="n">
        <v>1589.77</v>
      </c>
    </row>
    <row r="5854" customFormat="false" ht="15" hidden="false" customHeight="false" outlineLevel="0" collapsed="false">
      <c r="A5854" s="0" t="n">
        <v>85</v>
      </c>
      <c r="B5854" s="0" t="s">
        <v>64</v>
      </c>
      <c r="C5854" s="0" t="n">
        <v>2013</v>
      </c>
      <c r="D5854" s="0" t="n">
        <v>2</v>
      </c>
      <c r="E5854" s="38" t="n">
        <v>1400.62</v>
      </c>
    </row>
    <row r="5855" customFormat="false" ht="15" hidden="false" customHeight="false" outlineLevel="0" collapsed="false">
      <c r="A5855" s="0" t="n">
        <v>85</v>
      </c>
      <c r="B5855" s="0" t="s">
        <v>64</v>
      </c>
      <c r="C5855" s="0" t="n">
        <v>2013</v>
      </c>
      <c r="D5855" s="0" t="n">
        <v>3</v>
      </c>
      <c r="E5855" s="38" t="n">
        <v>1799.53</v>
      </c>
    </row>
    <row r="5856" customFormat="false" ht="15" hidden="false" customHeight="false" outlineLevel="0" collapsed="false">
      <c r="A5856" s="0" t="n">
        <v>85</v>
      </c>
      <c r="B5856" s="0" t="s">
        <v>64</v>
      </c>
      <c r="C5856" s="0" t="n">
        <v>2013</v>
      </c>
      <c r="D5856" s="0" t="n">
        <v>4</v>
      </c>
      <c r="E5856" s="38" t="n">
        <v>2256.67</v>
      </c>
    </row>
    <row r="5857" customFormat="false" ht="15" hidden="false" customHeight="false" outlineLevel="0" collapsed="false">
      <c r="A5857" s="0" t="n">
        <v>85</v>
      </c>
      <c r="B5857" s="0" t="s">
        <v>64</v>
      </c>
      <c r="C5857" s="0" t="n">
        <v>2013</v>
      </c>
      <c r="D5857" s="0" t="n">
        <v>5</v>
      </c>
      <c r="E5857" s="38" t="n">
        <v>1710.16</v>
      </c>
    </row>
    <row r="5858" customFormat="false" ht="15" hidden="false" customHeight="false" outlineLevel="0" collapsed="false">
      <c r="A5858" s="0" t="n">
        <v>85</v>
      </c>
      <c r="B5858" s="0" t="s">
        <v>64</v>
      </c>
      <c r="C5858" s="0" t="n">
        <v>2013</v>
      </c>
      <c r="D5858" s="0" t="n">
        <v>6</v>
      </c>
      <c r="E5858" s="38" t="n">
        <v>1233.97</v>
      </c>
    </row>
    <row r="5859" customFormat="false" ht="15" hidden="false" customHeight="false" outlineLevel="0" collapsed="false">
      <c r="A5859" s="0" t="n">
        <v>85</v>
      </c>
      <c r="B5859" s="0" t="s">
        <v>64</v>
      </c>
      <c r="C5859" s="0" t="n">
        <v>2013</v>
      </c>
      <c r="D5859" s="0" t="n">
        <v>7</v>
      </c>
      <c r="E5859" s="38" t="n">
        <v>1553.49</v>
      </c>
    </row>
    <row r="5860" customFormat="false" ht="15" hidden="false" customHeight="false" outlineLevel="0" collapsed="false">
      <c r="A5860" s="0" t="n">
        <v>85</v>
      </c>
      <c r="B5860" s="0" t="s">
        <v>64</v>
      </c>
      <c r="C5860" s="0" t="n">
        <v>2013</v>
      </c>
      <c r="D5860" s="0" t="n">
        <v>8</v>
      </c>
      <c r="E5860" s="38" t="n">
        <v>1399.11</v>
      </c>
    </row>
    <row r="5861" customFormat="false" ht="15" hidden="false" customHeight="false" outlineLevel="0" collapsed="false">
      <c r="A5861" s="0" t="n">
        <v>87</v>
      </c>
      <c r="B5861" s="0" t="s">
        <v>60</v>
      </c>
      <c r="C5861" s="0" t="n">
        <v>2011</v>
      </c>
      <c r="D5861" s="0" t="n">
        <v>1</v>
      </c>
      <c r="E5861" s="38" t="n">
        <v>1380886.35</v>
      </c>
    </row>
    <row r="5862" customFormat="false" ht="15" hidden="false" customHeight="false" outlineLevel="0" collapsed="false">
      <c r="A5862" s="0" t="n">
        <v>87</v>
      </c>
      <c r="B5862" s="0" t="s">
        <v>60</v>
      </c>
      <c r="C5862" s="0" t="n">
        <v>2011</v>
      </c>
      <c r="D5862" s="0" t="n">
        <v>2</v>
      </c>
      <c r="E5862" s="38" t="n">
        <v>1345645.83</v>
      </c>
    </row>
    <row r="5863" customFormat="false" ht="15" hidden="false" customHeight="false" outlineLevel="0" collapsed="false">
      <c r="A5863" s="0" t="n">
        <v>87</v>
      </c>
      <c r="B5863" s="0" t="s">
        <v>60</v>
      </c>
      <c r="C5863" s="0" t="n">
        <v>2011</v>
      </c>
      <c r="D5863" s="0" t="n">
        <v>3</v>
      </c>
      <c r="E5863" s="38" t="n">
        <v>1265291.2</v>
      </c>
    </row>
    <row r="5864" customFormat="false" ht="15" hidden="false" customHeight="false" outlineLevel="0" collapsed="false">
      <c r="A5864" s="0" t="n">
        <v>87</v>
      </c>
      <c r="B5864" s="0" t="s">
        <v>60</v>
      </c>
      <c r="C5864" s="0" t="n">
        <v>2011</v>
      </c>
      <c r="D5864" s="0" t="n">
        <v>4</v>
      </c>
      <c r="E5864" s="38" t="n">
        <v>1357827.54</v>
      </c>
    </row>
    <row r="5865" customFormat="false" ht="15" hidden="false" customHeight="false" outlineLevel="0" collapsed="false">
      <c r="A5865" s="0" t="n">
        <v>87</v>
      </c>
      <c r="B5865" s="0" t="s">
        <v>60</v>
      </c>
      <c r="C5865" s="0" t="n">
        <v>2011</v>
      </c>
      <c r="D5865" s="0" t="n">
        <v>5</v>
      </c>
      <c r="E5865" s="38" t="n">
        <v>1437480.59</v>
      </c>
    </row>
    <row r="5866" customFormat="false" ht="15" hidden="false" customHeight="false" outlineLevel="0" collapsed="false">
      <c r="A5866" s="0" t="n">
        <v>87</v>
      </c>
      <c r="B5866" s="0" t="s">
        <v>60</v>
      </c>
      <c r="C5866" s="0" t="n">
        <v>2011</v>
      </c>
      <c r="D5866" s="0" t="n">
        <v>6</v>
      </c>
      <c r="E5866" s="38" t="n">
        <v>1518307.83</v>
      </c>
    </row>
    <row r="5867" customFormat="false" ht="15" hidden="false" customHeight="false" outlineLevel="0" collapsed="false">
      <c r="A5867" s="0" t="n">
        <v>87</v>
      </c>
      <c r="B5867" s="0" t="s">
        <v>60</v>
      </c>
      <c r="C5867" s="0" t="n">
        <v>2011</v>
      </c>
      <c r="D5867" s="0" t="n">
        <v>7</v>
      </c>
      <c r="E5867" s="38" t="n">
        <v>1625436.84</v>
      </c>
    </row>
    <row r="5868" customFormat="false" ht="15" hidden="false" customHeight="false" outlineLevel="0" collapsed="false">
      <c r="A5868" s="0" t="n">
        <v>87</v>
      </c>
      <c r="B5868" s="0" t="s">
        <v>60</v>
      </c>
      <c r="C5868" s="0" t="n">
        <v>2011</v>
      </c>
      <c r="D5868" s="0" t="n">
        <v>8</v>
      </c>
      <c r="E5868" s="38" t="n">
        <v>1530120.67</v>
      </c>
    </row>
    <row r="5869" customFormat="false" ht="15" hidden="false" customHeight="false" outlineLevel="0" collapsed="false">
      <c r="A5869" s="0" t="n">
        <v>87</v>
      </c>
      <c r="B5869" s="0" t="s">
        <v>60</v>
      </c>
      <c r="C5869" s="0" t="n">
        <v>2011</v>
      </c>
      <c r="D5869" s="0" t="n">
        <v>9</v>
      </c>
      <c r="E5869" s="38" t="n">
        <v>1495875.53</v>
      </c>
    </row>
    <row r="5870" customFormat="false" ht="15" hidden="false" customHeight="false" outlineLevel="0" collapsed="false">
      <c r="A5870" s="0" t="n">
        <v>87</v>
      </c>
      <c r="B5870" s="0" t="s">
        <v>60</v>
      </c>
      <c r="C5870" s="0" t="n">
        <v>2011</v>
      </c>
      <c r="D5870" s="0" t="n">
        <v>10</v>
      </c>
      <c r="E5870" s="38" t="n">
        <v>1515238.53</v>
      </c>
    </row>
    <row r="5871" customFormat="false" ht="15" hidden="false" customHeight="false" outlineLevel="0" collapsed="false">
      <c r="A5871" s="0" t="n">
        <v>87</v>
      </c>
      <c r="B5871" s="0" t="s">
        <v>60</v>
      </c>
      <c r="C5871" s="0" t="n">
        <v>2011</v>
      </c>
      <c r="D5871" s="0" t="n">
        <v>11</v>
      </c>
      <c r="E5871" s="38" t="n">
        <v>1718899.36</v>
      </c>
    </row>
    <row r="5872" customFormat="false" ht="15" hidden="false" customHeight="false" outlineLevel="0" collapsed="false">
      <c r="A5872" s="0" t="n">
        <v>87</v>
      </c>
      <c r="B5872" s="0" t="s">
        <v>60</v>
      </c>
      <c r="C5872" s="0" t="n">
        <v>2011</v>
      </c>
      <c r="D5872" s="0" t="n">
        <v>12</v>
      </c>
      <c r="E5872" s="38" t="n">
        <v>1490780.76</v>
      </c>
    </row>
    <row r="5873" customFormat="false" ht="15" hidden="false" customHeight="false" outlineLevel="0" collapsed="false">
      <c r="A5873" s="0" t="n">
        <v>87</v>
      </c>
      <c r="B5873" s="0" t="s">
        <v>60</v>
      </c>
      <c r="C5873" s="0" t="n">
        <v>2012</v>
      </c>
      <c r="D5873" s="0" t="n">
        <v>1</v>
      </c>
      <c r="E5873" s="38" t="n">
        <v>1638666.01</v>
      </c>
    </row>
    <row r="5874" customFormat="false" ht="15" hidden="false" customHeight="false" outlineLevel="0" collapsed="false">
      <c r="A5874" s="0" t="n">
        <v>87</v>
      </c>
      <c r="B5874" s="0" t="s">
        <v>60</v>
      </c>
      <c r="C5874" s="0" t="n">
        <v>2012</v>
      </c>
      <c r="D5874" s="0" t="n">
        <v>2</v>
      </c>
      <c r="E5874" s="38" t="n">
        <v>1651789.55</v>
      </c>
    </row>
    <row r="5875" customFormat="false" ht="15" hidden="false" customHeight="false" outlineLevel="0" collapsed="false">
      <c r="A5875" s="0" t="n">
        <v>87</v>
      </c>
      <c r="B5875" s="0" t="s">
        <v>60</v>
      </c>
      <c r="C5875" s="0" t="n">
        <v>2012</v>
      </c>
      <c r="D5875" s="0" t="n">
        <v>3</v>
      </c>
      <c r="E5875" s="38" t="n">
        <v>1473559.23</v>
      </c>
    </row>
    <row r="5876" customFormat="false" ht="15" hidden="false" customHeight="false" outlineLevel="0" collapsed="false">
      <c r="A5876" s="0" t="n">
        <v>87</v>
      </c>
      <c r="B5876" s="0" t="s">
        <v>60</v>
      </c>
      <c r="C5876" s="0" t="n">
        <v>2012</v>
      </c>
      <c r="D5876" s="0" t="n">
        <v>4</v>
      </c>
      <c r="E5876" s="38" t="n">
        <v>1551122.13</v>
      </c>
    </row>
    <row r="5877" customFormat="false" ht="15" hidden="false" customHeight="false" outlineLevel="0" collapsed="false">
      <c r="A5877" s="0" t="n">
        <v>87</v>
      </c>
      <c r="B5877" s="0" t="s">
        <v>60</v>
      </c>
      <c r="C5877" s="0" t="n">
        <v>2012</v>
      </c>
      <c r="D5877" s="0" t="n">
        <v>5</v>
      </c>
      <c r="E5877" s="38" t="n">
        <v>1653538.32</v>
      </c>
    </row>
    <row r="5878" customFormat="false" ht="15" hidden="false" customHeight="false" outlineLevel="0" collapsed="false">
      <c r="A5878" s="0" t="n">
        <v>87</v>
      </c>
      <c r="B5878" s="0" t="s">
        <v>60</v>
      </c>
      <c r="C5878" s="0" t="n">
        <v>2012</v>
      </c>
      <c r="D5878" s="0" t="n">
        <v>6</v>
      </c>
      <c r="E5878" s="38" t="n">
        <v>1729269.5</v>
      </c>
    </row>
    <row r="5879" customFormat="false" ht="15" hidden="false" customHeight="false" outlineLevel="0" collapsed="false">
      <c r="A5879" s="0" t="n">
        <v>87</v>
      </c>
      <c r="B5879" s="0" t="s">
        <v>60</v>
      </c>
      <c r="C5879" s="0" t="n">
        <v>2012</v>
      </c>
      <c r="D5879" s="0" t="n">
        <v>7</v>
      </c>
      <c r="E5879" s="38" t="n">
        <v>1788663.11</v>
      </c>
    </row>
    <row r="5880" customFormat="false" ht="15" hidden="false" customHeight="false" outlineLevel="0" collapsed="false">
      <c r="A5880" s="0" t="n">
        <v>87</v>
      </c>
      <c r="B5880" s="0" t="s">
        <v>60</v>
      </c>
      <c r="C5880" s="0" t="n">
        <v>2012</v>
      </c>
      <c r="D5880" s="0" t="n">
        <v>8</v>
      </c>
      <c r="E5880" s="38" t="n">
        <v>1656141.14</v>
      </c>
    </row>
    <row r="5881" customFormat="false" ht="15" hidden="false" customHeight="false" outlineLevel="0" collapsed="false">
      <c r="A5881" s="0" t="n">
        <v>87</v>
      </c>
      <c r="B5881" s="0" t="s">
        <v>60</v>
      </c>
      <c r="C5881" s="0" t="n">
        <v>2012</v>
      </c>
      <c r="D5881" s="0" t="n">
        <v>9</v>
      </c>
      <c r="E5881" s="38" t="n">
        <v>1795024.09</v>
      </c>
    </row>
    <row r="5882" customFormat="false" ht="15" hidden="false" customHeight="false" outlineLevel="0" collapsed="false">
      <c r="A5882" s="0" t="n">
        <v>87</v>
      </c>
      <c r="B5882" s="0" t="s">
        <v>60</v>
      </c>
      <c r="C5882" s="0" t="n">
        <v>2012</v>
      </c>
      <c r="D5882" s="0" t="n">
        <v>10</v>
      </c>
      <c r="E5882" s="38" t="n">
        <v>1804118.88</v>
      </c>
    </row>
    <row r="5883" customFormat="false" ht="15" hidden="false" customHeight="false" outlineLevel="0" collapsed="false">
      <c r="A5883" s="0" t="n">
        <v>87</v>
      </c>
      <c r="B5883" s="0" t="s">
        <v>60</v>
      </c>
      <c r="C5883" s="0" t="n">
        <v>2012</v>
      </c>
      <c r="D5883" s="0" t="n">
        <v>11</v>
      </c>
      <c r="E5883" s="38" t="n">
        <v>2035983.18</v>
      </c>
    </row>
    <row r="5884" customFormat="false" ht="15" hidden="false" customHeight="false" outlineLevel="0" collapsed="false">
      <c r="A5884" s="0" t="n">
        <v>87</v>
      </c>
      <c r="B5884" s="0" t="s">
        <v>60</v>
      </c>
      <c r="C5884" s="0" t="n">
        <v>2012</v>
      </c>
      <c r="D5884" s="0" t="n">
        <v>12</v>
      </c>
      <c r="E5884" s="38" t="n">
        <v>1754586.66</v>
      </c>
    </row>
    <row r="5885" customFormat="false" ht="15" hidden="false" customHeight="false" outlineLevel="0" collapsed="false">
      <c r="A5885" s="0" t="n">
        <v>87</v>
      </c>
      <c r="B5885" s="0" t="s">
        <v>60</v>
      </c>
      <c r="C5885" s="0" t="n">
        <v>2013</v>
      </c>
      <c r="D5885" s="0" t="n">
        <v>1</v>
      </c>
      <c r="E5885" s="38" t="n">
        <v>2012614.5</v>
      </c>
    </row>
    <row r="5886" customFormat="false" ht="15" hidden="false" customHeight="false" outlineLevel="0" collapsed="false">
      <c r="A5886" s="0" t="n">
        <v>87</v>
      </c>
      <c r="B5886" s="0" t="s">
        <v>60</v>
      </c>
      <c r="C5886" s="0" t="n">
        <v>2013</v>
      </c>
      <c r="D5886" s="0" t="n">
        <v>2</v>
      </c>
      <c r="E5886" s="38" t="n">
        <v>1856909.17</v>
      </c>
    </row>
    <row r="5887" customFormat="false" ht="15" hidden="false" customHeight="false" outlineLevel="0" collapsed="false">
      <c r="A5887" s="0" t="n">
        <v>87</v>
      </c>
      <c r="B5887" s="0" t="s">
        <v>60</v>
      </c>
      <c r="C5887" s="0" t="n">
        <v>2013</v>
      </c>
      <c r="D5887" s="0" t="n">
        <v>3</v>
      </c>
      <c r="E5887" s="38" t="n">
        <v>1738152.53</v>
      </c>
    </row>
    <row r="5888" customFormat="false" ht="15" hidden="false" customHeight="false" outlineLevel="0" collapsed="false">
      <c r="A5888" s="0" t="n">
        <v>87</v>
      </c>
      <c r="B5888" s="0" t="s">
        <v>60</v>
      </c>
      <c r="C5888" s="0" t="n">
        <v>2013</v>
      </c>
      <c r="D5888" s="0" t="n">
        <v>4</v>
      </c>
      <c r="E5888" s="38" t="n">
        <v>1865682.41</v>
      </c>
    </row>
    <row r="5889" customFormat="false" ht="15" hidden="false" customHeight="false" outlineLevel="0" collapsed="false">
      <c r="A5889" s="0" t="n">
        <v>87</v>
      </c>
      <c r="B5889" s="0" t="s">
        <v>60</v>
      </c>
      <c r="C5889" s="0" t="n">
        <v>2013</v>
      </c>
      <c r="D5889" s="0" t="n">
        <v>5</v>
      </c>
      <c r="E5889" s="38" t="n">
        <v>1952548.91</v>
      </c>
    </row>
    <row r="5890" customFormat="false" ht="15" hidden="false" customHeight="false" outlineLevel="0" collapsed="false">
      <c r="A5890" s="0" t="n">
        <v>87</v>
      </c>
      <c r="B5890" s="0" t="s">
        <v>60</v>
      </c>
      <c r="C5890" s="0" t="n">
        <v>2013</v>
      </c>
      <c r="D5890" s="0" t="n">
        <v>6</v>
      </c>
      <c r="E5890" s="38" t="n">
        <v>2049396.99</v>
      </c>
    </row>
    <row r="5891" customFormat="false" ht="15" hidden="false" customHeight="false" outlineLevel="0" collapsed="false">
      <c r="A5891" s="0" t="n">
        <v>87</v>
      </c>
      <c r="B5891" s="0" t="s">
        <v>60</v>
      </c>
      <c r="C5891" s="0" t="n">
        <v>2013</v>
      </c>
      <c r="D5891" s="0" t="n">
        <v>7</v>
      </c>
      <c r="E5891" s="38" t="n">
        <v>2091406.27</v>
      </c>
    </row>
    <row r="5892" customFormat="false" ht="15" hidden="false" customHeight="false" outlineLevel="0" collapsed="false">
      <c r="A5892" s="0" t="n">
        <v>87</v>
      </c>
      <c r="B5892" s="0" t="s">
        <v>60</v>
      </c>
      <c r="C5892" s="0" t="n">
        <v>2013</v>
      </c>
      <c r="D5892" s="0" t="n">
        <v>8</v>
      </c>
      <c r="E5892" s="38" t="n">
        <v>1942874.81</v>
      </c>
    </row>
    <row r="5893" customFormat="false" ht="15" hidden="false" customHeight="false" outlineLevel="0" collapsed="false">
      <c r="A5893" s="0" t="n">
        <v>87</v>
      </c>
      <c r="B5893" s="0" t="s">
        <v>62</v>
      </c>
      <c r="C5893" s="0" t="n">
        <v>2011</v>
      </c>
      <c r="D5893" s="0" t="n">
        <v>1</v>
      </c>
      <c r="E5893" s="38" t="n">
        <v>756920.69</v>
      </c>
    </row>
    <row r="5894" customFormat="false" ht="15" hidden="false" customHeight="false" outlineLevel="0" collapsed="false">
      <c r="A5894" s="0" t="n">
        <v>87</v>
      </c>
      <c r="B5894" s="0" t="s">
        <v>62</v>
      </c>
      <c r="C5894" s="0" t="n">
        <v>2011</v>
      </c>
      <c r="D5894" s="0" t="n">
        <v>2</v>
      </c>
      <c r="E5894" s="38" t="n">
        <v>766152.89</v>
      </c>
    </row>
    <row r="5895" customFormat="false" ht="15" hidden="false" customHeight="false" outlineLevel="0" collapsed="false">
      <c r="A5895" s="0" t="n">
        <v>87</v>
      </c>
      <c r="B5895" s="0" t="s">
        <v>62</v>
      </c>
      <c r="C5895" s="0" t="n">
        <v>2011</v>
      </c>
      <c r="D5895" s="0" t="n">
        <v>3</v>
      </c>
      <c r="E5895" s="38" t="n">
        <v>698912.72</v>
      </c>
    </row>
    <row r="5896" customFormat="false" ht="15" hidden="false" customHeight="false" outlineLevel="0" collapsed="false">
      <c r="A5896" s="0" t="n">
        <v>87</v>
      </c>
      <c r="B5896" s="0" t="s">
        <v>62</v>
      </c>
      <c r="C5896" s="0" t="n">
        <v>2011</v>
      </c>
      <c r="D5896" s="0" t="n">
        <v>4</v>
      </c>
      <c r="E5896" s="38" t="n">
        <v>750807.67</v>
      </c>
    </row>
    <row r="5897" customFormat="false" ht="15" hidden="false" customHeight="false" outlineLevel="0" collapsed="false">
      <c r="A5897" s="0" t="n">
        <v>87</v>
      </c>
      <c r="B5897" s="0" t="s">
        <v>62</v>
      </c>
      <c r="C5897" s="0" t="n">
        <v>2011</v>
      </c>
      <c r="D5897" s="0" t="n">
        <v>5</v>
      </c>
      <c r="E5897" s="38" t="n">
        <v>782875.36</v>
      </c>
    </row>
    <row r="5898" customFormat="false" ht="15" hidden="false" customHeight="false" outlineLevel="0" collapsed="false">
      <c r="A5898" s="0" t="n">
        <v>87</v>
      </c>
      <c r="B5898" s="0" t="s">
        <v>62</v>
      </c>
      <c r="C5898" s="0" t="n">
        <v>2011</v>
      </c>
      <c r="D5898" s="0" t="n">
        <v>6</v>
      </c>
      <c r="E5898" s="38" t="n">
        <v>853933.56</v>
      </c>
    </row>
    <row r="5899" customFormat="false" ht="15" hidden="false" customHeight="false" outlineLevel="0" collapsed="false">
      <c r="A5899" s="0" t="n">
        <v>87</v>
      </c>
      <c r="B5899" s="0" t="s">
        <v>62</v>
      </c>
      <c r="C5899" s="0" t="n">
        <v>2011</v>
      </c>
      <c r="D5899" s="0" t="n">
        <v>7</v>
      </c>
      <c r="E5899" s="38" t="n">
        <v>895125.51</v>
      </c>
    </row>
    <row r="5900" customFormat="false" ht="15" hidden="false" customHeight="false" outlineLevel="0" collapsed="false">
      <c r="A5900" s="0" t="n">
        <v>87</v>
      </c>
      <c r="B5900" s="0" t="s">
        <v>62</v>
      </c>
      <c r="C5900" s="0" t="n">
        <v>2011</v>
      </c>
      <c r="D5900" s="0" t="n">
        <v>8</v>
      </c>
      <c r="E5900" s="38" t="n">
        <v>814644.41</v>
      </c>
    </row>
    <row r="5901" customFormat="false" ht="15" hidden="false" customHeight="false" outlineLevel="0" collapsed="false">
      <c r="A5901" s="0" t="n">
        <v>87</v>
      </c>
      <c r="B5901" s="0" t="s">
        <v>62</v>
      </c>
      <c r="C5901" s="0" t="n">
        <v>2011</v>
      </c>
      <c r="D5901" s="0" t="n">
        <v>9</v>
      </c>
      <c r="E5901" s="38" t="n">
        <v>835261.3</v>
      </c>
    </row>
    <row r="5902" customFormat="false" ht="15" hidden="false" customHeight="false" outlineLevel="0" collapsed="false">
      <c r="A5902" s="0" t="n">
        <v>87</v>
      </c>
      <c r="B5902" s="0" t="s">
        <v>62</v>
      </c>
      <c r="C5902" s="0" t="n">
        <v>2011</v>
      </c>
      <c r="D5902" s="0" t="n">
        <v>10</v>
      </c>
      <c r="E5902" s="38" t="n">
        <v>822859.63</v>
      </c>
    </row>
    <row r="5903" customFormat="false" ht="15" hidden="false" customHeight="false" outlineLevel="0" collapsed="false">
      <c r="A5903" s="0" t="n">
        <v>87</v>
      </c>
      <c r="B5903" s="0" t="s">
        <v>62</v>
      </c>
      <c r="C5903" s="0" t="n">
        <v>2011</v>
      </c>
      <c r="D5903" s="0" t="n">
        <v>11</v>
      </c>
      <c r="E5903" s="38" t="n">
        <v>963194.51</v>
      </c>
    </row>
    <row r="5904" customFormat="false" ht="15" hidden="false" customHeight="false" outlineLevel="0" collapsed="false">
      <c r="A5904" s="0" t="n">
        <v>87</v>
      </c>
      <c r="B5904" s="0" t="s">
        <v>62</v>
      </c>
      <c r="C5904" s="0" t="n">
        <v>2011</v>
      </c>
      <c r="D5904" s="0" t="n">
        <v>12</v>
      </c>
      <c r="E5904" s="38" t="n">
        <v>823544.21</v>
      </c>
    </row>
    <row r="5905" customFormat="false" ht="15" hidden="false" customHeight="false" outlineLevel="0" collapsed="false">
      <c r="A5905" s="0" t="n">
        <v>87</v>
      </c>
      <c r="B5905" s="0" t="s">
        <v>62</v>
      </c>
      <c r="C5905" s="0" t="n">
        <v>2012</v>
      </c>
      <c r="D5905" s="0" t="n">
        <v>1</v>
      </c>
      <c r="E5905" s="38" t="n">
        <v>861165.32</v>
      </c>
    </row>
    <row r="5906" customFormat="false" ht="15" hidden="false" customHeight="false" outlineLevel="0" collapsed="false">
      <c r="A5906" s="0" t="n">
        <v>87</v>
      </c>
      <c r="B5906" s="0" t="s">
        <v>62</v>
      </c>
      <c r="C5906" s="0" t="n">
        <v>2012</v>
      </c>
      <c r="D5906" s="0" t="n">
        <v>2</v>
      </c>
      <c r="E5906" s="38" t="n">
        <v>876685.92</v>
      </c>
    </row>
    <row r="5907" customFormat="false" ht="15" hidden="false" customHeight="false" outlineLevel="0" collapsed="false">
      <c r="A5907" s="0" t="n">
        <v>87</v>
      </c>
      <c r="B5907" s="0" t="s">
        <v>62</v>
      </c>
      <c r="C5907" s="0" t="n">
        <v>2012</v>
      </c>
      <c r="D5907" s="0" t="n">
        <v>3</v>
      </c>
      <c r="E5907" s="38" t="n">
        <v>782351.39</v>
      </c>
    </row>
    <row r="5908" customFormat="false" ht="15" hidden="false" customHeight="false" outlineLevel="0" collapsed="false">
      <c r="A5908" s="0" t="n">
        <v>87</v>
      </c>
      <c r="B5908" s="0" t="s">
        <v>62</v>
      </c>
      <c r="C5908" s="0" t="n">
        <v>2012</v>
      </c>
      <c r="D5908" s="0" t="n">
        <v>4</v>
      </c>
      <c r="E5908" s="38" t="n">
        <v>833693.35</v>
      </c>
    </row>
    <row r="5909" customFormat="false" ht="15" hidden="false" customHeight="false" outlineLevel="0" collapsed="false">
      <c r="A5909" s="0" t="n">
        <v>87</v>
      </c>
      <c r="B5909" s="0" t="s">
        <v>62</v>
      </c>
      <c r="C5909" s="0" t="n">
        <v>2012</v>
      </c>
      <c r="D5909" s="0" t="n">
        <v>5</v>
      </c>
      <c r="E5909" s="38" t="n">
        <v>873856.57</v>
      </c>
    </row>
    <row r="5910" customFormat="false" ht="15" hidden="false" customHeight="false" outlineLevel="0" collapsed="false">
      <c r="A5910" s="0" t="n">
        <v>87</v>
      </c>
      <c r="B5910" s="0" t="s">
        <v>62</v>
      </c>
      <c r="C5910" s="0" t="n">
        <v>2012</v>
      </c>
      <c r="D5910" s="0" t="n">
        <v>6</v>
      </c>
      <c r="E5910" s="38" t="n">
        <v>899212.81</v>
      </c>
    </row>
    <row r="5911" customFormat="false" ht="15" hidden="false" customHeight="false" outlineLevel="0" collapsed="false">
      <c r="A5911" s="0" t="n">
        <v>87</v>
      </c>
      <c r="B5911" s="0" t="s">
        <v>62</v>
      </c>
      <c r="C5911" s="0" t="n">
        <v>2012</v>
      </c>
      <c r="D5911" s="0" t="n">
        <v>7</v>
      </c>
      <c r="E5911" s="38" t="n">
        <v>936064.4</v>
      </c>
    </row>
    <row r="5912" customFormat="false" ht="15" hidden="false" customHeight="false" outlineLevel="0" collapsed="false">
      <c r="A5912" s="0" t="n">
        <v>87</v>
      </c>
      <c r="B5912" s="0" t="s">
        <v>62</v>
      </c>
      <c r="C5912" s="0" t="n">
        <v>2012</v>
      </c>
      <c r="D5912" s="0" t="n">
        <v>8</v>
      </c>
      <c r="E5912" s="38" t="n">
        <v>885066.86</v>
      </c>
    </row>
    <row r="5913" customFormat="false" ht="15" hidden="false" customHeight="false" outlineLevel="0" collapsed="false">
      <c r="A5913" s="0" t="n">
        <v>87</v>
      </c>
      <c r="B5913" s="0" t="s">
        <v>62</v>
      </c>
      <c r="C5913" s="0" t="n">
        <v>2012</v>
      </c>
      <c r="D5913" s="0" t="n">
        <v>9</v>
      </c>
      <c r="E5913" s="38" t="n">
        <v>962681.44</v>
      </c>
    </row>
    <row r="5914" customFormat="false" ht="15" hidden="false" customHeight="false" outlineLevel="0" collapsed="false">
      <c r="A5914" s="0" t="n">
        <v>87</v>
      </c>
      <c r="B5914" s="0" t="s">
        <v>62</v>
      </c>
      <c r="C5914" s="0" t="n">
        <v>2012</v>
      </c>
      <c r="D5914" s="0" t="n">
        <v>10</v>
      </c>
      <c r="E5914" s="38" t="n">
        <v>973570.12</v>
      </c>
    </row>
    <row r="5915" customFormat="false" ht="15" hidden="false" customHeight="false" outlineLevel="0" collapsed="false">
      <c r="A5915" s="0" t="n">
        <v>87</v>
      </c>
      <c r="B5915" s="0" t="s">
        <v>62</v>
      </c>
      <c r="C5915" s="0" t="n">
        <v>2012</v>
      </c>
      <c r="D5915" s="0" t="n">
        <v>11</v>
      </c>
      <c r="E5915" s="38" t="n">
        <v>1112184.1</v>
      </c>
    </row>
    <row r="5916" customFormat="false" ht="15" hidden="false" customHeight="false" outlineLevel="0" collapsed="false">
      <c r="A5916" s="0" t="n">
        <v>87</v>
      </c>
      <c r="B5916" s="0" t="s">
        <v>62</v>
      </c>
      <c r="C5916" s="0" t="n">
        <v>2012</v>
      </c>
      <c r="D5916" s="0" t="n">
        <v>12</v>
      </c>
      <c r="E5916" s="38" t="n">
        <v>967864.42</v>
      </c>
    </row>
    <row r="5917" customFormat="false" ht="15" hidden="false" customHeight="false" outlineLevel="0" collapsed="false">
      <c r="A5917" s="0" t="n">
        <v>87</v>
      </c>
      <c r="B5917" s="0" t="s">
        <v>62</v>
      </c>
      <c r="C5917" s="0" t="n">
        <v>2013</v>
      </c>
      <c r="D5917" s="0" t="n">
        <v>1</v>
      </c>
      <c r="E5917" s="38" t="n">
        <v>1020916.01</v>
      </c>
    </row>
    <row r="5918" customFormat="false" ht="15" hidden="false" customHeight="false" outlineLevel="0" collapsed="false">
      <c r="A5918" s="0" t="n">
        <v>87</v>
      </c>
      <c r="B5918" s="0" t="s">
        <v>62</v>
      </c>
      <c r="C5918" s="0" t="n">
        <v>2013</v>
      </c>
      <c r="D5918" s="0" t="n">
        <v>2</v>
      </c>
      <c r="E5918" s="38" t="n">
        <v>965469.28</v>
      </c>
    </row>
    <row r="5919" customFormat="false" ht="15" hidden="false" customHeight="false" outlineLevel="0" collapsed="false">
      <c r="A5919" s="0" t="n">
        <v>87</v>
      </c>
      <c r="B5919" s="0" t="s">
        <v>62</v>
      </c>
      <c r="C5919" s="0" t="n">
        <v>2013</v>
      </c>
      <c r="D5919" s="0" t="n">
        <v>3</v>
      </c>
      <c r="E5919" s="38" t="n">
        <v>912883.3</v>
      </c>
    </row>
    <row r="5920" customFormat="false" ht="15" hidden="false" customHeight="false" outlineLevel="0" collapsed="false">
      <c r="A5920" s="0" t="n">
        <v>87</v>
      </c>
      <c r="B5920" s="0" t="s">
        <v>62</v>
      </c>
      <c r="C5920" s="0" t="n">
        <v>2013</v>
      </c>
      <c r="D5920" s="0" t="n">
        <v>4</v>
      </c>
      <c r="E5920" s="38" t="n">
        <v>964700.65</v>
      </c>
    </row>
    <row r="5921" customFormat="false" ht="15" hidden="false" customHeight="false" outlineLevel="0" collapsed="false">
      <c r="A5921" s="0" t="n">
        <v>87</v>
      </c>
      <c r="B5921" s="0" t="s">
        <v>62</v>
      </c>
      <c r="C5921" s="0" t="n">
        <v>2013</v>
      </c>
      <c r="D5921" s="0" t="n">
        <v>5</v>
      </c>
      <c r="E5921" s="38" t="n">
        <v>1034131.52</v>
      </c>
    </row>
    <row r="5922" customFormat="false" ht="15" hidden="false" customHeight="false" outlineLevel="0" collapsed="false">
      <c r="A5922" s="0" t="n">
        <v>87</v>
      </c>
      <c r="B5922" s="0" t="s">
        <v>62</v>
      </c>
      <c r="C5922" s="0" t="n">
        <v>2013</v>
      </c>
      <c r="D5922" s="0" t="n">
        <v>6</v>
      </c>
      <c r="E5922" s="38" t="n">
        <v>1085750.65</v>
      </c>
    </row>
    <row r="5923" customFormat="false" ht="15" hidden="false" customHeight="false" outlineLevel="0" collapsed="false">
      <c r="A5923" s="0" t="n">
        <v>87</v>
      </c>
      <c r="B5923" s="0" t="s">
        <v>62</v>
      </c>
      <c r="C5923" s="0" t="n">
        <v>2013</v>
      </c>
      <c r="D5923" s="0" t="n">
        <v>7</v>
      </c>
      <c r="E5923" s="38" t="n">
        <v>1106642.28</v>
      </c>
    </row>
    <row r="5924" customFormat="false" ht="15" hidden="false" customHeight="false" outlineLevel="0" collapsed="false">
      <c r="A5924" s="0" t="n">
        <v>87</v>
      </c>
      <c r="B5924" s="0" t="s">
        <v>62</v>
      </c>
      <c r="C5924" s="0" t="n">
        <v>2013</v>
      </c>
      <c r="D5924" s="0" t="n">
        <v>8</v>
      </c>
      <c r="E5924" s="38" t="n">
        <v>1031266.94</v>
      </c>
    </row>
    <row r="5925" customFormat="false" ht="15" hidden="false" customHeight="false" outlineLevel="0" collapsed="false">
      <c r="A5925" s="0" t="n">
        <v>87</v>
      </c>
      <c r="B5925" s="0" t="s">
        <v>64</v>
      </c>
      <c r="C5925" s="0" t="n">
        <v>2011</v>
      </c>
      <c r="D5925" s="0" t="n">
        <v>1</v>
      </c>
      <c r="E5925" s="38" t="n">
        <v>4304.43</v>
      </c>
    </row>
    <row r="5926" customFormat="false" ht="15" hidden="false" customHeight="false" outlineLevel="0" collapsed="false">
      <c r="A5926" s="0" t="n">
        <v>87</v>
      </c>
      <c r="B5926" s="0" t="s">
        <v>64</v>
      </c>
      <c r="C5926" s="0" t="n">
        <v>2011</v>
      </c>
      <c r="D5926" s="0" t="n">
        <v>2</v>
      </c>
      <c r="E5926" s="38" t="n">
        <v>5838.87</v>
      </c>
    </row>
    <row r="5927" customFormat="false" ht="15" hidden="false" customHeight="false" outlineLevel="0" collapsed="false">
      <c r="A5927" s="0" t="n">
        <v>87</v>
      </c>
      <c r="B5927" s="0" t="s">
        <v>64</v>
      </c>
      <c r="C5927" s="0" t="n">
        <v>2011</v>
      </c>
      <c r="D5927" s="0" t="n">
        <v>3</v>
      </c>
      <c r="E5927" s="38" t="n">
        <v>6422.89</v>
      </c>
    </row>
    <row r="5928" customFormat="false" ht="15" hidden="false" customHeight="false" outlineLevel="0" collapsed="false">
      <c r="A5928" s="0" t="n">
        <v>87</v>
      </c>
      <c r="B5928" s="0" t="s">
        <v>64</v>
      </c>
      <c r="C5928" s="0" t="n">
        <v>2011</v>
      </c>
      <c r="D5928" s="0" t="n">
        <v>4</v>
      </c>
      <c r="E5928" s="38" t="n">
        <v>8477.69</v>
      </c>
    </row>
    <row r="5929" customFormat="false" ht="15" hidden="false" customHeight="false" outlineLevel="0" collapsed="false">
      <c r="A5929" s="0" t="n">
        <v>87</v>
      </c>
      <c r="B5929" s="0" t="s">
        <v>64</v>
      </c>
      <c r="C5929" s="0" t="n">
        <v>2011</v>
      </c>
      <c r="D5929" s="0" t="n">
        <v>5</v>
      </c>
      <c r="E5929" s="38" t="n">
        <v>7617.99</v>
      </c>
    </row>
    <row r="5930" customFormat="false" ht="15" hidden="false" customHeight="false" outlineLevel="0" collapsed="false">
      <c r="A5930" s="0" t="n">
        <v>87</v>
      </c>
      <c r="B5930" s="0" t="s">
        <v>64</v>
      </c>
      <c r="C5930" s="0" t="n">
        <v>2011</v>
      </c>
      <c r="D5930" s="0" t="n">
        <v>6</v>
      </c>
      <c r="E5930" s="38" t="n">
        <v>7819.8</v>
      </c>
    </row>
    <row r="5931" customFormat="false" ht="15" hidden="false" customHeight="false" outlineLevel="0" collapsed="false">
      <c r="A5931" s="0" t="n">
        <v>87</v>
      </c>
      <c r="B5931" s="0" t="s">
        <v>64</v>
      </c>
      <c r="C5931" s="0" t="n">
        <v>2011</v>
      </c>
      <c r="D5931" s="0" t="n">
        <v>7</v>
      </c>
      <c r="E5931" s="38" t="n">
        <v>8558.14</v>
      </c>
    </row>
    <row r="5932" customFormat="false" ht="15" hidden="false" customHeight="false" outlineLevel="0" collapsed="false">
      <c r="A5932" s="0" t="n">
        <v>87</v>
      </c>
      <c r="B5932" s="0" t="s">
        <v>64</v>
      </c>
      <c r="C5932" s="0" t="n">
        <v>2011</v>
      </c>
      <c r="D5932" s="0" t="n">
        <v>8</v>
      </c>
      <c r="E5932" s="38" t="n">
        <v>10443.62</v>
      </c>
    </row>
    <row r="5933" customFormat="false" ht="15" hidden="false" customHeight="false" outlineLevel="0" collapsed="false">
      <c r="A5933" s="0" t="n">
        <v>87</v>
      </c>
      <c r="B5933" s="0" t="s">
        <v>64</v>
      </c>
      <c r="C5933" s="0" t="n">
        <v>2011</v>
      </c>
      <c r="D5933" s="0" t="n">
        <v>9</v>
      </c>
      <c r="E5933" s="38" t="n">
        <v>12907.8</v>
      </c>
    </row>
    <row r="5934" customFormat="false" ht="15" hidden="false" customHeight="false" outlineLevel="0" collapsed="false">
      <c r="A5934" s="0" t="n">
        <v>87</v>
      </c>
      <c r="B5934" s="0" t="s">
        <v>64</v>
      </c>
      <c r="C5934" s="0" t="n">
        <v>2011</v>
      </c>
      <c r="D5934" s="0" t="n">
        <v>10</v>
      </c>
      <c r="E5934" s="38" t="n">
        <v>12010.67</v>
      </c>
    </row>
    <row r="5935" customFormat="false" ht="15" hidden="false" customHeight="false" outlineLevel="0" collapsed="false">
      <c r="A5935" s="0" t="n">
        <v>87</v>
      </c>
      <c r="B5935" s="0" t="s">
        <v>64</v>
      </c>
      <c r="C5935" s="0" t="n">
        <v>2011</v>
      </c>
      <c r="D5935" s="0" t="n">
        <v>11</v>
      </c>
      <c r="E5935" s="38" t="n">
        <v>12575.14</v>
      </c>
    </row>
    <row r="5936" customFormat="false" ht="15" hidden="false" customHeight="false" outlineLevel="0" collapsed="false">
      <c r="A5936" s="0" t="n">
        <v>87</v>
      </c>
      <c r="B5936" s="0" t="s">
        <v>64</v>
      </c>
      <c r="C5936" s="0" t="n">
        <v>2011</v>
      </c>
      <c r="D5936" s="0" t="n">
        <v>12</v>
      </c>
      <c r="E5936" s="38" t="n">
        <v>15014.01</v>
      </c>
    </row>
    <row r="5937" customFormat="false" ht="15" hidden="false" customHeight="false" outlineLevel="0" collapsed="false">
      <c r="A5937" s="0" t="n">
        <v>87</v>
      </c>
      <c r="B5937" s="0" t="s">
        <v>64</v>
      </c>
      <c r="C5937" s="0" t="n">
        <v>2012</v>
      </c>
      <c r="D5937" s="0" t="n">
        <v>1</v>
      </c>
      <c r="E5937" s="38" t="n">
        <v>15042.41</v>
      </c>
    </row>
    <row r="5938" customFormat="false" ht="15" hidden="false" customHeight="false" outlineLevel="0" collapsed="false">
      <c r="A5938" s="0" t="n">
        <v>87</v>
      </c>
      <c r="B5938" s="0" t="s">
        <v>64</v>
      </c>
      <c r="C5938" s="0" t="n">
        <v>2012</v>
      </c>
      <c r="D5938" s="0" t="n">
        <v>2</v>
      </c>
      <c r="E5938" s="38" t="n">
        <v>16444.42</v>
      </c>
    </row>
    <row r="5939" customFormat="false" ht="15" hidden="false" customHeight="false" outlineLevel="0" collapsed="false">
      <c r="A5939" s="0" t="n">
        <v>87</v>
      </c>
      <c r="B5939" s="0" t="s">
        <v>64</v>
      </c>
      <c r="C5939" s="0" t="n">
        <v>2012</v>
      </c>
      <c r="D5939" s="0" t="n">
        <v>3</v>
      </c>
      <c r="E5939" s="38" t="n">
        <v>14620.72</v>
      </c>
    </row>
    <row r="5940" customFormat="false" ht="15" hidden="false" customHeight="false" outlineLevel="0" collapsed="false">
      <c r="A5940" s="0" t="n">
        <v>87</v>
      </c>
      <c r="B5940" s="0" t="s">
        <v>64</v>
      </c>
      <c r="C5940" s="0" t="n">
        <v>2012</v>
      </c>
      <c r="D5940" s="0" t="n">
        <v>4</v>
      </c>
      <c r="E5940" s="38" t="n">
        <v>15554.3</v>
      </c>
    </row>
    <row r="5941" customFormat="false" ht="15" hidden="false" customHeight="false" outlineLevel="0" collapsed="false">
      <c r="A5941" s="0" t="n">
        <v>87</v>
      </c>
      <c r="B5941" s="0" t="s">
        <v>64</v>
      </c>
      <c r="C5941" s="0" t="n">
        <v>2012</v>
      </c>
      <c r="D5941" s="0" t="n">
        <v>5</v>
      </c>
      <c r="E5941" s="38" t="n">
        <v>15165.85</v>
      </c>
    </row>
    <row r="5942" customFormat="false" ht="15" hidden="false" customHeight="false" outlineLevel="0" collapsed="false">
      <c r="A5942" s="0" t="n">
        <v>87</v>
      </c>
      <c r="B5942" s="0" t="s">
        <v>64</v>
      </c>
      <c r="C5942" s="0" t="n">
        <v>2012</v>
      </c>
      <c r="D5942" s="0" t="n">
        <v>6</v>
      </c>
      <c r="E5942" s="38" t="n">
        <v>16014.03</v>
      </c>
    </row>
    <row r="5943" customFormat="false" ht="15" hidden="false" customHeight="false" outlineLevel="0" collapsed="false">
      <c r="A5943" s="0" t="n">
        <v>87</v>
      </c>
      <c r="B5943" s="0" t="s">
        <v>64</v>
      </c>
      <c r="C5943" s="0" t="n">
        <v>2012</v>
      </c>
      <c r="D5943" s="0" t="n">
        <v>7</v>
      </c>
      <c r="E5943" s="38" t="n">
        <v>16371.34</v>
      </c>
    </row>
    <row r="5944" customFormat="false" ht="15" hidden="false" customHeight="false" outlineLevel="0" collapsed="false">
      <c r="A5944" s="0" t="n">
        <v>87</v>
      </c>
      <c r="B5944" s="0" t="s">
        <v>64</v>
      </c>
      <c r="C5944" s="0" t="n">
        <v>2012</v>
      </c>
      <c r="D5944" s="0" t="n">
        <v>8</v>
      </c>
      <c r="E5944" s="38" t="n">
        <v>15343.23</v>
      </c>
    </row>
    <row r="5945" customFormat="false" ht="15" hidden="false" customHeight="false" outlineLevel="0" collapsed="false">
      <c r="A5945" s="0" t="n">
        <v>87</v>
      </c>
      <c r="B5945" s="0" t="s">
        <v>64</v>
      </c>
      <c r="C5945" s="0" t="n">
        <v>2012</v>
      </c>
      <c r="D5945" s="0" t="n">
        <v>9</v>
      </c>
      <c r="E5945" s="38" t="n">
        <v>16924.7</v>
      </c>
    </row>
    <row r="5946" customFormat="false" ht="15" hidden="false" customHeight="false" outlineLevel="0" collapsed="false">
      <c r="A5946" s="0" t="n">
        <v>87</v>
      </c>
      <c r="B5946" s="0" t="s">
        <v>64</v>
      </c>
      <c r="C5946" s="0" t="n">
        <v>2012</v>
      </c>
      <c r="D5946" s="0" t="n">
        <v>10</v>
      </c>
      <c r="E5946" s="38" t="n">
        <v>14452.17</v>
      </c>
    </row>
    <row r="5947" customFormat="false" ht="15" hidden="false" customHeight="false" outlineLevel="0" collapsed="false">
      <c r="A5947" s="0" t="n">
        <v>87</v>
      </c>
      <c r="B5947" s="0" t="s">
        <v>64</v>
      </c>
      <c r="C5947" s="0" t="n">
        <v>2012</v>
      </c>
      <c r="D5947" s="0" t="n">
        <v>11</v>
      </c>
      <c r="E5947" s="38" t="n">
        <v>14123.65</v>
      </c>
    </row>
    <row r="5948" customFormat="false" ht="15" hidden="false" customHeight="false" outlineLevel="0" collapsed="false">
      <c r="A5948" s="0" t="n">
        <v>87</v>
      </c>
      <c r="B5948" s="0" t="s">
        <v>64</v>
      </c>
      <c r="C5948" s="0" t="n">
        <v>2012</v>
      </c>
      <c r="D5948" s="0" t="n">
        <v>12</v>
      </c>
      <c r="E5948" s="38" t="n">
        <v>16226.75</v>
      </c>
    </row>
    <row r="5949" customFormat="false" ht="15" hidden="false" customHeight="false" outlineLevel="0" collapsed="false">
      <c r="A5949" s="0" t="n">
        <v>87</v>
      </c>
      <c r="B5949" s="0" t="s">
        <v>64</v>
      </c>
      <c r="C5949" s="0" t="n">
        <v>2013</v>
      </c>
      <c r="D5949" s="0" t="n">
        <v>1</v>
      </c>
      <c r="E5949" s="38" t="n">
        <v>16263.74</v>
      </c>
    </row>
    <row r="5950" customFormat="false" ht="15" hidden="false" customHeight="false" outlineLevel="0" collapsed="false">
      <c r="A5950" s="0" t="n">
        <v>87</v>
      </c>
      <c r="B5950" s="0" t="s">
        <v>64</v>
      </c>
      <c r="C5950" s="0" t="n">
        <v>2013</v>
      </c>
      <c r="D5950" s="0" t="n">
        <v>2</v>
      </c>
      <c r="E5950" s="38" t="n">
        <v>15635.36</v>
      </c>
    </row>
    <row r="5951" customFormat="false" ht="15" hidden="false" customHeight="false" outlineLevel="0" collapsed="false">
      <c r="A5951" s="0" t="n">
        <v>87</v>
      </c>
      <c r="B5951" s="0" t="s">
        <v>64</v>
      </c>
      <c r="C5951" s="0" t="n">
        <v>2013</v>
      </c>
      <c r="D5951" s="0" t="n">
        <v>3</v>
      </c>
      <c r="E5951" s="38" t="n">
        <v>15659.07</v>
      </c>
    </row>
    <row r="5952" customFormat="false" ht="15" hidden="false" customHeight="false" outlineLevel="0" collapsed="false">
      <c r="A5952" s="0" t="n">
        <v>87</v>
      </c>
      <c r="B5952" s="0" t="s">
        <v>64</v>
      </c>
      <c r="C5952" s="0" t="n">
        <v>2013</v>
      </c>
      <c r="D5952" s="0" t="n">
        <v>4</v>
      </c>
      <c r="E5952" s="38" t="n">
        <v>17379.43</v>
      </c>
    </row>
    <row r="5953" customFormat="false" ht="15" hidden="false" customHeight="false" outlineLevel="0" collapsed="false">
      <c r="A5953" s="0" t="n">
        <v>87</v>
      </c>
      <c r="B5953" s="0" t="s">
        <v>64</v>
      </c>
      <c r="C5953" s="0" t="n">
        <v>2013</v>
      </c>
      <c r="D5953" s="0" t="n">
        <v>5</v>
      </c>
      <c r="E5953" s="38" t="n">
        <v>16951.67</v>
      </c>
    </row>
    <row r="5954" customFormat="false" ht="15" hidden="false" customHeight="false" outlineLevel="0" collapsed="false">
      <c r="A5954" s="0" t="n">
        <v>87</v>
      </c>
      <c r="B5954" s="0" t="s">
        <v>64</v>
      </c>
      <c r="C5954" s="0" t="n">
        <v>2013</v>
      </c>
      <c r="D5954" s="0" t="n">
        <v>6</v>
      </c>
      <c r="E5954" s="38" t="n">
        <v>17967.67</v>
      </c>
    </row>
    <row r="5955" customFormat="false" ht="15" hidden="false" customHeight="false" outlineLevel="0" collapsed="false">
      <c r="A5955" s="0" t="n">
        <v>87</v>
      </c>
      <c r="B5955" s="0" t="s">
        <v>64</v>
      </c>
      <c r="C5955" s="0" t="n">
        <v>2013</v>
      </c>
      <c r="D5955" s="0" t="n">
        <v>7</v>
      </c>
      <c r="E5955" s="38" t="n">
        <v>19278.22</v>
      </c>
    </row>
    <row r="5956" customFormat="false" ht="15" hidden="false" customHeight="false" outlineLevel="0" collapsed="false">
      <c r="A5956" s="0" t="n">
        <v>87</v>
      </c>
      <c r="B5956" s="0" t="s">
        <v>64</v>
      </c>
      <c r="C5956" s="0" t="n">
        <v>2013</v>
      </c>
      <c r="D5956" s="0" t="n">
        <v>8</v>
      </c>
      <c r="E5956" s="38" t="n">
        <v>18818.28</v>
      </c>
    </row>
    <row r="5957" customFormat="false" ht="15" hidden="false" customHeight="false" outlineLevel="0" collapsed="false">
      <c r="A5957" s="0" t="n">
        <v>90</v>
      </c>
      <c r="B5957" s="0" t="s">
        <v>60</v>
      </c>
      <c r="C5957" s="0" t="n">
        <v>2011</v>
      </c>
      <c r="D5957" s="0" t="n">
        <v>1</v>
      </c>
      <c r="E5957" s="38" t="n">
        <v>6212450.35</v>
      </c>
    </row>
    <row r="5958" customFormat="false" ht="15" hidden="false" customHeight="false" outlineLevel="0" collapsed="false">
      <c r="A5958" s="0" t="n">
        <v>90</v>
      </c>
      <c r="B5958" s="0" t="s">
        <v>60</v>
      </c>
      <c r="C5958" s="0" t="n">
        <v>2011</v>
      </c>
      <c r="D5958" s="0" t="n">
        <v>2</v>
      </c>
      <c r="E5958" s="38" t="n">
        <v>6604539.06</v>
      </c>
    </row>
    <row r="5959" customFormat="false" ht="15" hidden="false" customHeight="false" outlineLevel="0" collapsed="false">
      <c r="A5959" s="0" t="n">
        <v>90</v>
      </c>
      <c r="B5959" s="0" t="s">
        <v>60</v>
      </c>
      <c r="C5959" s="0" t="n">
        <v>2011</v>
      </c>
      <c r="D5959" s="0" t="n">
        <v>3</v>
      </c>
      <c r="E5959" s="38" t="n">
        <v>6115132.34</v>
      </c>
    </row>
    <row r="5960" customFormat="false" ht="15" hidden="false" customHeight="false" outlineLevel="0" collapsed="false">
      <c r="A5960" s="0" t="n">
        <v>90</v>
      </c>
      <c r="B5960" s="0" t="s">
        <v>60</v>
      </c>
      <c r="C5960" s="0" t="n">
        <v>2011</v>
      </c>
      <c r="D5960" s="0" t="n">
        <v>4</v>
      </c>
      <c r="E5960" s="38" t="n">
        <v>6389506.58</v>
      </c>
    </row>
    <row r="5961" customFormat="false" ht="15" hidden="false" customHeight="false" outlineLevel="0" collapsed="false">
      <c r="A5961" s="0" t="n">
        <v>90</v>
      </c>
      <c r="B5961" s="0" t="s">
        <v>60</v>
      </c>
      <c r="C5961" s="0" t="n">
        <v>2011</v>
      </c>
      <c r="D5961" s="0" t="n">
        <v>5</v>
      </c>
      <c r="E5961" s="38" t="n">
        <v>6258231.27</v>
      </c>
    </row>
    <row r="5962" customFormat="false" ht="15" hidden="false" customHeight="false" outlineLevel="0" collapsed="false">
      <c r="A5962" s="0" t="n">
        <v>90</v>
      </c>
      <c r="B5962" s="0" t="s">
        <v>60</v>
      </c>
      <c r="C5962" s="0" t="n">
        <v>2011</v>
      </c>
      <c r="D5962" s="0" t="n">
        <v>6</v>
      </c>
      <c r="E5962" s="38" t="n">
        <v>6386595.59</v>
      </c>
    </row>
    <row r="5963" customFormat="false" ht="15" hidden="false" customHeight="false" outlineLevel="0" collapsed="false">
      <c r="A5963" s="0" t="n">
        <v>90</v>
      </c>
      <c r="B5963" s="0" t="s">
        <v>60</v>
      </c>
      <c r="C5963" s="0" t="n">
        <v>2011</v>
      </c>
      <c r="D5963" s="0" t="n">
        <v>7</v>
      </c>
      <c r="E5963" s="38" t="n">
        <v>6543709.22</v>
      </c>
    </row>
    <row r="5964" customFormat="false" ht="15" hidden="false" customHeight="false" outlineLevel="0" collapsed="false">
      <c r="A5964" s="0" t="n">
        <v>90</v>
      </c>
      <c r="B5964" s="0" t="s">
        <v>60</v>
      </c>
      <c r="C5964" s="0" t="n">
        <v>2011</v>
      </c>
      <c r="D5964" s="0" t="n">
        <v>8</v>
      </c>
      <c r="E5964" s="38" t="n">
        <v>6286183.16</v>
      </c>
    </row>
    <row r="5965" customFormat="false" ht="15" hidden="false" customHeight="false" outlineLevel="0" collapsed="false">
      <c r="A5965" s="0" t="n">
        <v>90</v>
      </c>
      <c r="B5965" s="0" t="s">
        <v>60</v>
      </c>
      <c r="C5965" s="0" t="n">
        <v>2011</v>
      </c>
      <c r="D5965" s="0" t="n">
        <v>9</v>
      </c>
      <c r="E5965" s="38" t="n">
        <v>6501164.74</v>
      </c>
    </row>
    <row r="5966" customFormat="false" ht="15" hidden="false" customHeight="false" outlineLevel="0" collapsed="false">
      <c r="A5966" s="0" t="n">
        <v>90</v>
      </c>
      <c r="B5966" s="0" t="s">
        <v>60</v>
      </c>
      <c r="C5966" s="0" t="n">
        <v>2011</v>
      </c>
      <c r="D5966" s="0" t="n">
        <v>10</v>
      </c>
      <c r="E5966" s="38" t="n">
        <v>6740194.52</v>
      </c>
    </row>
    <row r="5967" customFormat="false" ht="15" hidden="false" customHeight="false" outlineLevel="0" collapsed="false">
      <c r="A5967" s="0" t="n">
        <v>90</v>
      </c>
      <c r="B5967" s="0" t="s">
        <v>60</v>
      </c>
      <c r="C5967" s="0" t="n">
        <v>2011</v>
      </c>
      <c r="D5967" s="0" t="n">
        <v>11</v>
      </c>
      <c r="E5967" s="38" t="n">
        <v>7225964.53</v>
      </c>
    </row>
    <row r="5968" customFormat="false" ht="15" hidden="false" customHeight="false" outlineLevel="0" collapsed="false">
      <c r="A5968" s="0" t="n">
        <v>90</v>
      </c>
      <c r="B5968" s="0" t="s">
        <v>60</v>
      </c>
      <c r="C5968" s="0" t="n">
        <v>2011</v>
      </c>
      <c r="D5968" s="0" t="n">
        <v>12</v>
      </c>
      <c r="E5968" s="38" t="n">
        <v>6785575.89</v>
      </c>
    </row>
    <row r="5969" customFormat="false" ht="15" hidden="false" customHeight="false" outlineLevel="0" collapsed="false">
      <c r="A5969" s="0" t="n">
        <v>90</v>
      </c>
      <c r="B5969" s="0" t="s">
        <v>60</v>
      </c>
      <c r="C5969" s="0" t="n">
        <v>2012</v>
      </c>
      <c r="D5969" s="0" t="n">
        <v>1</v>
      </c>
      <c r="E5969" s="38" t="n">
        <v>6248780.72</v>
      </c>
    </row>
    <row r="5970" customFormat="false" ht="15" hidden="false" customHeight="false" outlineLevel="0" collapsed="false">
      <c r="A5970" s="0" t="n">
        <v>90</v>
      </c>
      <c r="B5970" s="0" t="s">
        <v>60</v>
      </c>
      <c r="C5970" s="0" t="n">
        <v>2012</v>
      </c>
      <c r="D5970" s="0" t="n">
        <v>2</v>
      </c>
      <c r="E5970" s="38" t="n">
        <v>6697678.49</v>
      </c>
    </row>
    <row r="5971" customFormat="false" ht="15" hidden="false" customHeight="false" outlineLevel="0" collapsed="false">
      <c r="A5971" s="0" t="n">
        <v>90</v>
      </c>
      <c r="B5971" s="0" t="s">
        <v>60</v>
      </c>
      <c r="C5971" s="0" t="n">
        <v>2012</v>
      </c>
      <c r="D5971" s="0" t="n">
        <v>3</v>
      </c>
      <c r="E5971" s="38" t="n">
        <v>6621677.4</v>
      </c>
    </row>
    <row r="5972" customFormat="false" ht="15" hidden="false" customHeight="false" outlineLevel="0" collapsed="false">
      <c r="A5972" s="0" t="n">
        <v>90</v>
      </c>
      <c r="B5972" s="0" t="s">
        <v>60</v>
      </c>
      <c r="C5972" s="0" t="n">
        <v>2012</v>
      </c>
      <c r="D5972" s="0" t="n">
        <v>4</v>
      </c>
      <c r="E5972" s="38" t="n">
        <v>6659974.38</v>
      </c>
    </row>
    <row r="5973" customFormat="false" ht="15" hidden="false" customHeight="false" outlineLevel="0" collapsed="false">
      <c r="A5973" s="0" t="n">
        <v>90</v>
      </c>
      <c r="B5973" s="0" t="s">
        <v>60</v>
      </c>
      <c r="C5973" s="0" t="n">
        <v>2012</v>
      </c>
      <c r="D5973" s="0" t="n">
        <v>5</v>
      </c>
      <c r="E5973" s="38" t="n">
        <v>6530254.96</v>
      </c>
    </row>
    <row r="5974" customFormat="false" ht="15" hidden="false" customHeight="false" outlineLevel="0" collapsed="false">
      <c r="A5974" s="0" t="n">
        <v>90</v>
      </c>
      <c r="B5974" s="0" t="s">
        <v>60</v>
      </c>
      <c r="C5974" s="0" t="n">
        <v>2012</v>
      </c>
      <c r="D5974" s="0" t="n">
        <v>6</v>
      </c>
      <c r="E5974" s="38" t="n">
        <v>6806353.35</v>
      </c>
    </row>
    <row r="5975" customFormat="false" ht="15" hidden="false" customHeight="false" outlineLevel="0" collapsed="false">
      <c r="A5975" s="0" t="n">
        <v>90</v>
      </c>
      <c r="B5975" s="0" t="s">
        <v>60</v>
      </c>
      <c r="C5975" s="0" t="n">
        <v>2012</v>
      </c>
      <c r="D5975" s="0" t="n">
        <v>7</v>
      </c>
      <c r="E5975" s="38" t="n">
        <v>7197579.88</v>
      </c>
    </row>
    <row r="5976" customFormat="false" ht="15" hidden="false" customHeight="false" outlineLevel="0" collapsed="false">
      <c r="A5976" s="0" t="n">
        <v>90</v>
      </c>
      <c r="B5976" s="0" t="s">
        <v>60</v>
      </c>
      <c r="C5976" s="0" t="n">
        <v>2012</v>
      </c>
      <c r="D5976" s="0" t="n">
        <v>8</v>
      </c>
      <c r="E5976" s="38" t="n">
        <v>6911942.75</v>
      </c>
    </row>
    <row r="5977" customFormat="false" ht="15" hidden="false" customHeight="false" outlineLevel="0" collapsed="false">
      <c r="A5977" s="0" t="n">
        <v>90</v>
      </c>
      <c r="B5977" s="0" t="s">
        <v>60</v>
      </c>
      <c r="C5977" s="0" t="n">
        <v>2012</v>
      </c>
      <c r="D5977" s="0" t="n">
        <v>9</v>
      </c>
      <c r="E5977" s="38" t="n">
        <v>7290124.68</v>
      </c>
    </row>
    <row r="5978" customFormat="false" ht="15" hidden="false" customHeight="false" outlineLevel="0" collapsed="false">
      <c r="A5978" s="0" t="n">
        <v>90</v>
      </c>
      <c r="B5978" s="0" t="s">
        <v>60</v>
      </c>
      <c r="C5978" s="0" t="n">
        <v>2012</v>
      </c>
      <c r="D5978" s="0" t="n">
        <v>10</v>
      </c>
      <c r="E5978" s="38" t="n">
        <v>7342294.52</v>
      </c>
    </row>
    <row r="5979" customFormat="false" ht="15" hidden="false" customHeight="false" outlineLevel="0" collapsed="false">
      <c r="A5979" s="0" t="n">
        <v>90</v>
      </c>
      <c r="B5979" s="0" t="s">
        <v>60</v>
      </c>
      <c r="C5979" s="0" t="n">
        <v>2012</v>
      </c>
      <c r="D5979" s="0" t="n">
        <v>11</v>
      </c>
      <c r="E5979" s="38" t="n">
        <v>7751900.97</v>
      </c>
    </row>
    <row r="5980" customFormat="false" ht="15" hidden="false" customHeight="false" outlineLevel="0" collapsed="false">
      <c r="A5980" s="0" t="n">
        <v>90</v>
      </c>
      <c r="B5980" s="0" t="s">
        <v>60</v>
      </c>
      <c r="C5980" s="0" t="n">
        <v>2012</v>
      </c>
      <c r="D5980" s="0" t="n">
        <v>12</v>
      </c>
      <c r="E5980" s="38" t="n">
        <v>7192668.35</v>
      </c>
    </row>
    <row r="5981" customFormat="false" ht="15" hidden="false" customHeight="false" outlineLevel="0" collapsed="false">
      <c r="A5981" s="0" t="n">
        <v>90</v>
      </c>
      <c r="B5981" s="0" t="s">
        <v>60</v>
      </c>
      <c r="C5981" s="0" t="n">
        <v>2013</v>
      </c>
      <c r="D5981" s="0" t="n">
        <v>1</v>
      </c>
      <c r="E5981" s="38" t="n">
        <v>6758163.39</v>
      </c>
    </row>
    <row r="5982" customFormat="false" ht="15" hidden="false" customHeight="false" outlineLevel="0" collapsed="false">
      <c r="A5982" s="0" t="n">
        <v>90</v>
      </c>
      <c r="B5982" s="0" t="s">
        <v>60</v>
      </c>
      <c r="C5982" s="0" t="n">
        <v>2013</v>
      </c>
      <c r="D5982" s="0" t="n">
        <v>2</v>
      </c>
      <c r="E5982" s="38" t="n">
        <v>6941088.49</v>
      </c>
    </row>
    <row r="5983" customFormat="false" ht="15" hidden="false" customHeight="false" outlineLevel="0" collapsed="false">
      <c r="A5983" s="0" t="n">
        <v>90</v>
      </c>
      <c r="B5983" s="0" t="s">
        <v>60</v>
      </c>
      <c r="C5983" s="0" t="n">
        <v>2013</v>
      </c>
      <c r="D5983" s="0" t="n">
        <v>3</v>
      </c>
      <c r="E5983" s="38" t="n">
        <v>6729903.24</v>
      </c>
    </row>
    <row r="5984" customFormat="false" ht="15" hidden="false" customHeight="false" outlineLevel="0" collapsed="false">
      <c r="A5984" s="0" t="n">
        <v>90</v>
      </c>
      <c r="B5984" s="0" t="s">
        <v>60</v>
      </c>
      <c r="C5984" s="0" t="n">
        <v>2013</v>
      </c>
      <c r="D5984" s="0" t="n">
        <v>4</v>
      </c>
      <c r="E5984" s="38" t="n">
        <v>6753207.78</v>
      </c>
    </row>
    <row r="5985" customFormat="false" ht="15" hidden="false" customHeight="false" outlineLevel="0" collapsed="false">
      <c r="A5985" s="0" t="n">
        <v>90</v>
      </c>
      <c r="B5985" s="0" t="s">
        <v>60</v>
      </c>
      <c r="C5985" s="0" t="n">
        <v>2013</v>
      </c>
      <c r="D5985" s="0" t="n">
        <v>5</v>
      </c>
      <c r="E5985" s="38" t="n">
        <v>6559551.8</v>
      </c>
    </row>
    <row r="5986" customFormat="false" ht="15" hidden="false" customHeight="false" outlineLevel="0" collapsed="false">
      <c r="A5986" s="0" t="n">
        <v>90</v>
      </c>
      <c r="B5986" s="0" t="s">
        <v>60</v>
      </c>
      <c r="C5986" s="0" t="n">
        <v>2013</v>
      </c>
      <c r="D5986" s="0" t="n">
        <v>6</v>
      </c>
      <c r="E5986" s="38" t="n">
        <v>6779342.64</v>
      </c>
    </row>
    <row r="5987" customFormat="false" ht="15" hidden="false" customHeight="false" outlineLevel="0" collapsed="false">
      <c r="A5987" s="0" t="n">
        <v>90</v>
      </c>
      <c r="B5987" s="0" t="s">
        <v>60</v>
      </c>
      <c r="C5987" s="0" t="n">
        <v>2013</v>
      </c>
      <c r="D5987" s="0" t="n">
        <v>7</v>
      </c>
      <c r="E5987" s="38" t="n">
        <v>6879361.18</v>
      </c>
    </row>
    <row r="5988" customFormat="false" ht="15" hidden="false" customHeight="false" outlineLevel="0" collapsed="false">
      <c r="A5988" s="0" t="n">
        <v>90</v>
      </c>
      <c r="B5988" s="0" t="s">
        <v>60</v>
      </c>
      <c r="C5988" s="0" t="n">
        <v>2013</v>
      </c>
      <c r="D5988" s="0" t="n">
        <v>8</v>
      </c>
      <c r="E5988" s="38" t="n">
        <v>6769343.29</v>
      </c>
    </row>
    <row r="5989" customFormat="false" ht="15" hidden="false" customHeight="false" outlineLevel="0" collapsed="false">
      <c r="A5989" s="0" t="n">
        <v>90</v>
      </c>
      <c r="B5989" s="0" t="s">
        <v>62</v>
      </c>
      <c r="C5989" s="0" t="n">
        <v>2011</v>
      </c>
      <c r="D5989" s="0" t="n">
        <v>1</v>
      </c>
      <c r="E5989" s="38" t="n">
        <v>863293.47</v>
      </c>
    </row>
    <row r="5990" customFormat="false" ht="15" hidden="false" customHeight="false" outlineLevel="0" collapsed="false">
      <c r="A5990" s="0" t="n">
        <v>90</v>
      </c>
      <c r="B5990" s="0" t="s">
        <v>62</v>
      </c>
      <c r="C5990" s="0" t="n">
        <v>2011</v>
      </c>
      <c r="D5990" s="0" t="n">
        <v>2</v>
      </c>
      <c r="E5990" s="38" t="n">
        <v>926652.8</v>
      </c>
    </row>
    <row r="5991" customFormat="false" ht="15" hidden="false" customHeight="false" outlineLevel="0" collapsed="false">
      <c r="A5991" s="0" t="n">
        <v>90</v>
      </c>
      <c r="B5991" s="0" t="s">
        <v>62</v>
      </c>
      <c r="C5991" s="0" t="n">
        <v>2011</v>
      </c>
      <c r="D5991" s="0" t="n">
        <v>3</v>
      </c>
      <c r="E5991" s="38" t="n">
        <v>830941.45</v>
      </c>
    </row>
    <row r="5992" customFormat="false" ht="15" hidden="false" customHeight="false" outlineLevel="0" collapsed="false">
      <c r="A5992" s="0" t="n">
        <v>90</v>
      </c>
      <c r="B5992" s="0" t="s">
        <v>62</v>
      </c>
      <c r="C5992" s="0" t="n">
        <v>2011</v>
      </c>
      <c r="D5992" s="0" t="n">
        <v>4</v>
      </c>
      <c r="E5992" s="38" t="n">
        <v>834575.05</v>
      </c>
    </row>
    <row r="5993" customFormat="false" ht="15" hidden="false" customHeight="false" outlineLevel="0" collapsed="false">
      <c r="A5993" s="0" t="n">
        <v>90</v>
      </c>
      <c r="B5993" s="0" t="s">
        <v>62</v>
      </c>
      <c r="C5993" s="0" t="n">
        <v>2011</v>
      </c>
      <c r="D5993" s="0" t="n">
        <v>5</v>
      </c>
      <c r="E5993" s="38" t="n">
        <v>833130.46</v>
      </c>
    </row>
    <row r="5994" customFormat="false" ht="15" hidden="false" customHeight="false" outlineLevel="0" collapsed="false">
      <c r="A5994" s="0" t="n">
        <v>90</v>
      </c>
      <c r="B5994" s="0" t="s">
        <v>62</v>
      </c>
      <c r="C5994" s="0" t="n">
        <v>2011</v>
      </c>
      <c r="D5994" s="0" t="n">
        <v>6</v>
      </c>
      <c r="E5994" s="38" t="n">
        <v>845122.47</v>
      </c>
    </row>
    <row r="5995" customFormat="false" ht="15" hidden="false" customHeight="false" outlineLevel="0" collapsed="false">
      <c r="A5995" s="0" t="n">
        <v>90</v>
      </c>
      <c r="B5995" s="0" t="s">
        <v>62</v>
      </c>
      <c r="C5995" s="0" t="n">
        <v>2011</v>
      </c>
      <c r="D5995" s="0" t="n">
        <v>7</v>
      </c>
      <c r="E5995" s="38" t="n">
        <v>865651.06</v>
      </c>
    </row>
    <row r="5996" customFormat="false" ht="15" hidden="false" customHeight="false" outlineLevel="0" collapsed="false">
      <c r="A5996" s="0" t="n">
        <v>90</v>
      </c>
      <c r="B5996" s="0" t="s">
        <v>62</v>
      </c>
      <c r="C5996" s="0" t="n">
        <v>2011</v>
      </c>
      <c r="D5996" s="0" t="n">
        <v>8</v>
      </c>
      <c r="E5996" s="38" t="n">
        <v>835229.47</v>
      </c>
    </row>
    <row r="5997" customFormat="false" ht="15" hidden="false" customHeight="false" outlineLevel="0" collapsed="false">
      <c r="A5997" s="0" t="n">
        <v>90</v>
      </c>
      <c r="B5997" s="0" t="s">
        <v>62</v>
      </c>
      <c r="C5997" s="0" t="n">
        <v>2011</v>
      </c>
      <c r="D5997" s="0" t="n">
        <v>9</v>
      </c>
      <c r="E5997" s="38" t="n">
        <v>825979.96</v>
      </c>
    </row>
    <row r="5998" customFormat="false" ht="15" hidden="false" customHeight="false" outlineLevel="0" collapsed="false">
      <c r="A5998" s="0" t="n">
        <v>90</v>
      </c>
      <c r="B5998" s="0" t="s">
        <v>62</v>
      </c>
      <c r="C5998" s="0" t="n">
        <v>2011</v>
      </c>
      <c r="D5998" s="0" t="n">
        <v>10</v>
      </c>
      <c r="E5998" s="38" t="n">
        <v>913615.21</v>
      </c>
    </row>
    <row r="5999" customFormat="false" ht="15" hidden="false" customHeight="false" outlineLevel="0" collapsed="false">
      <c r="A5999" s="0" t="n">
        <v>90</v>
      </c>
      <c r="B5999" s="0" t="s">
        <v>62</v>
      </c>
      <c r="C5999" s="0" t="n">
        <v>2011</v>
      </c>
      <c r="D5999" s="0" t="n">
        <v>11</v>
      </c>
      <c r="E5999" s="38" t="n">
        <v>1019509.97</v>
      </c>
    </row>
    <row r="6000" customFormat="false" ht="15" hidden="false" customHeight="false" outlineLevel="0" collapsed="false">
      <c r="A6000" s="0" t="n">
        <v>90</v>
      </c>
      <c r="B6000" s="0" t="s">
        <v>62</v>
      </c>
      <c r="C6000" s="0" t="n">
        <v>2011</v>
      </c>
      <c r="D6000" s="0" t="n">
        <v>12</v>
      </c>
      <c r="E6000" s="38" t="n">
        <v>1012993.81</v>
      </c>
    </row>
    <row r="6001" customFormat="false" ht="15" hidden="false" customHeight="false" outlineLevel="0" collapsed="false">
      <c r="A6001" s="0" t="n">
        <v>90</v>
      </c>
      <c r="B6001" s="0" t="s">
        <v>62</v>
      </c>
      <c r="C6001" s="0" t="n">
        <v>2012</v>
      </c>
      <c r="D6001" s="0" t="n">
        <v>1</v>
      </c>
      <c r="E6001" s="38" t="n">
        <v>894875.59</v>
      </c>
    </row>
    <row r="6002" customFormat="false" ht="15" hidden="false" customHeight="false" outlineLevel="0" collapsed="false">
      <c r="A6002" s="0" t="n">
        <v>90</v>
      </c>
      <c r="B6002" s="0" t="s">
        <v>62</v>
      </c>
      <c r="C6002" s="0" t="n">
        <v>2012</v>
      </c>
      <c r="D6002" s="0" t="n">
        <v>2</v>
      </c>
      <c r="E6002" s="38" t="n">
        <v>965069.34</v>
      </c>
    </row>
    <row r="6003" customFormat="false" ht="15" hidden="false" customHeight="false" outlineLevel="0" collapsed="false">
      <c r="A6003" s="0" t="n">
        <v>90</v>
      </c>
      <c r="B6003" s="0" t="s">
        <v>62</v>
      </c>
      <c r="C6003" s="0" t="n">
        <v>2012</v>
      </c>
      <c r="D6003" s="0" t="n">
        <v>3</v>
      </c>
      <c r="E6003" s="38" t="n">
        <v>899770.84</v>
      </c>
    </row>
    <row r="6004" customFormat="false" ht="15" hidden="false" customHeight="false" outlineLevel="0" collapsed="false">
      <c r="A6004" s="0" t="n">
        <v>90</v>
      </c>
      <c r="B6004" s="0" t="s">
        <v>62</v>
      </c>
      <c r="C6004" s="0" t="n">
        <v>2012</v>
      </c>
      <c r="D6004" s="0" t="n">
        <v>4</v>
      </c>
      <c r="E6004" s="38" t="n">
        <v>898939.03</v>
      </c>
    </row>
    <row r="6005" customFormat="false" ht="15" hidden="false" customHeight="false" outlineLevel="0" collapsed="false">
      <c r="A6005" s="0" t="n">
        <v>90</v>
      </c>
      <c r="B6005" s="0" t="s">
        <v>62</v>
      </c>
      <c r="C6005" s="0" t="n">
        <v>2012</v>
      </c>
      <c r="D6005" s="0" t="n">
        <v>5</v>
      </c>
      <c r="E6005" s="38" t="n">
        <v>872345.7</v>
      </c>
    </row>
    <row r="6006" customFormat="false" ht="15" hidden="false" customHeight="false" outlineLevel="0" collapsed="false">
      <c r="A6006" s="0" t="n">
        <v>90</v>
      </c>
      <c r="B6006" s="0" t="s">
        <v>62</v>
      </c>
      <c r="C6006" s="0" t="n">
        <v>2012</v>
      </c>
      <c r="D6006" s="0" t="n">
        <v>6</v>
      </c>
      <c r="E6006" s="38" t="n">
        <v>896761.18</v>
      </c>
    </row>
    <row r="6007" customFormat="false" ht="15" hidden="false" customHeight="false" outlineLevel="0" collapsed="false">
      <c r="A6007" s="0" t="n">
        <v>90</v>
      </c>
      <c r="B6007" s="0" t="s">
        <v>62</v>
      </c>
      <c r="C6007" s="0" t="n">
        <v>2012</v>
      </c>
      <c r="D6007" s="0" t="n">
        <v>7</v>
      </c>
      <c r="E6007" s="38" t="n">
        <v>915788.91</v>
      </c>
    </row>
    <row r="6008" customFormat="false" ht="15" hidden="false" customHeight="false" outlineLevel="0" collapsed="false">
      <c r="A6008" s="0" t="n">
        <v>90</v>
      </c>
      <c r="B6008" s="0" t="s">
        <v>62</v>
      </c>
      <c r="C6008" s="0" t="n">
        <v>2012</v>
      </c>
      <c r="D6008" s="0" t="n">
        <v>8</v>
      </c>
      <c r="E6008" s="38" t="n">
        <v>904511.17</v>
      </c>
    </row>
    <row r="6009" customFormat="false" ht="15" hidden="false" customHeight="false" outlineLevel="0" collapsed="false">
      <c r="A6009" s="0" t="n">
        <v>90</v>
      </c>
      <c r="B6009" s="0" t="s">
        <v>62</v>
      </c>
      <c r="C6009" s="0" t="n">
        <v>2012</v>
      </c>
      <c r="D6009" s="0" t="n">
        <v>9</v>
      </c>
      <c r="E6009" s="38" t="n">
        <v>1039293.06</v>
      </c>
    </row>
    <row r="6010" customFormat="false" ht="15" hidden="false" customHeight="false" outlineLevel="0" collapsed="false">
      <c r="A6010" s="0" t="n">
        <v>90</v>
      </c>
      <c r="B6010" s="0" t="s">
        <v>62</v>
      </c>
      <c r="C6010" s="0" t="n">
        <v>2012</v>
      </c>
      <c r="D6010" s="0" t="n">
        <v>10</v>
      </c>
      <c r="E6010" s="38" t="n">
        <v>1068359.3</v>
      </c>
    </row>
    <row r="6011" customFormat="false" ht="15" hidden="false" customHeight="false" outlineLevel="0" collapsed="false">
      <c r="A6011" s="0" t="n">
        <v>90</v>
      </c>
      <c r="B6011" s="0" t="s">
        <v>62</v>
      </c>
      <c r="C6011" s="0" t="n">
        <v>2012</v>
      </c>
      <c r="D6011" s="0" t="n">
        <v>11</v>
      </c>
      <c r="E6011" s="38" t="n">
        <v>1186094.05</v>
      </c>
    </row>
    <row r="6012" customFormat="false" ht="15" hidden="false" customHeight="false" outlineLevel="0" collapsed="false">
      <c r="A6012" s="0" t="n">
        <v>90</v>
      </c>
      <c r="B6012" s="0" t="s">
        <v>62</v>
      </c>
      <c r="C6012" s="0" t="n">
        <v>2012</v>
      </c>
      <c r="D6012" s="0" t="n">
        <v>12</v>
      </c>
      <c r="E6012" s="38" t="n">
        <v>1167609.03</v>
      </c>
    </row>
    <row r="6013" customFormat="false" ht="15" hidden="false" customHeight="false" outlineLevel="0" collapsed="false">
      <c r="A6013" s="0" t="n">
        <v>90</v>
      </c>
      <c r="B6013" s="0" t="s">
        <v>62</v>
      </c>
      <c r="C6013" s="0" t="n">
        <v>2013</v>
      </c>
      <c r="D6013" s="0" t="n">
        <v>1</v>
      </c>
      <c r="E6013" s="38" t="n">
        <v>1086250.52</v>
      </c>
    </row>
    <row r="6014" customFormat="false" ht="15" hidden="false" customHeight="false" outlineLevel="0" collapsed="false">
      <c r="A6014" s="0" t="n">
        <v>90</v>
      </c>
      <c r="B6014" s="0" t="s">
        <v>62</v>
      </c>
      <c r="C6014" s="0" t="n">
        <v>2013</v>
      </c>
      <c r="D6014" s="0" t="n">
        <v>2</v>
      </c>
      <c r="E6014" s="38" t="n">
        <v>1115456.6</v>
      </c>
    </row>
    <row r="6015" customFormat="false" ht="15" hidden="false" customHeight="false" outlineLevel="0" collapsed="false">
      <c r="A6015" s="0" t="n">
        <v>90</v>
      </c>
      <c r="B6015" s="0" t="s">
        <v>62</v>
      </c>
      <c r="C6015" s="0" t="n">
        <v>2013</v>
      </c>
      <c r="D6015" s="0" t="n">
        <v>3</v>
      </c>
      <c r="E6015" s="38" t="n">
        <v>1033727.16</v>
      </c>
    </row>
    <row r="6016" customFormat="false" ht="15" hidden="false" customHeight="false" outlineLevel="0" collapsed="false">
      <c r="A6016" s="0" t="n">
        <v>90</v>
      </c>
      <c r="B6016" s="0" t="s">
        <v>62</v>
      </c>
      <c r="C6016" s="0" t="n">
        <v>2013</v>
      </c>
      <c r="D6016" s="0" t="n">
        <v>4</v>
      </c>
      <c r="E6016" s="38" t="n">
        <v>1011042.95</v>
      </c>
    </row>
    <row r="6017" customFormat="false" ht="15" hidden="false" customHeight="false" outlineLevel="0" collapsed="false">
      <c r="A6017" s="0" t="n">
        <v>90</v>
      </c>
      <c r="B6017" s="0" t="s">
        <v>62</v>
      </c>
      <c r="C6017" s="0" t="n">
        <v>2013</v>
      </c>
      <c r="D6017" s="0" t="n">
        <v>5</v>
      </c>
      <c r="E6017" s="38" t="n">
        <v>990639.36</v>
      </c>
    </row>
    <row r="6018" customFormat="false" ht="15" hidden="false" customHeight="false" outlineLevel="0" collapsed="false">
      <c r="A6018" s="0" t="n">
        <v>90</v>
      </c>
      <c r="B6018" s="0" t="s">
        <v>62</v>
      </c>
      <c r="C6018" s="0" t="n">
        <v>2013</v>
      </c>
      <c r="D6018" s="0" t="n">
        <v>6</v>
      </c>
      <c r="E6018" s="38" t="n">
        <v>1028194.88</v>
      </c>
    </row>
    <row r="6019" customFormat="false" ht="15" hidden="false" customHeight="false" outlineLevel="0" collapsed="false">
      <c r="A6019" s="0" t="n">
        <v>90</v>
      </c>
      <c r="B6019" s="0" t="s">
        <v>62</v>
      </c>
      <c r="C6019" s="0" t="n">
        <v>2013</v>
      </c>
      <c r="D6019" s="0" t="n">
        <v>7</v>
      </c>
      <c r="E6019" s="38" t="n">
        <v>1026807.39</v>
      </c>
    </row>
    <row r="6020" customFormat="false" ht="15" hidden="false" customHeight="false" outlineLevel="0" collapsed="false">
      <c r="A6020" s="0" t="n">
        <v>90</v>
      </c>
      <c r="B6020" s="0" t="s">
        <v>62</v>
      </c>
      <c r="C6020" s="0" t="n">
        <v>2013</v>
      </c>
      <c r="D6020" s="0" t="n">
        <v>8</v>
      </c>
      <c r="E6020" s="38" t="n">
        <v>1061675.23</v>
      </c>
    </row>
    <row r="6021" customFormat="false" ht="15" hidden="false" customHeight="false" outlineLevel="0" collapsed="false">
      <c r="A6021" s="0" t="n">
        <v>90</v>
      </c>
      <c r="B6021" s="0" t="s">
        <v>64</v>
      </c>
      <c r="C6021" s="0" t="n">
        <v>2011</v>
      </c>
      <c r="D6021" s="0" t="n">
        <v>1</v>
      </c>
      <c r="E6021" s="38" t="n">
        <v>1010583.58</v>
      </c>
    </row>
    <row r="6022" customFormat="false" ht="15" hidden="false" customHeight="false" outlineLevel="0" collapsed="false">
      <c r="A6022" s="0" t="n">
        <v>90</v>
      </c>
      <c r="B6022" s="0" t="s">
        <v>64</v>
      </c>
      <c r="C6022" s="0" t="n">
        <v>2011</v>
      </c>
      <c r="D6022" s="0" t="n">
        <v>2</v>
      </c>
      <c r="E6022" s="38" t="n">
        <v>1090482.29</v>
      </c>
    </row>
    <row r="6023" customFormat="false" ht="15" hidden="false" customHeight="false" outlineLevel="0" collapsed="false">
      <c r="A6023" s="0" t="n">
        <v>90</v>
      </c>
      <c r="B6023" s="0" t="s">
        <v>64</v>
      </c>
      <c r="C6023" s="0" t="n">
        <v>2011</v>
      </c>
      <c r="D6023" s="0" t="n">
        <v>3</v>
      </c>
      <c r="E6023" s="38" t="n">
        <v>1032305.15</v>
      </c>
    </row>
    <row r="6024" customFormat="false" ht="15" hidden="false" customHeight="false" outlineLevel="0" collapsed="false">
      <c r="A6024" s="0" t="n">
        <v>90</v>
      </c>
      <c r="B6024" s="0" t="s">
        <v>64</v>
      </c>
      <c r="C6024" s="0" t="n">
        <v>2011</v>
      </c>
      <c r="D6024" s="0" t="n">
        <v>4</v>
      </c>
      <c r="E6024" s="38" t="n">
        <v>1073662.37</v>
      </c>
    </row>
    <row r="6025" customFormat="false" ht="15" hidden="false" customHeight="false" outlineLevel="0" collapsed="false">
      <c r="A6025" s="0" t="n">
        <v>90</v>
      </c>
      <c r="B6025" s="0" t="s">
        <v>64</v>
      </c>
      <c r="C6025" s="0" t="n">
        <v>2011</v>
      </c>
      <c r="D6025" s="0" t="n">
        <v>5</v>
      </c>
      <c r="E6025" s="38" t="n">
        <v>1046680.19</v>
      </c>
    </row>
    <row r="6026" customFormat="false" ht="15" hidden="false" customHeight="false" outlineLevel="0" collapsed="false">
      <c r="A6026" s="0" t="n">
        <v>90</v>
      </c>
      <c r="B6026" s="0" t="s">
        <v>64</v>
      </c>
      <c r="C6026" s="0" t="n">
        <v>2011</v>
      </c>
      <c r="D6026" s="0" t="n">
        <v>6</v>
      </c>
      <c r="E6026" s="38" t="n">
        <v>1086370.69</v>
      </c>
    </row>
    <row r="6027" customFormat="false" ht="15" hidden="false" customHeight="false" outlineLevel="0" collapsed="false">
      <c r="A6027" s="0" t="n">
        <v>90</v>
      </c>
      <c r="B6027" s="0" t="s">
        <v>64</v>
      </c>
      <c r="C6027" s="0" t="n">
        <v>2011</v>
      </c>
      <c r="D6027" s="0" t="n">
        <v>7</v>
      </c>
      <c r="E6027" s="38" t="n">
        <v>1117936.74</v>
      </c>
    </row>
    <row r="6028" customFormat="false" ht="15" hidden="false" customHeight="false" outlineLevel="0" collapsed="false">
      <c r="A6028" s="0" t="n">
        <v>90</v>
      </c>
      <c r="B6028" s="0" t="s">
        <v>64</v>
      </c>
      <c r="C6028" s="0" t="n">
        <v>2011</v>
      </c>
      <c r="D6028" s="0" t="n">
        <v>8</v>
      </c>
      <c r="E6028" s="38" t="n">
        <v>1100843.87</v>
      </c>
    </row>
    <row r="6029" customFormat="false" ht="15" hidden="false" customHeight="false" outlineLevel="0" collapsed="false">
      <c r="A6029" s="0" t="n">
        <v>90</v>
      </c>
      <c r="B6029" s="0" t="s">
        <v>64</v>
      </c>
      <c r="C6029" s="0" t="n">
        <v>2011</v>
      </c>
      <c r="D6029" s="0" t="n">
        <v>9</v>
      </c>
      <c r="E6029" s="38" t="n">
        <v>1130305.08</v>
      </c>
    </row>
    <row r="6030" customFormat="false" ht="15" hidden="false" customHeight="false" outlineLevel="0" collapsed="false">
      <c r="A6030" s="0" t="n">
        <v>90</v>
      </c>
      <c r="B6030" s="0" t="s">
        <v>64</v>
      </c>
      <c r="C6030" s="0" t="n">
        <v>2011</v>
      </c>
      <c r="D6030" s="0" t="n">
        <v>10</v>
      </c>
      <c r="E6030" s="38" t="n">
        <v>1096631.2</v>
      </c>
    </row>
    <row r="6031" customFormat="false" ht="15" hidden="false" customHeight="false" outlineLevel="0" collapsed="false">
      <c r="A6031" s="0" t="n">
        <v>90</v>
      </c>
      <c r="B6031" s="0" t="s">
        <v>64</v>
      </c>
      <c r="C6031" s="0" t="n">
        <v>2011</v>
      </c>
      <c r="D6031" s="0" t="n">
        <v>11</v>
      </c>
      <c r="E6031" s="38" t="n">
        <v>1133384.73</v>
      </c>
    </row>
    <row r="6032" customFormat="false" ht="15" hidden="false" customHeight="false" outlineLevel="0" collapsed="false">
      <c r="A6032" s="0" t="n">
        <v>90</v>
      </c>
      <c r="B6032" s="0" t="s">
        <v>64</v>
      </c>
      <c r="C6032" s="0" t="n">
        <v>2011</v>
      </c>
      <c r="D6032" s="0" t="n">
        <v>12</v>
      </c>
      <c r="E6032" s="38" t="n">
        <v>1157964.4</v>
      </c>
    </row>
    <row r="6033" customFormat="false" ht="15" hidden="false" customHeight="false" outlineLevel="0" collapsed="false">
      <c r="A6033" s="0" t="n">
        <v>90</v>
      </c>
      <c r="B6033" s="0" t="s">
        <v>64</v>
      </c>
      <c r="C6033" s="0" t="n">
        <v>2012</v>
      </c>
      <c r="D6033" s="0" t="n">
        <v>1</v>
      </c>
      <c r="E6033" s="38" t="n">
        <v>1027904.15</v>
      </c>
    </row>
    <row r="6034" customFormat="false" ht="15" hidden="false" customHeight="false" outlineLevel="0" collapsed="false">
      <c r="A6034" s="0" t="n">
        <v>90</v>
      </c>
      <c r="B6034" s="0" t="s">
        <v>64</v>
      </c>
      <c r="C6034" s="0" t="n">
        <v>2012</v>
      </c>
      <c r="D6034" s="0" t="n">
        <v>2</v>
      </c>
      <c r="E6034" s="38" t="n">
        <v>1121669.96</v>
      </c>
    </row>
    <row r="6035" customFormat="false" ht="15" hidden="false" customHeight="false" outlineLevel="0" collapsed="false">
      <c r="A6035" s="0" t="n">
        <v>90</v>
      </c>
      <c r="B6035" s="0" t="s">
        <v>64</v>
      </c>
      <c r="C6035" s="0" t="n">
        <v>2012</v>
      </c>
      <c r="D6035" s="0" t="n">
        <v>3</v>
      </c>
      <c r="E6035" s="38" t="n">
        <v>1111226.65</v>
      </c>
    </row>
    <row r="6036" customFormat="false" ht="15" hidden="false" customHeight="false" outlineLevel="0" collapsed="false">
      <c r="A6036" s="0" t="n">
        <v>90</v>
      </c>
      <c r="B6036" s="0" t="s">
        <v>64</v>
      </c>
      <c r="C6036" s="0" t="n">
        <v>2012</v>
      </c>
      <c r="D6036" s="0" t="n">
        <v>4</v>
      </c>
      <c r="E6036" s="38" t="n">
        <v>1149516.77</v>
      </c>
    </row>
    <row r="6037" customFormat="false" ht="15" hidden="false" customHeight="false" outlineLevel="0" collapsed="false">
      <c r="A6037" s="0" t="n">
        <v>90</v>
      </c>
      <c r="B6037" s="0" t="s">
        <v>64</v>
      </c>
      <c r="C6037" s="0" t="n">
        <v>2012</v>
      </c>
      <c r="D6037" s="0" t="n">
        <v>5</v>
      </c>
      <c r="E6037" s="38" t="n">
        <v>1110770.95</v>
      </c>
    </row>
    <row r="6038" customFormat="false" ht="15" hidden="false" customHeight="false" outlineLevel="0" collapsed="false">
      <c r="A6038" s="0" t="n">
        <v>90</v>
      </c>
      <c r="B6038" s="0" t="s">
        <v>64</v>
      </c>
      <c r="C6038" s="0" t="n">
        <v>2012</v>
      </c>
      <c r="D6038" s="0" t="n">
        <v>6</v>
      </c>
      <c r="E6038" s="38" t="n">
        <v>1147254.28</v>
      </c>
    </row>
    <row r="6039" customFormat="false" ht="15" hidden="false" customHeight="false" outlineLevel="0" collapsed="false">
      <c r="A6039" s="0" t="n">
        <v>90</v>
      </c>
      <c r="B6039" s="0" t="s">
        <v>64</v>
      </c>
      <c r="C6039" s="0" t="n">
        <v>2012</v>
      </c>
      <c r="D6039" s="0" t="n">
        <v>7</v>
      </c>
      <c r="E6039" s="38" t="n">
        <v>1170022.64</v>
      </c>
    </row>
    <row r="6040" customFormat="false" ht="15" hidden="false" customHeight="false" outlineLevel="0" collapsed="false">
      <c r="A6040" s="0" t="n">
        <v>90</v>
      </c>
      <c r="B6040" s="0" t="s">
        <v>64</v>
      </c>
      <c r="C6040" s="0" t="n">
        <v>2012</v>
      </c>
      <c r="D6040" s="0" t="n">
        <v>8</v>
      </c>
      <c r="E6040" s="38" t="n">
        <v>1161815.01</v>
      </c>
    </row>
    <row r="6041" customFormat="false" ht="15" hidden="false" customHeight="false" outlineLevel="0" collapsed="false">
      <c r="A6041" s="0" t="n">
        <v>90</v>
      </c>
      <c r="B6041" s="0" t="s">
        <v>64</v>
      </c>
      <c r="C6041" s="0" t="n">
        <v>2012</v>
      </c>
      <c r="D6041" s="0" t="n">
        <v>9</v>
      </c>
      <c r="E6041" s="38" t="n">
        <v>1235595.26</v>
      </c>
    </row>
    <row r="6042" customFormat="false" ht="15" hidden="false" customHeight="false" outlineLevel="0" collapsed="false">
      <c r="A6042" s="0" t="n">
        <v>90</v>
      </c>
      <c r="B6042" s="0" t="s">
        <v>64</v>
      </c>
      <c r="C6042" s="0" t="n">
        <v>2012</v>
      </c>
      <c r="D6042" s="0" t="n">
        <v>10</v>
      </c>
      <c r="E6042" s="38" t="n">
        <v>1226260.74</v>
      </c>
    </row>
    <row r="6043" customFormat="false" ht="15" hidden="false" customHeight="false" outlineLevel="0" collapsed="false">
      <c r="A6043" s="0" t="n">
        <v>90</v>
      </c>
      <c r="B6043" s="0" t="s">
        <v>64</v>
      </c>
      <c r="C6043" s="0" t="n">
        <v>2012</v>
      </c>
      <c r="D6043" s="0" t="n">
        <v>11</v>
      </c>
      <c r="E6043" s="38" t="n">
        <v>1254186.57</v>
      </c>
    </row>
    <row r="6044" customFormat="false" ht="15" hidden="false" customHeight="false" outlineLevel="0" collapsed="false">
      <c r="A6044" s="0" t="n">
        <v>90</v>
      </c>
      <c r="B6044" s="0" t="s">
        <v>64</v>
      </c>
      <c r="C6044" s="0" t="n">
        <v>2012</v>
      </c>
      <c r="D6044" s="0" t="n">
        <v>12</v>
      </c>
      <c r="E6044" s="38" t="n">
        <v>1272359.58</v>
      </c>
    </row>
    <row r="6045" customFormat="false" ht="15" hidden="false" customHeight="false" outlineLevel="0" collapsed="false">
      <c r="A6045" s="0" t="n">
        <v>90</v>
      </c>
      <c r="B6045" s="0" t="s">
        <v>64</v>
      </c>
      <c r="C6045" s="0" t="n">
        <v>2013</v>
      </c>
      <c r="D6045" s="0" t="n">
        <v>1</v>
      </c>
      <c r="E6045" s="38" t="n">
        <v>1143639.32</v>
      </c>
    </row>
    <row r="6046" customFormat="false" ht="15" hidden="false" customHeight="false" outlineLevel="0" collapsed="false">
      <c r="A6046" s="0" t="n">
        <v>90</v>
      </c>
      <c r="B6046" s="0" t="s">
        <v>64</v>
      </c>
      <c r="C6046" s="0" t="n">
        <v>2013</v>
      </c>
      <c r="D6046" s="0" t="n">
        <v>2</v>
      </c>
      <c r="E6046" s="38" t="n">
        <v>1196034.84</v>
      </c>
    </row>
    <row r="6047" customFormat="false" ht="15" hidden="false" customHeight="false" outlineLevel="0" collapsed="false">
      <c r="A6047" s="0" t="n">
        <v>90</v>
      </c>
      <c r="B6047" s="0" t="s">
        <v>64</v>
      </c>
      <c r="C6047" s="0" t="n">
        <v>2013</v>
      </c>
      <c r="D6047" s="0" t="n">
        <v>3</v>
      </c>
      <c r="E6047" s="38" t="n">
        <v>1159835.94</v>
      </c>
    </row>
    <row r="6048" customFormat="false" ht="15" hidden="false" customHeight="false" outlineLevel="0" collapsed="false">
      <c r="A6048" s="0" t="n">
        <v>90</v>
      </c>
      <c r="B6048" s="0" t="s">
        <v>64</v>
      </c>
      <c r="C6048" s="0" t="n">
        <v>2013</v>
      </c>
      <c r="D6048" s="0" t="n">
        <v>4</v>
      </c>
      <c r="E6048" s="38" t="n">
        <v>1157190.4</v>
      </c>
    </row>
    <row r="6049" customFormat="false" ht="15" hidden="false" customHeight="false" outlineLevel="0" collapsed="false">
      <c r="A6049" s="0" t="n">
        <v>90</v>
      </c>
      <c r="B6049" s="0" t="s">
        <v>64</v>
      </c>
      <c r="C6049" s="0" t="n">
        <v>2013</v>
      </c>
      <c r="D6049" s="0" t="n">
        <v>5</v>
      </c>
      <c r="E6049" s="38" t="n">
        <v>1108503.16</v>
      </c>
    </row>
    <row r="6050" customFormat="false" ht="15" hidden="false" customHeight="false" outlineLevel="0" collapsed="false">
      <c r="A6050" s="0" t="n">
        <v>90</v>
      </c>
      <c r="B6050" s="0" t="s">
        <v>64</v>
      </c>
      <c r="C6050" s="0" t="n">
        <v>2013</v>
      </c>
      <c r="D6050" s="0" t="n">
        <v>6</v>
      </c>
      <c r="E6050" s="38" t="n">
        <v>1153914.75</v>
      </c>
    </row>
    <row r="6051" customFormat="false" ht="15" hidden="false" customHeight="false" outlineLevel="0" collapsed="false">
      <c r="A6051" s="0" t="n">
        <v>90</v>
      </c>
      <c r="B6051" s="0" t="s">
        <v>64</v>
      </c>
      <c r="C6051" s="0" t="n">
        <v>2013</v>
      </c>
      <c r="D6051" s="0" t="n">
        <v>7</v>
      </c>
      <c r="E6051" s="38" t="n">
        <v>1170073.57</v>
      </c>
    </row>
    <row r="6052" customFormat="false" ht="15" hidden="false" customHeight="false" outlineLevel="0" collapsed="false">
      <c r="A6052" s="0" t="n">
        <v>90</v>
      </c>
      <c r="B6052" s="0" t="s">
        <v>64</v>
      </c>
      <c r="C6052" s="0" t="n">
        <v>2013</v>
      </c>
      <c r="D6052" s="0" t="n">
        <v>8</v>
      </c>
      <c r="E6052" s="38" t="n">
        <v>1169026.92</v>
      </c>
    </row>
    <row r="6053" customFormat="false" ht="15" hidden="false" customHeight="false" outlineLevel="0" collapsed="false">
      <c r="A6053" s="0" t="n">
        <v>91</v>
      </c>
      <c r="B6053" s="0" t="s">
        <v>60</v>
      </c>
      <c r="C6053" s="0" t="n">
        <v>2011</v>
      </c>
      <c r="D6053" s="0" t="n">
        <v>1</v>
      </c>
      <c r="E6053" s="38" t="n">
        <v>5080354.38</v>
      </c>
    </row>
    <row r="6054" customFormat="false" ht="15" hidden="false" customHeight="false" outlineLevel="0" collapsed="false">
      <c r="A6054" s="0" t="n">
        <v>91</v>
      </c>
      <c r="B6054" s="0" t="s">
        <v>60</v>
      </c>
      <c r="C6054" s="0" t="n">
        <v>2011</v>
      </c>
      <c r="D6054" s="0" t="n">
        <v>2</v>
      </c>
      <c r="E6054" s="38" t="n">
        <v>5315765.6</v>
      </c>
    </row>
    <row r="6055" customFormat="false" ht="15" hidden="false" customHeight="false" outlineLevel="0" collapsed="false">
      <c r="A6055" s="0" t="n">
        <v>91</v>
      </c>
      <c r="B6055" s="0" t="s">
        <v>60</v>
      </c>
      <c r="C6055" s="0" t="n">
        <v>2011</v>
      </c>
      <c r="D6055" s="0" t="n">
        <v>3</v>
      </c>
      <c r="E6055" s="38" t="n">
        <v>5000965.73</v>
      </c>
    </row>
    <row r="6056" customFormat="false" ht="15" hidden="false" customHeight="false" outlineLevel="0" collapsed="false">
      <c r="A6056" s="0" t="n">
        <v>91</v>
      </c>
      <c r="B6056" s="0" t="s">
        <v>60</v>
      </c>
      <c r="C6056" s="0" t="n">
        <v>2011</v>
      </c>
      <c r="D6056" s="0" t="n">
        <v>4</v>
      </c>
      <c r="E6056" s="38" t="n">
        <v>5246745.62</v>
      </c>
    </row>
    <row r="6057" customFormat="false" ht="15" hidden="false" customHeight="false" outlineLevel="0" collapsed="false">
      <c r="A6057" s="0" t="n">
        <v>91</v>
      </c>
      <c r="B6057" s="0" t="s">
        <v>60</v>
      </c>
      <c r="C6057" s="0" t="n">
        <v>2011</v>
      </c>
      <c r="D6057" s="0" t="n">
        <v>5</v>
      </c>
      <c r="E6057" s="38" t="n">
        <v>5120957.48</v>
      </c>
    </row>
    <row r="6058" customFormat="false" ht="15" hidden="false" customHeight="false" outlineLevel="0" collapsed="false">
      <c r="A6058" s="0" t="n">
        <v>91</v>
      </c>
      <c r="B6058" s="0" t="s">
        <v>60</v>
      </c>
      <c r="C6058" s="0" t="n">
        <v>2011</v>
      </c>
      <c r="D6058" s="0" t="n">
        <v>6</v>
      </c>
      <c r="E6058" s="38" t="n">
        <v>5147230.93</v>
      </c>
    </row>
    <row r="6059" customFormat="false" ht="15" hidden="false" customHeight="false" outlineLevel="0" collapsed="false">
      <c r="A6059" s="0" t="n">
        <v>91</v>
      </c>
      <c r="B6059" s="0" t="s">
        <v>60</v>
      </c>
      <c r="C6059" s="0" t="n">
        <v>2011</v>
      </c>
      <c r="D6059" s="0" t="n">
        <v>7</v>
      </c>
      <c r="E6059" s="38" t="n">
        <v>5212315.55</v>
      </c>
    </row>
    <row r="6060" customFormat="false" ht="15" hidden="false" customHeight="false" outlineLevel="0" collapsed="false">
      <c r="A6060" s="0" t="n">
        <v>91</v>
      </c>
      <c r="B6060" s="0" t="s">
        <v>60</v>
      </c>
      <c r="C6060" s="0" t="n">
        <v>2011</v>
      </c>
      <c r="D6060" s="0" t="n">
        <v>8</v>
      </c>
      <c r="E6060" s="38" t="n">
        <v>4940513.66</v>
      </c>
    </row>
    <row r="6061" customFormat="false" ht="15" hidden="false" customHeight="false" outlineLevel="0" collapsed="false">
      <c r="A6061" s="0" t="n">
        <v>91</v>
      </c>
      <c r="B6061" s="0" t="s">
        <v>60</v>
      </c>
      <c r="C6061" s="0" t="n">
        <v>2011</v>
      </c>
      <c r="D6061" s="0" t="n">
        <v>9</v>
      </c>
      <c r="E6061" s="38" t="n">
        <v>5134369.89</v>
      </c>
    </row>
    <row r="6062" customFormat="false" ht="15" hidden="false" customHeight="false" outlineLevel="0" collapsed="false">
      <c r="A6062" s="0" t="n">
        <v>91</v>
      </c>
      <c r="B6062" s="0" t="s">
        <v>60</v>
      </c>
      <c r="C6062" s="0" t="n">
        <v>2011</v>
      </c>
      <c r="D6062" s="0" t="n">
        <v>10</v>
      </c>
      <c r="E6062" s="38" t="n">
        <v>4893916.31</v>
      </c>
    </row>
    <row r="6063" customFormat="false" ht="15" hidden="false" customHeight="false" outlineLevel="0" collapsed="false">
      <c r="A6063" s="0" t="n">
        <v>91</v>
      </c>
      <c r="B6063" s="0" t="s">
        <v>60</v>
      </c>
      <c r="C6063" s="0" t="n">
        <v>2011</v>
      </c>
      <c r="D6063" s="0" t="n">
        <v>11</v>
      </c>
      <c r="E6063" s="38" t="n">
        <v>4997103</v>
      </c>
    </row>
    <row r="6064" customFormat="false" ht="15" hidden="false" customHeight="false" outlineLevel="0" collapsed="false">
      <c r="A6064" s="0" t="n">
        <v>91</v>
      </c>
      <c r="B6064" s="0" t="s">
        <v>60</v>
      </c>
      <c r="C6064" s="0" t="n">
        <v>2011</v>
      </c>
      <c r="D6064" s="0" t="n">
        <v>12</v>
      </c>
      <c r="E6064" s="38" t="n">
        <v>5452220.97</v>
      </c>
    </row>
    <row r="6065" customFormat="false" ht="15" hidden="false" customHeight="false" outlineLevel="0" collapsed="false">
      <c r="A6065" s="0" t="n">
        <v>91</v>
      </c>
      <c r="B6065" s="0" t="s">
        <v>60</v>
      </c>
      <c r="C6065" s="0" t="n">
        <v>2012</v>
      </c>
      <c r="D6065" s="0" t="n">
        <v>1</v>
      </c>
      <c r="E6065" s="38" t="n">
        <v>5025572.31</v>
      </c>
    </row>
    <row r="6066" customFormat="false" ht="15" hidden="false" customHeight="false" outlineLevel="0" collapsed="false">
      <c r="A6066" s="0" t="n">
        <v>91</v>
      </c>
      <c r="B6066" s="0" t="s">
        <v>60</v>
      </c>
      <c r="C6066" s="0" t="n">
        <v>2012</v>
      </c>
      <c r="D6066" s="0" t="n">
        <v>2</v>
      </c>
      <c r="E6066" s="38" t="n">
        <v>5290094.3</v>
      </c>
    </row>
    <row r="6067" customFormat="false" ht="15" hidden="false" customHeight="false" outlineLevel="0" collapsed="false">
      <c r="A6067" s="0" t="n">
        <v>91</v>
      </c>
      <c r="B6067" s="0" t="s">
        <v>60</v>
      </c>
      <c r="C6067" s="0" t="n">
        <v>2012</v>
      </c>
      <c r="D6067" s="0" t="n">
        <v>3</v>
      </c>
      <c r="E6067" s="38" t="n">
        <v>5051250.73</v>
      </c>
    </row>
    <row r="6068" customFormat="false" ht="15" hidden="false" customHeight="false" outlineLevel="0" collapsed="false">
      <c r="A6068" s="0" t="n">
        <v>91</v>
      </c>
      <c r="B6068" s="0" t="s">
        <v>60</v>
      </c>
      <c r="C6068" s="0" t="n">
        <v>2012</v>
      </c>
      <c r="D6068" s="0" t="n">
        <v>4</v>
      </c>
      <c r="E6068" s="38" t="n">
        <v>5133224.84</v>
      </c>
    </row>
    <row r="6069" customFormat="false" ht="15" hidden="false" customHeight="false" outlineLevel="0" collapsed="false">
      <c r="A6069" s="0" t="n">
        <v>91</v>
      </c>
      <c r="B6069" s="0" t="s">
        <v>60</v>
      </c>
      <c r="C6069" s="0" t="n">
        <v>2012</v>
      </c>
      <c r="D6069" s="0" t="n">
        <v>5</v>
      </c>
      <c r="E6069" s="38" t="n">
        <v>5019264.65</v>
      </c>
    </row>
    <row r="6070" customFormat="false" ht="15" hidden="false" customHeight="false" outlineLevel="0" collapsed="false">
      <c r="A6070" s="0" t="n">
        <v>91</v>
      </c>
      <c r="B6070" s="0" t="s">
        <v>60</v>
      </c>
      <c r="C6070" s="0" t="n">
        <v>2012</v>
      </c>
      <c r="D6070" s="0" t="n">
        <v>6</v>
      </c>
      <c r="E6070" s="38" t="n">
        <v>5164490.74</v>
      </c>
    </row>
    <row r="6071" customFormat="false" ht="15" hidden="false" customHeight="false" outlineLevel="0" collapsed="false">
      <c r="A6071" s="0" t="n">
        <v>91</v>
      </c>
      <c r="B6071" s="0" t="s">
        <v>60</v>
      </c>
      <c r="C6071" s="0" t="n">
        <v>2012</v>
      </c>
      <c r="D6071" s="0" t="n">
        <v>7</v>
      </c>
      <c r="E6071" s="38" t="n">
        <v>5252087.66</v>
      </c>
    </row>
    <row r="6072" customFormat="false" ht="15" hidden="false" customHeight="false" outlineLevel="0" collapsed="false">
      <c r="A6072" s="0" t="n">
        <v>91</v>
      </c>
      <c r="B6072" s="0" t="s">
        <v>60</v>
      </c>
      <c r="C6072" s="0" t="n">
        <v>2012</v>
      </c>
      <c r="D6072" s="0" t="n">
        <v>8</v>
      </c>
      <c r="E6072" s="38" t="n">
        <v>4999402.99</v>
      </c>
    </row>
    <row r="6073" customFormat="false" ht="15" hidden="false" customHeight="false" outlineLevel="0" collapsed="false">
      <c r="A6073" s="0" t="n">
        <v>91</v>
      </c>
      <c r="B6073" s="0" t="s">
        <v>60</v>
      </c>
      <c r="C6073" s="0" t="n">
        <v>2012</v>
      </c>
      <c r="D6073" s="0" t="n">
        <v>9</v>
      </c>
      <c r="E6073" s="38" t="n">
        <v>5284726.02</v>
      </c>
    </row>
    <row r="6074" customFormat="false" ht="15" hidden="false" customHeight="false" outlineLevel="0" collapsed="false">
      <c r="A6074" s="0" t="n">
        <v>91</v>
      </c>
      <c r="B6074" s="0" t="s">
        <v>60</v>
      </c>
      <c r="C6074" s="0" t="n">
        <v>2012</v>
      </c>
      <c r="D6074" s="0" t="n">
        <v>10</v>
      </c>
      <c r="E6074" s="38" t="n">
        <v>4936303.66</v>
      </c>
    </row>
    <row r="6075" customFormat="false" ht="15" hidden="false" customHeight="false" outlineLevel="0" collapsed="false">
      <c r="A6075" s="0" t="n">
        <v>91</v>
      </c>
      <c r="B6075" s="0" t="s">
        <v>60</v>
      </c>
      <c r="C6075" s="0" t="n">
        <v>2012</v>
      </c>
      <c r="D6075" s="0" t="n">
        <v>11</v>
      </c>
      <c r="E6075" s="38" t="n">
        <v>5042051.32</v>
      </c>
    </row>
    <row r="6076" customFormat="false" ht="15" hidden="false" customHeight="false" outlineLevel="0" collapsed="false">
      <c r="A6076" s="0" t="n">
        <v>91</v>
      </c>
      <c r="B6076" s="0" t="s">
        <v>60</v>
      </c>
      <c r="C6076" s="0" t="n">
        <v>2012</v>
      </c>
      <c r="D6076" s="0" t="n">
        <v>12</v>
      </c>
      <c r="E6076" s="38" t="n">
        <v>5418308.36</v>
      </c>
    </row>
    <row r="6077" customFormat="false" ht="15" hidden="false" customHeight="false" outlineLevel="0" collapsed="false">
      <c r="A6077" s="0" t="n">
        <v>91</v>
      </c>
      <c r="B6077" s="0" t="s">
        <v>60</v>
      </c>
      <c r="C6077" s="0" t="n">
        <v>2013</v>
      </c>
      <c r="D6077" s="0" t="n">
        <v>1</v>
      </c>
      <c r="E6077" s="38" t="n">
        <v>5170025.86</v>
      </c>
    </row>
    <row r="6078" customFormat="false" ht="15" hidden="false" customHeight="false" outlineLevel="0" collapsed="false">
      <c r="A6078" s="0" t="n">
        <v>91</v>
      </c>
      <c r="B6078" s="0" t="s">
        <v>60</v>
      </c>
      <c r="C6078" s="0" t="n">
        <v>2013</v>
      </c>
      <c r="D6078" s="0" t="n">
        <v>2</v>
      </c>
      <c r="E6078" s="38" t="n">
        <v>5280998.24</v>
      </c>
    </row>
    <row r="6079" customFormat="false" ht="15" hidden="false" customHeight="false" outlineLevel="0" collapsed="false">
      <c r="A6079" s="0" t="n">
        <v>91</v>
      </c>
      <c r="B6079" s="0" t="s">
        <v>60</v>
      </c>
      <c r="C6079" s="0" t="n">
        <v>2013</v>
      </c>
      <c r="D6079" s="0" t="n">
        <v>3</v>
      </c>
      <c r="E6079" s="38" t="n">
        <v>5110345.31</v>
      </c>
    </row>
    <row r="6080" customFormat="false" ht="15" hidden="false" customHeight="false" outlineLevel="0" collapsed="false">
      <c r="A6080" s="0" t="n">
        <v>91</v>
      </c>
      <c r="B6080" s="0" t="s">
        <v>60</v>
      </c>
      <c r="C6080" s="0" t="n">
        <v>2013</v>
      </c>
      <c r="D6080" s="0" t="n">
        <v>4</v>
      </c>
      <c r="E6080" s="38" t="n">
        <v>5160269.38</v>
      </c>
    </row>
    <row r="6081" customFormat="false" ht="15" hidden="false" customHeight="false" outlineLevel="0" collapsed="false">
      <c r="A6081" s="0" t="n">
        <v>91</v>
      </c>
      <c r="B6081" s="0" t="s">
        <v>60</v>
      </c>
      <c r="C6081" s="0" t="n">
        <v>2013</v>
      </c>
      <c r="D6081" s="0" t="n">
        <v>5</v>
      </c>
      <c r="E6081" s="38" t="n">
        <v>5081949.92</v>
      </c>
    </row>
    <row r="6082" customFormat="false" ht="15" hidden="false" customHeight="false" outlineLevel="0" collapsed="false">
      <c r="A6082" s="0" t="n">
        <v>91</v>
      </c>
      <c r="B6082" s="0" t="s">
        <v>60</v>
      </c>
      <c r="C6082" s="0" t="n">
        <v>2013</v>
      </c>
      <c r="D6082" s="0" t="n">
        <v>6</v>
      </c>
      <c r="E6082" s="38" t="n">
        <v>5204316.06</v>
      </c>
    </row>
    <row r="6083" customFormat="false" ht="15" hidden="false" customHeight="false" outlineLevel="0" collapsed="false">
      <c r="A6083" s="0" t="n">
        <v>91</v>
      </c>
      <c r="B6083" s="0" t="s">
        <v>60</v>
      </c>
      <c r="C6083" s="0" t="n">
        <v>2013</v>
      </c>
      <c r="D6083" s="0" t="n">
        <v>7</v>
      </c>
      <c r="E6083" s="38" t="n">
        <v>5161148.33</v>
      </c>
    </row>
    <row r="6084" customFormat="false" ht="15" hidden="false" customHeight="false" outlineLevel="0" collapsed="false">
      <c r="A6084" s="0" t="n">
        <v>91</v>
      </c>
      <c r="B6084" s="0" t="s">
        <v>60</v>
      </c>
      <c r="C6084" s="0" t="n">
        <v>2013</v>
      </c>
      <c r="D6084" s="0" t="n">
        <v>8</v>
      </c>
      <c r="E6084" s="38" t="n">
        <v>4993657.15</v>
      </c>
    </row>
    <row r="6085" customFormat="false" ht="15" hidden="false" customHeight="false" outlineLevel="0" collapsed="false">
      <c r="A6085" s="0" t="n">
        <v>91</v>
      </c>
      <c r="B6085" s="0" t="s">
        <v>62</v>
      </c>
      <c r="C6085" s="0" t="n">
        <v>2011</v>
      </c>
      <c r="D6085" s="0" t="n">
        <v>1</v>
      </c>
      <c r="E6085" s="38" t="n">
        <v>537505.68</v>
      </c>
    </row>
    <row r="6086" customFormat="false" ht="15" hidden="false" customHeight="false" outlineLevel="0" collapsed="false">
      <c r="A6086" s="0" t="n">
        <v>91</v>
      </c>
      <c r="B6086" s="0" t="s">
        <v>62</v>
      </c>
      <c r="C6086" s="0" t="n">
        <v>2011</v>
      </c>
      <c r="D6086" s="0" t="n">
        <v>2</v>
      </c>
      <c r="E6086" s="38" t="n">
        <v>557234.34</v>
      </c>
    </row>
    <row r="6087" customFormat="false" ht="15" hidden="false" customHeight="false" outlineLevel="0" collapsed="false">
      <c r="A6087" s="0" t="n">
        <v>91</v>
      </c>
      <c r="B6087" s="0" t="s">
        <v>62</v>
      </c>
      <c r="C6087" s="0" t="n">
        <v>2011</v>
      </c>
      <c r="D6087" s="0" t="n">
        <v>3</v>
      </c>
      <c r="E6087" s="38" t="n">
        <v>520517.51</v>
      </c>
    </row>
    <row r="6088" customFormat="false" ht="15" hidden="false" customHeight="false" outlineLevel="0" collapsed="false">
      <c r="A6088" s="0" t="n">
        <v>91</v>
      </c>
      <c r="B6088" s="0" t="s">
        <v>62</v>
      </c>
      <c r="C6088" s="0" t="n">
        <v>2011</v>
      </c>
      <c r="D6088" s="0" t="n">
        <v>4</v>
      </c>
      <c r="E6088" s="38" t="n">
        <v>551975.34</v>
      </c>
    </row>
    <row r="6089" customFormat="false" ht="15" hidden="false" customHeight="false" outlineLevel="0" collapsed="false">
      <c r="A6089" s="0" t="n">
        <v>91</v>
      </c>
      <c r="B6089" s="0" t="s">
        <v>62</v>
      </c>
      <c r="C6089" s="0" t="n">
        <v>2011</v>
      </c>
      <c r="D6089" s="0" t="n">
        <v>5</v>
      </c>
      <c r="E6089" s="38" t="n">
        <v>551963.22</v>
      </c>
    </row>
    <row r="6090" customFormat="false" ht="15" hidden="false" customHeight="false" outlineLevel="0" collapsed="false">
      <c r="A6090" s="0" t="n">
        <v>91</v>
      </c>
      <c r="B6090" s="0" t="s">
        <v>62</v>
      </c>
      <c r="C6090" s="0" t="n">
        <v>2011</v>
      </c>
      <c r="D6090" s="0" t="n">
        <v>6</v>
      </c>
      <c r="E6090" s="38" t="n">
        <v>554976.3</v>
      </c>
    </row>
    <row r="6091" customFormat="false" ht="15" hidden="false" customHeight="false" outlineLevel="0" collapsed="false">
      <c r="A6091" s="0" t="n">
        <v>91</v>
      </c>
      <c r="B6091" s="0" t="s">
        <v>62</v>
      </c>
      <c r="C6091" s="0" t="n">
        <v>2011</v>
      </c>
      <c r="D6091" s="0" t="n">
        <v>7</v>
      </c>
      <c r="E6091" s="38" t="n">
        <v>557864.03</v>
      </c>
    </row>
    <row r="6092" customFormat="false" ht="15" hidden="false" customHeight="false" outlineLevel="0" collapsed="false">
      <c r="A6092" s="0" t="n">
        <v>91</v>
      </c>
      <c r="B6092" s="0" t="s">
        <v>62</v>
      </c>
      <c r="C6092" s="0" t="n">
        <v>2011</v>
      </c>
      <c r="D6092" s="0" t="n">
        <v>8</v>
      </c>
      <c r="E6092" s="38" t="n">
        <v>514259.24</v>
      </c>
    </row>
    <row r="6093" customFormat="false" ht="15" hidden="false" customHeight="false" outlineLevel="0" collapsed="false">
      <c r="A6093" s="0" t="n">
        <v>91</v>
      </c>
      <c r="B6093" s="0" t="s">
        <v>62</v>
      </c>
      <c r="C6093" s="0" t="n">
        <v>2011</v>
      </c>
      <c r="D6093" s="0" t="n">
        <v>9</v>
      </c>
      <c r="E6093" s="38" t="n">
        <v>513752.46</v>
      </c>
    </row>
    <row r="6094" customFormat="false" ht="15" hidden="false" customHeight="false" outlineLevel="0" collapsed="false">
      <c r="A6094" s="0" t="n">
        <v>91</v>
      </c>
      <c r="B6094" s="0" t="s">
        <v>62</v>
      </c>
      <c r="C6094" s="0" t="n">
        <v>2011</v>
      </c>
      <c r="D6094" s="0" t="n">
        <v>10</v>
      </c>
      <c r="E6094" s="38" t="n">
        <v>592288.83</v>
      </c>
    </row>
    <row r="6095" customFormat="false" ht="15" hidden="false" customHeight="false" outlineLevel="0" collapsed="false">
      <c r="A6095" s="0" t="n">
        <v>91</v>
      </c>
      <c r="B6095" s="0" t="s">
        <v>62</v>
      </c>
      <c r="C6095" s="0" t="n">
        <v>2011</v>
      </c>
      <c r="D6095" s="0" t="n">
        <v>11</v>
      </c>
      <c r="E6095" s="38" t="n">
        <v>633184.34</v>
      </c>
    </row>
    <row r="6096" customFormat="false" ht="15" hidden="false" customHeight="false" outlineLevel="0" collapsed="false">
      <c r="A6096" s="0" t="n">
        <v>91</v>
      </c>
      <c r="B6096" s="0" t="s">
        <v>62</v>
      </c>
      <c r="C6096" s="0" t="n">
        <v>2011</v>
      </c>
      <c r="D6096" s="0" t="n">
        <v>12</v>
      </c>
      <c r="E6096" s="38" t="n">
        <v>734297.29</v>
      </c>
    </row>
    <row r="6097" customFormat="false" ht="15" hidden="false" customHeight="false" outlineLevel="0" collapsed="false">
      <c r="A6097" s="0" t="n">
        <v>91</v>
      </c>
      <c r="B6097" s="0" t="s">
        <v>62</v>
      </c>
      <c r="C6097" s="0" t="n">
        <v>2012</v>
      </c>
      <c r="D6097" s="0" t="n">
        <v>1</v>
      </c>
      <c r="E6097" s="38" t="n">
        <v>659092.68</v>
      </c>
    </row>
    <row r="6098" customFormat="false" ht="15" hidden="false" customHeight="false" outlineLevel="0" collapsed="false">
      <c r="A6098" s="0" t="n">
        <v>91</v>
      </c>
      <c r="B6098" s="0" t="s">
        <v>62</v>
      </c>
      <c r="C6098" s="0" t="n">
        <v>2012</v>
      </c>
      <c r="D6098" s="0" t="n">
        <v>2</v>
      </c>
      <c r="E6098" s="38" t="n">
        <v>687351.14</v>
      </c>
    </row>
    <row r="6099" customFormat="false" ht="15" hidden="false" customHeight="false" outlineLevel="0" collapsed="false">
      <c r="A6099" s="0" t="n">
        <v>91</v>
      </c>
      <c r="B6099" s="0" t="s">
        <v>62</v>
      </c>
      <c r="C6099" s="0" t="n">
        <v>2012</v>
      </c>
      <c r="D6099" s="0" t="n">
        <v>3</v>
      </c>
      <c r="E6099" s="38" t="n">
        <v>621611.9</v>
      </c>
    </row>
    <row r="6100" customFormat="false" ht="15" hidden="false" customHeight="false" outlineLevel="0" collapsed="false">
      <c r="A6100" s="0" t="n">
        <v>91</v>
      </c>
      <c r="B6100" s="0" t="s">
        <v>62</v>
      </c>
      <c r="C6100" s="0" t="n">
        <v>2012</v>
      </c>
      <c r="D6100" s="0" t="n">
        <v>4</v>
      </c>
      <c r="E6100" s="38" t="n">
        <v>625734.54</v>
      </c>
    </row>
    <row r="6101" customFormat="false" ht="15" hidden="false" customHeight="false" outlineLevel="0" collapsed="false">
      <c r="A6101" s="0" t="n">
        <v>91</v>
      </c>
      <c r="B6101" s="0" t="s">
        <v>62</v>
      </c>
      <c r="C6101" s="0" t="n">
        <v>2012</v>
      </c>
      <c r="D6101" s="0" t="n">
        <v>5</v>
      </c>
      <c r="E6101" s="38" t="n">
        <v>626812.94</v>
      </c>
    </row>
    <row r="6102" customFormat="false" ht="15" hidden="false" customHeight="false" outlineLevel="0" collapsed="false">
      <c r="A6102" s="0" t="n">
        <v>91</v>
      </c>
      <c r="B6102" s="0" t="s">
        <v>62</v>
      </c>
      <c r="C6102" s="0" t="n">
        <v>2012</v>
      </c>
      <c r="D6102" s="0" t="n">
        <v>6</v>
      </c>
      <c r="E6102" s="38" t="n">
        <v>649088.57</v>
      </c>
    </row>
    <row r="6103" customFormat="false" ht="15" hidden="false" customHeight="false" outlineLevel="0" collapsed="false">
      <c r="A6103" s="0" t="n">
        <v>91</v>
      </c>
      <c r="B6103" s="0" t="s">
        <v>62</v>
      </c>
      <c r="C6103" s="0" t="n">
        <v>2012</v>
      </c>
      <c r="D6103" s="0" t="n">
        <v>7</v>
      </c>
      <c r="E6103" s="38" t="n">
        <v>636144.86</v>
      </c>
    </row>
    <row r="6104" customFormat="false" ht="15" hidden="false" customHeight="false" outlineLevel="0" collapsed="false">
      <c r="A6104" s="0" t="n">
        <v>91</v>
      </c>
      <c r="B6104" s="0" t="s">
        <v>62</v>
      </c>
      <c r="C6104" s="0" t="n">
        <v>2012</v>
      </c>
      <c r="D6104" s="0" t="n">
        <v>8</v>
      </c>
      <c r="E6104" s="38" t="n">
        <v>597262.45</v>
      </c>
    </row>
    <row r="6105" customFormat="false" ht="15" hidden="false" customHeight="false" outlineLevel="0" collapsed="false">
      <c r="A6105" s="0" t="n">
        <v>91</v>
      </c>
      <c r="B6105" s="0" t="s">
        <v>62</v>
      </c>
      <c r="C6105" s="0" t="n">
        <v>2012</v>
      </c>
      <c r="D6105" s="0" t="n">
        <v>9</v>
      </c>
      <c r="E6105" s="38" t="n">
        <v>749234.11</v>
      </c>
    </row>
    <row r="6106" customFormat="false" ht="15" hidden="false" customHeight="false" outlineLevel="0" collapsed="false">
      <c r="A6106" s="0" t="n">
        <v>91</v>
      </c>
      <c r="B6106" s="0" t="s">
        <v>62</v>
      </c>
      <c r="C6106" s="0" t="n">
        <v>2012</v>
      </c>
      <c r="D6106" s="0" t="n">
        <v>10</v>
      </c>
      <c r="E6106" s="38" t="n">
        <v>690454.69</v>
      </c>
    </row>
    <row r="6107" customFormat="false" ht="15" hidden="false" customHeight="false" outlineLevel="0" collapsed="false">
      <c r="A6107" s="0" t="n">
        <v>91</v>
      </c>
      <c r="B6107" s="0" t="s">
        <v>62</v>
      </c>
      <c r="C6107" s="0" t="n">
        <v>2012</v>
      </c>
      <c r="D6107" s="0" t="n">
        <v>11</v>
      </c>
      <c r="E6107" s="38" t="n">
        <v>726676.65</v>
      </c>
    </row>
    <row r="6108" customFormat="false" ht="15" hidden="false" customHeight="false" outlineLevel="0" collapsed="false">
      <c r="A6108" s="0" t="n">
        <v>91</v>
      </c>
      <c r="B6108" s="0" t="s">
        <v>62</v>
      </c>
      <c r="C6108" s="0" t="n">
        <v>2012</v>
      </c>
      <c r="D6108" s="0" t="n">
        <v>12</v>
      </c>
      <c r="E6108" s="38" t="n">
        <v>816140.54</v>
      </c>
    </row>
    <row r="6109" customFormat="false" ht="15" hidden="false" customHeight="false" outlineLevel="0" collapsed="false">
      <c r="A6109" s="0" t="n">
        <v>91</v>
      </c>
      <c r="B6109" s="0" t="s">
        <v>62</v>
      </c>
      <c r="C6109" s="0" t="n">
        <v>2013</v>
      </c>
      <c r="D6109" s="0" t="n">
        <v>1</v>
      </c>
      <c r="E6109" s="38" t="n">
        <v>760591.68</v>
      </c>
    </row>
    <row r="6110" customFormat="false" ht="15" hidden="false" customHeight="false" outlineLevel="0" collapsed="false">
      <c r="A6110" s="0" t="n">
        <v>91</v>
      </c>
      <c r="B6110" s="0" t="s">
        <v>62</v>
      </c>
      <c r="C6110" s="0" t="n">
        <v>2013</v>
      </c>
      <c r="D6110" s="0" t="n">
        <v>2</v>
      </c>
      <c r="E6110" s="38" t="n">
        <v>759842.38</v>
      </c>
    </row>
    <row r="6111" customFormat="false" ht="15" hidden="false" customHeight="false" outlineLevel="0" collapsed="false">
      <c r="A6111" s="0" t="n">
        <v>91</v>
      </c>
      <c r="B6111" s="0" t="s">
        <v>62</v>
      </c>
      <c r="C6111" s="0" t="n">
        <v>2013</v>
      </c>
      <c r="D6111" s="0" t="n">
        <v>3</v>
      </c>
      <c r="E6111" s="38" t="n">
        <v>708447.26</v>
      </c>
    </row>
    <row r="6112" customFormat="false" ht="15" hidden="false" customHeight="false" outlineLevel="0" collapsed="false">
      <c r="A6112" s="0" t="n">
        <v>91</v>
      </c>
      <c r="B6112" s="0" t="s">
        <v>62</v>
      </c>
      <c r="C6112" s="0" t="n">
        <v>2013</v>
      </c>
      <c r="D6112" s="0" t="n">
        <v>4</v>
      </c>
      <c r="E6112" s="38" t="n">
        <v>717726.56</v>
      </c>
    </row>
    <row r="6113" customFormat="false" ht="15" hidden="false" customHeight="false" outlineLevel="0" collapsed="false">
      <c r="A6113" s="0" t="n">
        <v>91</v>
      </c>
      <c r="B6113" s="0" t="s">
        <v>62</v>
      </c>
      <c r="C6113" s="0" t="n">
        <v>2013</v>
      </c>
      <c r="D6113" s="0" t="n">
        <v>5</v>
      </c>
      <c r="E6113" s="38" t="n">
        <v>730506.4</v>
      </c>
    </row>
    <row r="6114" customFormat="false" ht="15" hidden="false" customHeight="false" outlineLevel="0" collapsed="false">
      <c r="A6114" s="0" t="n">
        <v>91</v>
      </c>
      <c r="B6114" s="0" t="s">
        <v>62</v>
      </c>
      <c r="C6114" s="0" t="n">
        <v>2013</v>
      </c>
      <c r="D6114" s="0" t="n">
        <v>6</v>
      </c>
      <c r="E6114" s="38" t="n">
        <v>754495.87</v>
      </c>
    </row>
    <row r="6115" customFormat="false" ht="15" hidden="false" customHeight="false" outlineLevel="0" collapsed="false">
      <c r="A6115" s="0" t="n">
        <v>91</v>
      </c>
      <c r="B6115" s="0" t="s">
        <v>62</v>
      </c>
      <c r="C6115" s="0" t="n">
        <v>2013</v>
      </c>
      <c r="D6115" s="0" t="n">
        <v>7</v>
      </c>
      <c r="E6115" s="38" t="n">
        <v>722252.24</v>
      </c>
    </row>
    <row r="6116" customFormat="false" ht="15" hidden="false" customHeight="false" outlineLevel="0" collapsed="false">
      <c r="A6116" s="0" t="n">
        <v>91</v>
      </c>
      <c r="B6116" s="0" t="s">
        <v>62</v>
      </c>
      <c r="C6116" s="0" t="n">
        <v>2013</v>
      </c>
      <c r="D6116" s="0" t="n">
        <v>8</v>
      </c>
      <c r="E6116" s="38" t="n">
        <v>724620.46</v>
      </c>
    </row>
    <row r="6117" customFormat="false" ht="15" hidden="false" customHeight="false" outlineLevel="0" collapsed="false">
      <c r="A6117" s="0" t="n">
        <v>91</v>
      </c>
      <c r="B6117" s="0" t="s">
        <v>64</v>
      </c>
      <c r="C6117" s="0" t="n">
        <v>2011</v>
      </c>
      <c r="D6117" s="0" t="n">
        <v>1</v>
      </c>
      <c r="E6117" s="38" t="n">
        <v>731049.57</v>
      </c>
    </row>
    <row r="6118" customFormat="false" ht="15" hidden="false" customHeight="false" outlineLevel="0" collapsed="false">
      <c r="A6118" s="0" t="n">
        <v>91</v>
      </c>
      <c r="B6118" s="0" t="s">
        <v>64</v>
      </c>
      <c r="C6118" s="0" t="n">
        <v>2011</v>
      </c>
      <c r="D6118" s="0" t="n">
        <v>2</v>
      </c>
      <c r="E6118" s="38" t="n">
        <v>802360.06</v>
      </c>
    </row>
    <row r="6119" customFormat="false" ht="15" hidden="false" customHeight="false" outlineLevel="0" collapsed="false">
      <c r="A6119" s="0" t="n">
        <v>91</v>
      </c>
      <c r="B6119" s="0" t="s">
        <v>64</v>
      </c>
      <c r="C6119" s="0" t="n">
        <v>2011</v>
      </c>
      <c r="D6119" s="0" t="n">
        <v>3</v>
      </c>
      <c r="E6119" s="38" t="n">
        <v>781518.86</v>
      </c>
    </row>
    <row r="6120" customFormat="false" ht="15" hidden="false" customHeight="false" outlineLevel="0" collapsed="false">
      <c r="A6120" s="0" t="n">
        <v>91</v>
      </c>
      <c r="B6120" s="0" t="s">
        <v>64</v>
      </c>
      <c r="C6120" s="0" t="n">
        <v>2011</v>
      </c>
      <c r="D6120" s="0" t="n">
        <v>4</v>
      </c>
      <c r="E6120" s="38" t="n">
        <v>830987.53</v>
      </c>
    </row>
    <row r="6121" customFormat="false" ht="15" hidden="false" customHeight="false" outlineLevel="0" collapsed="false">
      <c r="A6121" s="0" t="n">
        <v>91</v>
      </c>
      <c r="B6121" s="0" t="s">
        <v>64</v>
      </c>
      <c r="C6121" s="0" t="n">
        <v>2011</v>
      </c>
      <c r="D6121" s="0" t="n">
        <v>5</v>
      </c>
      <c r="E6121" s="38" t="n">
        <v>825814.64</v>
      </c>
    </row>
    <row r="6122" customFormat="false" ht="15" hidden="false" customHeight="false" outlineLevel="0" collapsed="false">
      <c r="A6122" s="0" t="n">
        <v>91</v>
      </c>
      <c r="B6122" s="0" t="s">
        <v>64</v>
      </c>
      <c r="C6122" s="0" t="n">
        <v>2011</v>
      </c>
      <c r="D6122" s="0" t="n">
        <v>6</v>
      </c>
      <c r="E6122" s="38" t="n">
        <v>846697.53</v>
      </c>
    </row>
    <row r="6123" customFormat="false" ht="15" hidden="false" customHeight="false" outlineLevel="0" collapsed="false">
      <c r="A6123" s="0" t="n">
        <v>91</v>
      </c>
      <c r="B6123" s="0" t="s">
        <v>64</v>
      </c>
      <c r="C6123" s="0" t="n">
        <v>2011</v>
      </c>
      <c r="D6123" s="0" t="n">
        <v>7</v>
      </c>
      <c r="E6123" s="38" t="n">
        <v>860121.59</v>
      </c>
    </row>
    <row r="6124" customFormat="false" ht="15" hidden="false" customHeight="false" outlineLevel="0" collapsed="false">
      <c r="A6124" s="0" t="n">
        <v>91</v>
      </c>
      <c r="B6124" s="0" t="s">
        <v>64</v>
      </c>
      <c r="C6124" s="0" t="n">
        <v>2011</v>
      </c>
      <c r="D6124" s="0" t="n">
        <v>8</v>
      </c>
      <c r="E6124" s="38" t="n">
        <v>822481.43</v>
      </c>
    </row>
    <row r="6125" customFormat="false" ht="15" hidden="false" customHeight="false" outlineLevel="0" collapsed="false">
      <c r="A6125" s="0" t="n">
        <v>91</v>
      </c>
      <c r="B6125" s="0" t="s">
        <v>64</v>
      </c>
      <c r="C6125" s="0" t="n">
        <v>2011</v>
      </c>
      <c r="D6125" s="0" t="n">
        <v>9</v>
      </c>
      <c r="E6125" s="38" t="n">
        <v>817035.93</v>
      </c>
    </row>
    <row r="6126" customFormat="false" ht="15" hidden="false" customHeight="false" outlineLevel="0" collapsed="false">
      <c r="A6126" s="0" t="n">
        <v>91</v>
      </c>
      <c r="B6126" s="0" t="s">
        <v>64</v>
      </c>
      <c r="C6126" s="0" t="n">
        <v>2011</v>
      </c>
      <c r="D6126" s="0" t="n">
        <v>10</v>
      </c>
      <c r="E6126" s="38" t="n">
        <v>723354.82</v>
      </c>
    </row>
    <row r="6127" customFormat="false" ht="15" hidden="false" customHeight="false" outlineLevel="0" collapsed="false">
      <c r="A6127" s="0" t="n">
        <v>91</v>
      </c>
      <c r="B6127" s="0" t="s">
        <v>64</v>
      </c>
      <c r="C6127" s="0" t="n">
        <v>2011</v>
      </c>
      <c r="D6127" s="0" t="n">
        <v>11</v>
      </c>
      <c r="E6127" s="38" t="n">
        <v>706529.62</v>
      </c>
    </row>
    <row r="6128" customFormat="false" ht="15" hidden="false" customHeight="false" outlineLevel="0" collapsed="false">
      <c r="A6128" s="0" t="n">
        <v>91</v>
      </c>
      <c r="B6128" s="0" t="s">
        <v>64</v>
      </c>
      <c r="C6128" s="0" t="n">
        <v>2011</v>
      </c>
      <c r="D6128" s="0" t="n">
        <v>12</v>
      </c>
      <c r="E6128" s="38" t="n">
        <v>811692.25</v>
      </c>
    </row>
    <row r="6129" customFormat="false" ht="15" hidden="false" customHeight="false" outlineLevel="0" collapsed="false">
      <c r="A6129" s="0" t="n">
        <v>91</v>
      </c>
      <c r="B6129" s="0" t="s">
        <v>64</v>
      </c>
      <c r="C6129" s="0" t="n">
        <v>2012</v>
      </c>
      <c r="D6129" s="0" t="n">
        <v>1</v>
      </c>
      <c r="E6129" s="38" t="n">
        <v>723439.62</v>
      </c>
    </row>
    <row r="6130" customFormat="false" ht="15" hidden="false" customHeight="false" outlineLevel="0" collapsed="false">
      <c r="A6130" s="0" t="n">
        <v>91</v>
      </c>
      <c r="B6130" s="0" t="s">
        <v>64</v>
      </c>
      <c r="C6130" s="0" t="n">
        <v>2012</v>
      </c>
      <c r="D6130" s="0" t="n">
        <v>2</v>
      </c>
      <c r="E6130" s="38" t="n">
        <v>799045.47</v>
      </c>
    </row>
    <row r="6131" customFormat="false" ht="15" hidden="false" customHeight="false" outlineLevel="0" collapsed="false">
      <c r="A6131" s="0" t="n">
        <v>91</v>
      </c>
      <c r="B6131" s="0" t="s">
        <v>64</v>
      </c>
      <c r="C6131" s="0" t="n">
        <v>2012</v>
      </c>
      <c r="D6131" s="0" t="n">
        <v>3</v>
      </c>
      <c r="E6131" s="38" t="n">
        <v>771002.1</v>
      </c>
    </row>
    <row r="6132" customFormat="false" ht="15" hidden="false" customHeight="false" outlineLevel="0" collapsed="false">
      <c r="A6132" s="0" t="n">
        <v>91</v>
      </c>
      <c r="B6132" s="0" t="s">
        <v>64</v>
      </c>
      <c r="C6132" s="0" t="n">
        <v>2012</v>
      </c>
      <c r="D6132" s="0" t="n">
        <v>4</v>
      </c>
      <c r="E6132" s="38" t="n">
        <v>817605.9</v>
      </c>
    </row>
    <row r="6133" customFormat="false" ht="15" hidden="false" customHeight="false" outlineLevel="0" collapsed="false">
      <c r="A6133" s="0" t="n">
        <v>91</v>
      </c>
      <c r="B6133" s="0" t="s">
        <v>64</v>
      </c>
      <c r="C6133" s="0" t="n">
        <v>2012</v>
      </c>
      <c r="D6133" s="0" t="n">
        <v>5</v>
      </c>
      <c r="E6133" s="38" t="n">
        <v>807994.61</v>
      </c>
    </row>
    <row r="6134" customFormat="false" ht="15" hidden="false" customHeight="false" outlineLevel="0" collapsed="false">
      <c r="A6134" s="0" t="n">
        <v>91</v>
      </c>
      <c r="B6134" s="0" t="s">
        <v>64</v>
      </c>
      <c r="C6134" s="0" t="n">
        <v>2012</v>
      </c>
      <c r="D6134" s="0" t="n">
        <v>6</v>
      </c>
      <c r="E6134" s="38" t="n">
        <v>829284.96</v>
      </c>
    </row>
    <row r="6135" customFormat="false" ht="15" hidden="false" customHeight="false" outlineLevel="0" collapsed="false">
      <c r="A6135" s="0" t="n">
        <v>91</v>
      </c>
      <c r="B6135" s="0" t="s">
        <v>64</v>
      </c>
      <c r="C6135" s="0" t="n">
        <v>2012</v>
      </c>
      <c r="D6135" s="0" t="n">
        <v>7</v>
      </c>
      <c r="E6135" s="38" t="n">
        <v>834475.93</v>
      </c>
    </row>
    <row r="6136" customFormat="false" ht="15" hidden="false" customHeight="false" outlineLevel="0" collapsed="false">
      <c r="A6136" s="0" t="n">
        <v>91</v>
      </c>
      <c r="B6136" s="0" t="s">
        <v>64</v>
      </c>
      <c r="C6136" s="0" t="n">
        <v>2012</v>
      </c>
      <c r="D6136" s="0" t="n">
        <v>8</v>
      </c>
      <c r="E6136" s="38" t="n">
        <v>775772.74</v>
      </c>
    </row>
    <row r="6137" customFormat="false" ht="15" hidden="false" customHeight="false" outlineLevel="0" collapsed="false">
      <c r="A6137" s="0" t="n">
        <v>91</v>
      </c>
      <c r="B6137" s="0" t="s">
        <v>64</v>
      </c>
      <c r="C6137" s="0" t="n">
        <v>2012</v>
      </c>
      <c r="D6137" s="0" t="n">
        <v>9</v>
      </c>
      <c r="E6137" s="38" t="n">
        <v>808166.75</v>
      </c>
    </row>
    <row r="6138" customFormat="false" ht="15" hidden="false" customHeight="false" outlineLevel="0" collapsed="false">
      <c r="A6138" s="0" t="n">
        <v>91</v>
      </c>
      <c r="B6138" s="0" t="s">
        <v>64</v>
      </c>
      <c r="C6138" s="0" t="n">
        <v>2012</v>
      </c>
      <c r="D6138" s="0" t="n">
        <v>10</v>
      </c>
      <c r="E6138" s="38" t="n">
        <v>741934.99</v>
      </c>
    </row>
    <row r="6139" customFormat="false" ht="15" hidden="false" customHeight="false" outlineLevel="0" collapsed="false">
      <c r="A6139" s="0" t="n">
        <v>91</v>
      </c>
      <c r="B6139" s="0" t="s">
        <v>64</v>
      </c>
      <c r="C6139" s="0" t="n">
        <v>2012</v>
      </c>
      <c r="D6139" s="0" t="n">
        <v>11</v>
      </c>
      <c r="E6139" s="38" t="n">
        <v>733592.22</v>
      </c>
    </row>
    <row r="6140" customFormat="false" ht="15" hidden="false" customHeight="false" outlineLevel="0" collapsed="false">
      <c r="A6140" s="0" t="n">
        <v>91</v>
      </c>
      <c r="B6140" s="0" t="s">
        <v>64</v>
      </c>
      <c r="C6140" s="0" t="n">
        <v>2012</v>
      </c>
      <c r="D6140" s="0" t="n">
        <v>12</v>
      </c>
      <c r="E6140" s="38" t="n">
        <v>835665.07</v>
      </c>
    </row>
    <row r="6141" customFormat="false" ht="15" hidden="false" customHeight="false" outlineLevel="0" collapsed="false">
      <c r="A6141" s="0" t="n">
        <v>91</v>
      </c>
      <c r="B6141" s="0" t="s">
        <v>64</v>
      </c>
      <c r="C6141" s="0" t="n">
        <v>2013</v>
      </c>
      <c r="D6141" s="0" t="n">
        <v>1</v>
      </c>
      <c r="E6141" s="38" t="n">
        <v>766562.52</v>
      </c>
    </row>
    <row r="6142" customFormat="false" ht="15" hidden="false" customHeight="false" outlineLevel="0" collapsed="false">
      <c r="A6142" s="0" t="n">
        <v>91</v>
      </c>
      <c r="B6142" s="0" t="s">
        <v>64</v>
      </c>
      <c r="C6142" s="0" t="n">
        <v>2013</v>
      </c>
      <c r="D6142" s="0" t="n">
        <v>2</v>
      </c>
      <c r="E6142" s="38" t="n">
        <v>816691.53</v>
      </c>
    </row>
    <row r="6143" customFormat="false" ht="15" hidden="false" customHeight="false" outlineLevel="0" collapsed="false">
      <c r="A6143" s="0" t="n">
        <v>91</v>
      </c>
      <c r="B6143" s="0" t="s">
        <v>64</v>
      </c>
      <c r="C6143" s="0" t="n">
        <v>2013</v>
      </c>
      <c r="D6143" s="0" t="n">
        <v>3</v>
      </c>
      <c r="E6143" s="38" t="n">
        <v>810731.35</v>
      </c>
    </row>
    <row r="6144" customFormat="false" ht="15" hidden="false" customHeight="false" outlineLevel="0" collapsed="false">
      <c r="A6144" s="0" t="n">
        <v>91</v>
      </c>
      <c r="B6144" s="0" t="s">
        <v>64</v>
      </c>
      <c r="C6144" s="0" t="n">
        <v>2013</v>
      </c>
      <c r="D6144" s="0" t="n">
        <v>4</v>
      </c>
      <c r="E6144" s="38" t="n">
        <v>831664.88</v>
      </c>
    </row>
    <row r="6145" customFormat="false" ht="15" hidden="false" customHeight="false" outlineLevel="0" collapsed="false">
      <c r="A6145" s="0" t="n">
        <v>91</v>
      </c>
      <c r="B6145" s="0" t="s">
        <v>64</v>
      </c>
      <c r="C6145" s="0" t="n">
        <v>2013</v>
      </c>
      <c r="D6145" s="0" t="n">
        <v>5</v>
      </c>
      <c r="E6145" s="38" t="n">
        <v>822754.3</v>
      </c>
    </row>
    <row r="6146" customFormat="false" ht="15" hidden="false" customHeight="false" outlineLevel="0" collapsed="false">
      <c r="A6146" s="0" t="n">
        <v>91</v>
      </c>
      <c r="B6146" s="0" t="s">
        <v>64</v>
      </c>
      <c r="C6146" s="0" t="n">
        <v>2013</v>
      </c>
      <c r="D6146" s="0" t="n">
        <v>6</v>
      </c>
      <c r="E6146" s="38" t="n">
        <v>836046.33</v>
      </c>
    </row>
    <row r="6147" customFormat="false" ht="15" hidden="false" customHeight="false" outlineLevel="0" collapsed="false">
      <c r="A6147" s="0" t="n">
        <v>91</v>
      </c>
      <c r="B6147" s="0" t="s">
        <v>64</v>
      </c>
      <c r="C6147" s="0" t="n">
        <v>2013</v>
      </c>
      <c r="D6147" s="0" t="n">
        <v>7</v>
      </c>
      <c r="E6147" s="38" t="n">
        <v>821546.77</v>
      </c>
    </row>
    <row r="6148" customFormat="false" ht="15" hidden="false" customHeight="false" outlineLevel="0" collapsed="false">
      <c r="A6148" s="0" t="n">
        <v>91</v>
      </c>
      <c r="B6148" s="0" t="s">
        <v>64</v>
      </c>
      <c r="C6148" s="0" t="n">
        <v>2013</v>
      </c>
      <c r="D6148" s="0" t="n">
        <v>8</v>
      </c>
      <c r="E6148" s="38" t="n">
        <v>798191.24</v>
      </c>
    </row>
    <row r="6149" customFormat="false" ht="15" hidden="false" customHeight="false" outlineLevel="0" collapsed="false">
      <c r="A6149" s="0" t="n">
        <v>92</v>
      </c>
      <c r="B6149" s="0" t="s">
        <v>60</v>
      </c>
      <c r="C6149" s="0" t="n">
        <v>2011</v>
      </c>
      <c r="D6149" s="0" t="n">
        <v>1</v>
      </c>
      <c r="E6149" s="38" t="n">
        <v>10074229.78</v>
      </c>
    </row>
    <row r="6150" customFormat="false" ht="15" hidden="false" customHeight="false" outlineLevel="0" collapsed="false">
      <c r="A6150" s="0" t="n">
        <v>92</v>
      </c>
      <c r="B6150" s="0" t="s">
        <v>60</v>
      </c>
      <c r="C6150" s="0" t="n">
        <v>2011</v>
      </c>
      <c r="D6150" s="0" t="n">
        <v>2</v>
      </c>
      <c r="E6150" s="38" t="n">
        <v>10493909.32</v>
      </c>
    </row>
    <row r="6151" customFormat="false" ht="15" hidden="false" customHeight="false" outlineLevel="0" collapsed="false">
      <c r="A6151" s="0" t="n">
        <v>92</v>
      </c>
      <c r="B6151" s="0" t="s">
        <v>60</v>
      </c>
      <c r="C6151" s="0" t="n">
        <v>2011</v>
      </c>
      <c r="D6151" s="0" t="n">
        <v>3</v>
      </c>
      <c r="E6151" s="38" t="n">
        <v>9689390.49</v>
      </c>
    </row>
    <row r="6152" customFormat="false" ht="15" hidden="false" customHeight="false" outlineLevel="0" collapsed="false">
      <c r="A6152" s="0" t="n">
        <v>92</v>
      </c>
      <c r="B6152" s="0" t="s">
        <v>60</v>
      </c>
      <c r="C6152" s="0" t="n">
        <v>2011</v>
      </c>
      <c r="D6152" s="0" t="n">
        <v>4</v>
      </c>
      <c r="E6152" s="38" t="n">
        <v>10200379.18</v>
      </c>
    </row>
    <row r="6153" customFormat="false" ht="15" hidden="false" customHeight="false" outlineLevel="0" collapsed="false">
      <c r="A6153" s="0" t="n">
        <v>92</v>
      </c>
      <c r="B6153" s="0" t="s">
        <v>60</v>
      </c>
      <c r="C6153" s="0" t="n">
        <v>2011</v>
      </c>
      <c r="D6153" s="0" t="n">
        <v>5</v>
      </c>
      <c r="E6153" s="38" t="n">
        <v>9802674.66</v>
      </c>
    </row>
    <row r="6154" customFormat="false" ht="15" hidden="false" customHeight="false" outlineLevel="0" collapsed="false">
      <c r="A6154" s="0" t="n">
        <v>92</v>
      </c>
      <c r="B6154" s="0" t="s">
        <v>60</v>
      </c>
      <c r="C6154" s="0" t="n">
        <v>2011</v>
      </c>
      <c r="D6154" s="0" t="n">
        <v>6</v>
      </c>
      <c r="E6154" s="38" t="n">
        <v>9876060.05</v>
      </c>
    </row>
    <row r="6155" customFormat="false" ht="15" hidden="false" customHeight="false" outlineLevel="0" collapsed="false">
      <c r="A6155" s="0" t="n">
        <v>92</v>
      </c>
      <c r="B6155" s="0" t="s">
        <v>60</v>
      </c>
      <c r="C6155" s="0" t="n">
        <v>2011</v>
      </c>
      <c r="D6155" s="0" t="n">
        <v>7</v>
      </c>
      <c r="E6155" s="38" t="n">
        <v>10343162.4</v>
      </c>
    </row>
    <row r="6156" customFormat="false" ht="15" hidden="false" customHeight="false" outlineLevel="0" collapsed="false">
      <c r="A6156" s="0" t="n">
        <v>92</v>
      </c>
      <c r="B6156" s="0" t="s">
        <v>60</v>
      </c>
      <c r="C6156" s="0" t="n">
        <v>2011</v>
      </c>
      <c r="D6156" s="0" t="n">
        <v>8</v>
      </c>
      <c r="E6156" s="38" t="n">
        <v>9883002.92</v>
      </c>
    </row>
    <row r="6157" customFormat="false" ht="15" hidden="false" customHeight="false" outlineLevel="0" collapsed="false">
      <c r="A6157" s="0" t="n">
        <v>92</v>
      </c>
      <c r="B6157" s="0" t="s">
        <v>60</v>
      </c>
      <c r="C6157" s="0" t="n">
        <v>2011</v>
      </c>
      <c r="D6157" s="0" t="n">
        <v>9</v>
      </c>
      <c r="E6157" s="38" t="n">
        <v>10486512.61</v>
      </c>
    </row>
    <row r="6158" customFormat="false" ht="15" hidden="false" customHeight="false" outlineLevel="0" collapsed="false">
      <c r="A6158" s="0" t="n">
        <v>92</v>
      </c>
      <c r="B6158" s="0" t="s">
        <v>60</v>
      </c>
      <c r="C6158" s="0" t="n">
        <v>2011</v>
      </c>
      <c r="D6158" s="0" t="n">
        <v>10</v>
      </c>
      <c r="E6158" s="38" t="n">
        <v>11492936.38</v>
      </c>
    </row>
    <row r="6159" customFormat="false" ht="15" hidden="false" customHeight="false" outlineLevel="0" collapsed="false">
      <c r="A6159" s="0" t="n">
        <v>92</v>
      </c>
      <c r="B6159" s="0" t="s">
        <v>60</v>
      </c>
      <c r="C6159" s="0" t="n">
        <v>2011</v>
      </c>
      <c r="D6159" s="0" t="n">
        <v>11</v>
      </c>
      <c r="E6159" s="38" t="n">
        <v>11572527.88</v>
      </c>
    </row>
    <row r="6160" customFormat="false" ht="15" hidden="false" customHeight="false" outlineLevel="0" collapsed="false">
      <c r="A6160" s="0" t="n">
        <v>92</v>
      </c>
      <c r="B6160" s="0" t="s">
        <v>60</v>
      </c>
      <c r="C6160" s="0" t="n">
        <v>2011</v>
      </c>
      <c r="D6160" s="0" t="n">
        <v>12</v>
      </c>
      <c r="E6160" s="38" t="n">
        <v>10834389.14</v>
      </c>
    </row>
    <row r="6161" customFormat="false" ht="15" hidden="false" customHeight="false" outlineLevel="0" collapsed="false">
      <c r="A6161" s="0" t="n">
        <v>92</v>
      </c>
      <c r="B6161" s="0" t="s">
        <v>60</v>
      </c>
      <c r="C6161" s="0" t="n">
        <v>2012</v>
      </c>
      <c r="D6161" s="0" t="n">
        <v>1</v>
      </c>
      <c r="E6161" s="38" t="n">
        <v>9905770.63</v>
      </c>
    </row>
    <row r="6162" customFormat="false" ht="15" hidden="false" customHeight="false" outlineLevel="0" collapsed="false">
      <c r="A6162" s="0" t="n">
        <v>92</v>
      </c>
      <c r="B6162" s="0" t="s">
        <v>60</v>
      </c>
      <c r="C6162" s="0" t="n">
        <v>2012</v>
      </c>
      <c r="D6162" s="0" t="n">
        <v>2</v>
      </c>
      <c r="E6162" s="38" t="n">
        <v>10445193.67</v>
      </c>
    </row>
    <row r="6163" customFormat="false" ht="15" hidden="false" customHeight="false" outlineLevel="0" collapsed="false">
      <c r="A6163" s="0" t="n">
        <v>92</v>
      </c>
      <c r="B6163" s="0" t="s">
        <v>60</v>
      </c>
      <c r="C6163" s="0" t="n">
        <v>2012</v>
      </c>
      <c r="D6163" s="0" t="n">
        <v>3</v>
      </c>
      <c r="E6163" s="38" t="n">
        <v>10088662.63</v>
      </c>
    </row>
    <row r="6164" customFormat="false" ht="15" hidden="false" customHeight="false" outlineLevel="0" collapsed="false">
      <c r="A6164" s="0" t="n">
        <v>92</v>
      </c>
      <c r="B6164" s="0" t="s">
        <v>60</v>
      </c>
      <c r="C6164" s="0" t="n">
        <v>2012</v>
      </c>
      <c r="D6164" s="0" t="n">
        <v>4</v>
      </c>
      <c r="E6164" s="38" t="n">
        <v>10222670.47</v>
      </c>
    </row>
    <row r="6165" customFormat="false" ht="15" hidden="false" customHeight="false" outlineLevel="0" collapsed="false">
      <c r="A6165" s="0" t="n">
        <v>92</v>
      </c>
      <c r="B6165" s="0" t="s">
        <v>60</v>
      </c>
      <c r="C6165" s="0" t="n">
        <v>2012</v>
      </c>
      <c r="D6165" s="0" t="n">
        <v>5</v>
      </c>
      <c r="E6165" s="38" t="n">
        <v>9918198.39</v>
      </c>
    </row>
    <row r="6166" customFormat="false" ht="15" hidden="false" customHeight="false" outlineLevel="0" collapsed="false">
      <c r="A6166" s="0" t="n">
        <v>92</v>
      </c>
      <c r="B6166" s="0" t="s">
        <v>60</v>
      </c>
      <c r="C6166" s="0" t="n">
        <v>2012</v>
      </c>
      <c r="D6166" s="0" t="n">
        <v>6</v>
      </c>
      <c r="E6166" s="38" t="n">
        <v>10319984.18</v>
      </c>
    </row>
    <row r="6167" customFormat="false" ht="15" hidden="false" customHeight="false" outlineLevel="0" collapsed="false">
      <c r="A6167" s="0" t="n">
        <v>92</v>
      </c>
      <c r="B6167" s="0" t="s">
        <v>60</v>
      </c>
      <c r="C6167" s="0" t="n">
        <v>2012</v>
      </c>
      <c r="D6167" s="0" t="n">
        <v>7</v>
      </c>
      <c r="E6167" s="38" t="n">
        <v>10892461.89</v>
      </c>
    </row>
    <row r="6168" customFormat="false" ht="15" hidden="false" customHeight="false" outlineLevel="0" collapsed="false">
      <c r="A6168" s="0" t="n">
        <v>92</v>
      </c>
      <c r="B6168" s="0" t="s">
        <v>60</v>
      </c>
      <c r="C6168" s="0" t="n">
        <v>2012</v>
      </c>
      <c r="D6168" s="0" t="n">
        <v>8</v>
      </c>
      <c r="E6168" s="38" t="n">
        <v>10433546.96</v>
      </c>
    </row>
    <row r="6169" customFormat="false" ht="15" hidden="false" customHeight="false" outlineLevel="0" collapsed="false">
      <c r="A6169" s="0" t="n">
        <v>92</v>
      </c>
      <c r="B6169" s="0" t="s">
        <v>60</v>
      </c>
      <c r="C6169" s="0" t="n">
        <v>2012</v>
      </c>
      <c r="D6169" s="0" t="n">
        <v>9</v>
      </c>
      <c r="E6169" s="38" t="n">
        <v>11488062.37</v>
      </c>
    </row>
    <row r="6170" customFormat="false" ht="15" hidden="false" customHeight="false" outlineLevel="0" collapsed="false">
      <c r="A6170" s="0" t="n">
        <v>92</v>
      </c>
      <c r="B6170" s="0" t="s">
        <v>60</v>
      </c>
      <c r="C6170" s="0" t="n">
        <v>2012</v>
      </c>
      <c r="D6170" s="0" t="n">
        <v>10</v>
      </c>
      <c r="E6170" s="38" t="n">
        <v>12275258.24</v>
      </c>
    </row>
    <row r="6171" customFormat="false" ht="15" hidden="false" customHeight="false" outlineLevel="0" collapsed="false">
      <c r="A6171" s="0" t="n">
        <v>92</v>
      </c>
      <c r="B6171" s="0" t="s">
        <v>60</v>
      </c>
      <c r="C6171" s="0" t="n">
        <v>2012</v>
      </c>
      <c r="D6171" s="0" t="n">
        <v>11</v>
      </c>
      <c r="E6171" s="38" t="n">
        <v>12601120.95</v>
      </c>
    </row>
    <row r="6172" customFormat="false" ht="15" hidden="false" customHeight="false" outlineLevel="0" collapsed="false">
      <c r="A6172" s="0" t="n">
        <v>92</v>
      </c>
      <c r="B6172" s="0" t="s">
        <v>60</v>
      </c>
      <c r="C6172" s="0" t="n">
        <v>2012</v>
      </c>
      <c r="D6172" s="0" t="n">
        <v>12</v>
      </c>
      <c r="E6172" s="38" t="n">
        <v>11576547.49</v>
      </c>
    </row>
    <row r="6173" customFormat="false" ht="15" hidden="false" customHeight="false" outlineLevel="0" collapsed="false">
      <c r="A6173" s="0" t="n">
        <v>92</v>
      </c>
      <c r="B6173" s="0" t="s">
        <v>60</v>
      </c>
      <c r="C6173" s="0" t="n">
        <v>2013</v>
      </c>
      <c r="D6173" s="0" t="n">
        <v>1</v>
      </c>
      <c r="E6173" s="38" t="n">
        <v>10958653.33</v>
      </c>
    </row>
    <row r="6174" customFormat="false" ht="15" hidden="false" customHeight="false" outlineLevel="0" collapsed="false">
      <c r="A6174" s="0" t="n">
        <v>92</v>
      </c>
      <c r="B6174" s="0" t="s">
        <v>60</v>
      </c>
      <c r="C6174" s="0" t="n">
        <v>2013</v>
      </c>
      <c r="D6174" s="0" t="n">
        <v>2</v>
      </c>
      <c r="E6174" s="38" t="n">
        <v>11100679.7</v>
      </c>
    </row>
    <row r="6175" customFormat="false" ht="15" hidden="false" customHeight="false" outlineLevel="0" collapsed="false">
      <c r="A6175" s="0" t="n">
        <v>92</v>
      </c>
      <c r="B6175" s="0" t="s">
        <v>60</v>
      </c>
      <c r="C6175" s="0" t="n">
        <v>2013</v>
      </c>
      <c r="D6175" s="0" t="n">
        <v>3</v>
      </c>
      <c r="E6175" s="38" t="n">
        <v>10796055.32</v>
      </c>
    </row>
    <row r="6176" customFormat="false" ht="15" hidden="false" customHeight="false" outlineLevel="0" collapsed="false">
      <c r="A6176" s="0" t="n">
        <v>92</v>
      </c>
      <c r="B6176" s="0" t="s">
        <v>60</v>
      </c>
      <c r="C6176" s="0" t="n">
        <v>2013</v>
      </c>
      <c r="D6176" s="0" t="n">
        <v>4</v>
      </c>
      <c r="E6176" s="38" t="n">
        <v>10849895.31</v>
      </c>
    </row>
    <row r="6177" customFormat="false" ht="15" hidden="false" customHeight="false" outlineLevel="0" collapsed="false">
      <c r="A6177" s="0" t="n">
        <v>92</v>
      </c>
      <c r="B6177" s="0" t="s">
        <v>60</v>
      </c>
      <c r="C6177" s="0" t="n">
        <v>2013</v>
      </c>
      <c r="D6177" s="0" t="n">
        <v>5</v>
      </c>
      <c r="E6177" s="38" t="n">
        <v>10596551.38</v>
      </c>
    </row>
    <row r="6178" customFormat="false" ht="15" hidden="false" customHeight="false" outlineLevel="0" collapsed="false">
      <c r="A6178" s="0" t="n">
        <v>92</v>
      </c>
      <c r="B6178" s="0" t="s">
        <v>60</v>
      </c>
      <c r="C6178" s="0" t="n">
        <v>2013</v>
      </c>
      <c r="D6178" s="0" t="n">
        <v>6</v>
      </c>
      <c r="E6178" s="38" t="n">
        <v>10971944.51</v>
      </c>
    </row>
    <row r="6179" customFormat="false" ht="15" hidden="false" customHeight="false" outlineLevel="0" collapsed="false">
      <c r="A6179" s="0" t="n">
        <v>92</v>
      </c>
      <c r="B6179" s="0" t="s">
        <v>60</v>
      </c>
      <c r="C6179" s="0" t="n">
        <v>2013</v>
      </c>
      <c r="D6179" s="0" t="n">
        <v>7</v>
      </c>
      <c r="E6179" s="38" t="n">
        <v>11098148.42</v>
      </c>
    </row>
    <row r="6180" customFormat="false" ht="15" hidden="false" customHeight="false" outlineLevel="0" collapsed="false">
      <c r="A6180" s="0" t="n">
        <v>92</v>
      </c>
      <c r="B6180" s="0" t="s">
        <v>60</v>
      </c>
      <c r="C6180" s="0" t="n">
        <v>2013</v>
      </c>
      <c r="D6180" s="0" t="n">
        <v>8</v>
      </c>
      <c r="E6180" s="38" t="n">
        <v>10971159.59</v>
      </c>
    </row>
    <row r="6181" customFormat="false" ht="15" hidden="false" customHeight="false" outlineLevel="0" collapsed="false">
      <c r="A6181" s="0" t="n">
        <v>92</v>
      </c>
      <c r="B6181" s="0" t="s">
        <v>62</v>
      </c>
      <c r="C6181" s="0" t="n">
        <v>2011</v>
      </c>
      <c r="D6181" s="0" t="n">
        <v>1</v>
      </c>
      <c r="E6181" s="38" t="n">
        <v>2093353.32</v>
      </c>
    </row>
    <row r="6182" customFormat="false" ht="15" hidden="false" customHeight="false" outlineLevel="0" collapsed="false">
      <c r="A6182" s="0" t="n">
        <v>92</v>
      </c>
      <c r="B6182" s="0" t="s">
        <v>62</v>
      </c>
      <c r="C6182" s="0" t="n">
        <v>2011</v>
      </c>
      <c r="D6182" s="0" t="n">
        <v>2</v>
      </c>
      <c r="E6182" s="38" t="n">
        <v>2197614.39</v>
      </c>
    </row>
    <row r="6183" customFormat="false" ht="15" hidden="false" customHeight="false" outlineLevel="0" collapsed="false">
      <c r="A6183" s="0" t="n">
        <v>92</v>
      </c>
      <c r="B6183" s="0" t="s">
        <v>62</v>
      </c>
      <c r="C6183" s="0" t="n">
        <v>2011</v>
      </c>
      <c r="D6183" s="0" t="n">
        <v>3</v>
      </c>
      <c r="E6183" s="38" t="n">
        <v>1984539.01</v>
      </c>
    </row>
    <row r="6184" customFormat="false" ht="15" hidden="false" customHeight="false" outlineLevel="0" collapsed="false">
      <c r="A6184" s="0" t="n">
        <v>92</v>
      </c>
      <c r="B6184" s="0" t="s">
        <v>62</v>
      </c>
      <c r="C6184" s="0" t="n">
        <v>2011</v>
      </c>
      <c r="D6184" s="0" t="n">
        <v>4</v>
      </c>
      <c r="E6184" s="38" t="n">
        <v>2105931.35</v>
      </c>
    </row>
    <row r="6185" customFormat="false" ht="15" hidden="false" customHeight="false" outlineLevel="0" collapsed="false">
      <c r="A6185" s="0" t="n">
        <v>92</v>
      </c>
      <c r="B6185" s="0" t="s">
        <v>62</v>
      </c>
      <c r="C6185" s="0" t="n">
        <v>2011</v>
      </c>
      <c r="D6185" s="0" t="n">
        <v>5</v>
      </c>
      <c r="E6185" s="38" t="n">
        <v>2105418.56</v>
      </c>
    </row>
    <row r="6186" customFormat="false" ht="15" hidden="false" customHeight="false" outlineLevel="0" collapsed="false">
      <c r="A6186" s="0" t="n">
        <v>92</v>
      </c>
      <c r="B6186" s="0" t="s">
        <v>62</v>
      </c>
      <c r="C6186" s="0" t="n">
        <v>2011</v>
      </c>
      <c r="D6186" s="0" t="n">
        <v>6</v>
      </c>
      <c r="E6186" s="38" t="n">
        <v>2062630.33</v>
      </c>
    </row>
    <row r="6187" customFormat="false" ht="15" hidden="false" customHeight="false" outlineLevel="0" collapsed="false">
      <c r="A6187" s="0" t="n">
        <v>92</v>
      </c>
      <c r="B6187" s="0" t="s">
        <v>62</v>
      </c>
      <c r="C6187" s="0" t="n">
        <v>2011</v>
      </c>
      <c r="D6187" s="0" t="n">
        <v>7</v>
      </c>
      <c r="E6187" s="38" t="n">
        <v>2150780.6</v>
      </c>
    </row>
    <row r="6188" customFormat="false" ht="15" hidden="false" customHeight="false" outlineLevel="0" collapsed="false">
      <c r="A6188" s="0" t="n">
        <v>92</v>
      </c>
      <c r="B6188" s="0" t="s">
        <v>62</v>
      </c>
      <c r="C6188" s="0" t="n">
        <v>2011</v>
      </c>
      <c r="D6188" s="0" t="n">
        <v>8</v>
      </c>
      <c r="E6188" s="38" t="n">
        <v>2104540.99</v>
      </c>
    </row>
    <row r="6189" customFormat="false" ht="15" hidden="false" customHeight="false" outlineLevel="0" collapsed="false">
      <c r="A6189" s="0" t="n">
        <v>92</v>
      </c>
      <c r="B6189" s="0" t="s">
        <v>62</v>
      </c>
      <c r="C6189" s="0" t="n">
        <v>2011</v>
      </c>
      <c r="D6189" s="0" t="n">
        <v>9</v>
      </c>
      <c r="E6189" s="38" t="n">
        <v>2196222.66</v>
      </c>
    </row>
    <row r="6190" customFormat="false" ht="15" hidden="false" customHeight="false" outlineLevel="0" collapsed="false">
      <c r="A6190" s="0" t="n">
        <v>92</v>
      </c>
      <c r="B6190" s="0" t="s">
        <v>62</v>
      </c>
      <c r="C6190" s="0" t="n">
        <v>2011</v>
      </c>
      <c r="D6190" s="0" t="n">
        <v>10</v>
      </c>
      <c r="E6190" s="38" t="n">
        <v>2481114.43</v>
      </c>
    </row>
    <row r="6191" customFormat="false" ht="15" hidden="false" customHeight="false" outlineLevel="0" collapsed="false">
      <c r="A6191" s="0" t="n">
        <v>92</v>
      </c>
      <c r="B6191" s="0" t="s">
        <v>62</v>
      </c>
      <c r="C6191" s="0" t="n">
        <v>2011</v>
      </c>
      <c r="D6191" s="0" t="n">
        <v>11</v>
      </c>
      <c r="E6191" s="38" t="n">
        <v>2454039.05</v>
      </c>
    </row>
    <row r="6192" customFormat="false" ht="15" hidden="false" customHeight="false" outlineLevel="0" collapsed="false">
      <c r="A6192" s="0" t="n">
        <v>92</v>
      </c>
      <c r="B6192" s="0" t="s">
        <v>62</v>
      </c>
      <c r="C6192" s="0" t="n">
        <v>2011</v>
      </c>
      <c r="D6192" s="0" t="n">
        <v>12</v>
      </c>
      <c r="E6192" s="38" t="n">
        <v>2377740.7</v>
      </c>
    </row>
    <row r="6193" customFormat="false" ht="15" hidden="false" customHeight="false" outlineLevel="0" collapsed="false">
      <c r="A6193" s="0" t="n">
        <v>92</v>
      </c>
      <c r="B6193" s="0" t="s">
        <v>62</v>
      </c>
      <c r="C6193" s="0" t="n">
        <v>2012</v>
      </c>
      <c r="D6193" s="0" t="n">
        <v>1</v>
      </c>
      <c r="E6193" s="38" t="n">
        <v>2119348.15</v>
      </c>
    </row>
    <row r="6194" customFormat="false" ht="15" hidden="false" customHeight="false" outlineLevel="0" collapsed="false">
      <c r="A6194" s="0" t="n">
        <v>92</v>
      </c>
      <c r="B6194" s="0" t="s">
        <v>62</v>
      </c>
      <c r="C6194" s="0" t="n">
        <v>2012</v>
      </c>
      <c r="D6194" s="0" t="n">
        <v>2</v>
      </c>
      <c r="E6194" s="38" t="n">
        <v>2292936.84</v>
      </c>
    </row>
    <row r="6195" customFormat="false" ht="15" hidden="false" customHeight="false" outlineLevel="0" collapsed="false">
      <c r="A6195" s="0" t="n">
        <v>92</v>
      </c>
      <c r="B6195" s="0" t="s">
        <v>62</v>
      </c>
      <c r="C6195" s="0" t="n">
        <v>2012</v>
      </c>
      <c r="D6195" s="0" t="n">
        <v>3</v>
      </c>
      <c r="E6195" s="38" t="n">
        <v>2114465</v>
      </c>
    </row>
    <row r="6196" customFormat="false" ht="15" hidden="false" customHeight="false" outlineLevel="0" collapsed="false">
      <c r="A6196" s="0" t="n">
        <v>92</v>
      </c>
      <c r="B6196" s="0" t="s">
        <v>62</v>
      </c>
      <c r="C6196" s="0" t="n">
        <v>2012</v>
      </c>
      <c r="D6196" s="0" t="n">
        <v>4</v>
      </c>
      <c r="E6196" s="38" t="n">
        <v>2175531.1</v>
      </c>
    </row>
    <row r="6197" customFormat="false" ht="15" hidden="false" customHeight="false" outlineLevel="0" collapsed="false">
      <c r="A6197" s="0" t="n">
        <v>92</v>
      </c>
      <c r="B6197" s="0" t="s">
        <v>62</v>
      </c>
      <c r="C6197" s="0" t="n">
        <v>2012</v>
      </c>
      <c r="D6197" s="0" t="n">
        <v>5</v>
      </c>
      <c r="E6197" s="38" t="n">
        <v>2180108.13</v>
      </c>
    </row>
    <row r="6198" customFormat="false" ht="15" hidden="false" customHeight="false" outlineLevel="0" collapsed="false">
      <c r="A6198" s="0" t="n">
        <v>92</v>
      </c>
      <c r="B6198" s="0" t="s">
        <v>62</v>
      </c>
      <c r="C6198" s="0" t="n">
        <v>2012</v>
      </c>
      <c r="D6198" s="0" t="n">
        <v>6</v>
      </c>
      <c r="E6198" s="38" t="n">
        <v>2234285.23</v>
      </c>
    </row>
    <row r="6199" customFormat="false" ht="15" hidden="false" customHeight="false" outlineLevel="0" collapsed="false">
      <c r="A6199" s="0" t="n">
        <v>92</v>
      </c>
      <c r="B6199" s="0" t="s">
        <v>62</v>
      </c>
      <c r="C6199" s="0" t="n">
        <v>2012</v>
      </c>
      <c r="D6199" s="0" t="n">
        <v>7</v>
      </c>
      <c r="E6199" s="38" t="n">
        <v>2382239.1</v>
      </c>
    </row>
    <row r="6200" customFormat="false" ht="15" hidden="false" customHeight="false" outlineLevel="0" collapsed="false">
      <c r="A6200" s="0" t="n">
        <v>92</v>
      </c>
      <c r="B6200" s="0" t="s">
        <v>62</v>
      </c>
      <c r="C6200" s="0" t="n">
        <v>2012</v>
      </c>
      <c r="D6200" s="0" t="n">
        <v>8</v>
      </c>
      <c r="E6200" s="38" t="n">
        <v>2407744.92</v>
      </c>
    </row>
    <row r="6201" customFormat="false" ht="15" hidden="false" customHeight="false" outlineLevel="0" collapsed="false">
      <c r="A6201" s="0" t="n">
        <v>92</v>
      </c>
      <c r="B6201" s="0" t="s">
        <v>62</v>
      </c>
      <c r="C6201" s="0" t="n">
        <v>2012</v>
      </c>
      <c r="D6201" s="0" t="n">
        <v>9</v>
      </c>
      <c r="E6201" s="38" t="n">
        <v>2665181.76</v>
      </c>
    </row>
    <row r="6202" customFormat="false" ht="15" hidden="false" customHeight="false" outlineLevel="0" collapsed="false">
      <c r="A6202" s="0" t="n">
        <v>92</v>
      </c>
      <c r="B6202" s="0" t="s">
        <v>62</v>
      </c>
      <c r="C6202" s="0" t="n">
        <v>2012</v>
      </c>
      <c r="D6202" s="0" t="n">
        <v>10</v>
      </c>
      <c r="E6202" s="38" t="n">
        <v>2792553.57</v>
      </c>
    </row>
    <row r="6203" customFormat="false" ht="15" hidden="false" customHeight="false" outlineLevel="0" collapsed="false">
      <c r="A6203" s="0" t="n">
        <v>92</v>
      </c>
      <c r="B6203" s="0" t="s">
        <v>62</v>
      </c>
      <c r="C6203" s="0" t="n">
        <v>2012</v>
      </c>
      <c r="D6203" s="0" t="n">
        <v>11</v>
      </c>
      <c r="E6203" s="38" t="n">
        <v>2867467.22</v>
      </c>
    </row>
    <row r="6204" customFormat="false" ht="15" hidden="false" customHeight="false" outlineLevel="0" collapsed="false">
      <c r="A6204" s="0" t="n">
        <v>92</v>
      </c>
      <c r="B6204" s="0" t="s">
        <v>62</v>
      </c>
      <c r="C6204" s="0" t="n">
        <v>2012</v>
      </c>
      <c r="D6204" s="0" t="n">
        <v>12</v>
      </c>
      <c r="E6204" s="38" t="n">
        <v>2769353.84</v>
      </c>
    </row>
    <row r="6205" customFormat="false" ht="15" hidden="false" customHeight="false" outlineLevel="0" collapsed="false">
      <c r="A6205" s="0" t="n">
        <v>92</v>
      </c>
      <c r="B6205" s="0" t="s">
        <v>62</v>
      </c>
      <c r="C6205" s="0" t="n">
        <v>2013</v>
      </c>
      <c r="D6205" s="0" t="n">
        <v>1</v>
      </c>
      <c r="E6205" s="38" t="n">
        <v>2596719.93</v>
      </c>
    </row>
    <row r="6206" customFormat="false" ht="15" hidden="false" customHeight="false" outlineLevel="0" collapsed="false">
      <c r="A6206" s="0" t="n">
        <v>92</v>
      </c>
      <c r="B6206" s="0" t="s">
        <v>62</v>
      </c>
      <c r="C6206" s="0" t="n">
        <v>2013</v>
      </c>
      <c r="D6206" s="0" t="n">
        <v>2</v>
      </c>
      <c r="E6206" s="38" t="n">
        <v>2670686.48</v>
      </c>
    </row>
    <row r="6207" customFormat="false" ht="15" hidden="false" customHeight="false" outlineLevel="0" collapsed="false">
      <c r="A6207" s="0" t="n">
        <v>92</v>
      </c>
      <c r="B6207" s="0" t="s">
        <v>62</v>
      </c>
      <c r="C6207" s="0" t="n">
        <v>2013</v>
      </c>
      <c r="D6207" s="0" t="n">
        <v>3</v>
      </c>
      <c r="E6207" s="38" t="n">
        <v>2504912.74</v>
      </c>
    </row>
    <row r="6208" customFormat="false" ht="15" hidden="false" customHeight="false" outlineLevel="0" collapsed="false">
      <c r="A6208" s="0" t="n">
        <v>92</v>
      </c>
      <c r="B6208" s="0" t="s">
        <v>62</v>
      </c>
      <c r="C6208" s="0" t="n">
        <v>2013</v>
      </c>
      <c r="D6208" s="0" t="n">
        <v>4</v>
      </c>
      <c r="E6208" s="38" t="n">
        <v>2585649.15</v>
      </c>
    </row>
    <row r="6209" customFormat="false" ht="15" hidden="false" customHeight="false" outlineLevel="0" collapsed="false">
      <c r="A6209" s="0" t="n">
        <v>92</v>
      </c>
      <c r="B6209" s="0" t="s">
        <v>62</v>
      </c>
      <c r="C6209" s="0" t="n">
        <v>2013</v>
      </c>
      <c r="D6209" s="0" t="n">
        <v>5</v>
      </c>
      <c r="E6209" s="38" t="n">
        <v>2554547.96</v>
      </c>
    </row>
    <row r="6210" customFormat="false" ht="15" hidden="false" customHeight="false" outlineLevel="0" collapsed="false">
      <c r="A6210" s="0" t="n">
        <v>92</v>
      </c>
      <c r="B6210" s="0" t="s">
        <v>62</v>
      </c>
      <c r="C6210" s="0" t="n">
        <v>2013</v>
      </c>
      <c r="D6210" s="0" t="n">
        <v>6</v>
      </c>
      <c r="E6210" s="38" t="n">
        <v>2654582.89</v>
      </c>
    </row>
    <row r="6211" customFormat="false" ht="15" hidden="false" customHeight="false" outlineLevel="0" collapsed="false">
      <c r="A6211" s="0" t="n">
        <v>92</v>
      </c>
      <c r="B6211" s="0" t="s">
        <v>62</v>
      </c>
      <c r="C6211" s="0" t="n">
        <v>2013</v>
      </c>
      <c r="D6211" s="0" t="n">
        <v>7</v>
      </c>
      <c r="E6211" s="38" t="n">
        <v>2692259.19</v>
      </c>
    </row>
    <row r="6212" customFormat="false" ht="15" hidden="false" customHeight="false" outlineLevel="0" collapsed="false">
      <c r="A6212" s="0" t="n">
        <v>92</v>
      </c>
      <c r="B6212" s="0" t="s">
        <v>62</v>
      </c>
      <c r="C6212" s="0" t="n">
        <v>2013</v>
      </c>
      <c r="D6212" s="0" t="n">
        <v>8</v>
      </c>
      <c r="E6212" s="38" t="n">
        <v>2755560.41</v>
      </c>
    </row>
    <row r="6213" customFormat="false" ht="15" hidden="false" customHeight="false" outlineLevel="0" collapsed="false">
      <c r="A6213" s="0" t="n">
        <v>92</v>
      </c>
      <c r="B6213" s="0" t="s">
        <v>64</v>
      </c>
      <c r="C6213" s="0" t="n">
        <v>2011</v>
      </c>
      <c r="D6213" s="0" t="n">
        <v>1</v>
      </c>
      <c r="E6213" s="38" t="n">
        <v>1488779.53</v>
      </c>
    </row>
    <row r="6214" customFormat="false" ht="15" hidden="false" customHeight="false" outlineLevel="0" collapsed="false">
      <c r="A6214" s="0" t="n">
        <v>92</v>
      </c>
      <c r="B6214" s="0" t="s">
        <v>64</v>
      </c>
      <c r="C6214" s="0" t="n">
        <v>2011</v>
      </c>
      <c r="D6214" s="0" t="n">
        <v>2</v>
      </c>
      <c r="E6214" s="38" t="n">
        <v>1569425.92</v>
      </c>
    </row>
    <row r="6215" customFormat="false" ht="15" hidden="false" customHeight="false" outlineLevel="0" collapsed="false">
      <c r="A6215" s="0" t="n">
        <v>92</v>
      </c>
      <c r="B6215" s="0" t="s">
        <v>64</v>
      </c>
      <c r="C6215" s="0" t="n">
        <v>2011</v>
      </c>
      <c r="D6215" s="0" t="n">
        <v>3</v>
      </c>
      <c r="E6215" s="38" t="n">
        <v>1468838.03</v>
      </c>
    </row>
    <row r="6216" customFormat="false" ht="15" hidden="false" customHeight="false" outlineLevel="0" collapsed="false">
      <c r="A6216" s="0" t="n">
        <v>92</v>
      </c>
      <c r="B6216" s="0" t="s">
        <v>64</v>
      </c>
      <c r="C6216" s="0" t="n">
        <v>2011</v>
      </c>
      <c r="D6216" s="0" t="n">
        <v>4</v>
      </c>
      <c r="E6216" s="38" t="n">
        <v>1515496.13</v>
      </c>
    </row>
    <row r="6217" customFormat="false" ht="15" hidden="false" customHeight="false" outlineLevel="0" collapsed="false">
      <c r="A6217" s="0" t="n">
        <v>92</v>
      </c>
      <c r="B6217" s="0" t="s">
        <v>64</v>
      </c>
      <c r="C6217" s="0" t="n">
        <v>2011</v>
      </c>
      <c r="D6217" s="0" t="n">
        <v>5</v>
      </c>
      <c r="E6217" s="38" t="n">
        <v>1444343.04</v>
      </c>
    </row>
    <row r="6218" customFormat="false" ht="15" hidden="false" customHeight="false" outlineLevel="0" collapsed="false">
      <c r="A6218" s="0" t="n">
        <v>92</v>
      </c>
      <c r="B6218" s="0" t="s">
        <v>64</v>
      </c>
      <c r="C6218" s="0" t="n">
        <v>2011</v>
      </c>
      <c r="D6218" s="0" t="n">
        <v>6</v>
      </c>
      <c r="E6218" s="38" t="n">
        <v>1482340.04</v>
      </c>
    </row>
    <row r="6219" customFormat="false" ht="15" hidden="false" customHeight="false" outlineLevel="0" collapsed="false">
      <c r="A6219" s="0" t="n">
        <v>92</v>
      </c>
      <c r="B6219" s="0" t="s">
        <v>64</v>
      </c>
      <c r="C6219" s="0" t="n">
        <v>2011</v>
      </c>
      <c r="D6219" s="0" t="n">
        <v>7</v>
      </c>
      <c r="E6219" s="38" t="n">
        <v>1553391.07</v>
      </c>
    </row>
    <row r="6220" customFormat="false" ht="15" hidden="false" customHeight="false" outlineLevel="0" collapsed="false">
      <c r="A6220" s="0" t="n">
        <v>92</v>
      </c>
      <c r="B6220" s="0" t="s">
        <v>64</v>
      </c>
      <c r="C6220" s="0" t="n">
        <v>2011</v>
      </c>
      <c r="D6220" s="0" t="n">
        <v>8</v>
      </c>
      <c r="E6220" s="38" t="n">
        <v>1510829.87</v>
      </c>
    </row>
    <row r="6221" customFormat="false" ht="15" hidden="false" customHeight="false" outlineLevel="0" collapsed="false">
      <c r="A6221" s="0" t="n">
        <v>92</v>
      </c>
      <c r="B6221" s="0" t="s">
        <v>64</v>
      </c>
      <c r="C6221" s="0" t="n">
        <v>2011</v>
      </c>
      <c r="D6221" s="0" t="n">
        <v>9</v>
      </c>
      <c r="E6221" s="38" t="n">
        <v>1590555.55</v>
      </c>
    </row>
    <row r="6222" customFormat="false" ht="15" hidden="false" customHeight="false" outlineLevel="0" collapsed="false">
      <c r="A6222" s="0" t="n">
        <v>92</v>
      </c>
      <c r="B6222" s="0" t="s">
        <v>64</v>
      </c>
      <c r="C6222" s="0" t="n">
        <v>2011</v>
      </c>
      <c r="D6222" s="0" t="n">
        <v>10</v>
      </c>
      <c r="E6222" s="38" t="n">
        <v>1650462.34</v>
      </c>
    </row>
    <row r="6223" customFormat="false" ht="15" hidden="false" customHeight="false" outlineLevel="0" collapsed="false">
      <c r="A6223" s="0" t="n">
        <v>92</v>
      </c>
      <c r="B6223" s="0" t="s">
        <v>64</v>
      </c>
      <c r="C6223" s="0" t="n">
        <v>2011</v>
      </c>
      <c r="D6223" s="0" t="n">
        <v>11</v>
      </c>
      <c r="E6223" s="38" t="n">
        <v>1631811.8</v>
      </c>
    </row>
    <row r="6224" customFormat="false" ht="15" hidden="false" customHeight="false" outlineLevel="0" collapsed="false">
      <c r="A6224" s="0" t="n">
        <v>92</v>
      </c>
      <c r="B6224" s="0" t="s">
        <v>64</v>
      </c>
      <c r="C6224" s="0" t="n">
        <v>2011</v>
      </c>
      <c r="D6224" s="0" t="n">
        <v>12</v>
      </c>
      <c r="E6224" s="38" t="n">
        <v>1657960.36</v>
      </c>
    </row>
    <row r="6225" customFormat="false" ht="15" hidden="false" customHeight="false" outlineLevel="0" collapsed="false">
      <c r="A6225" s="0" t="n">
        <v>92</v>
      </c>
      <c r="B6225" s="0" t="s">
        <v>64</v>
      </c>
      <c r="C6225" s="0" t="n">
        <v>2012</v>
      </c>
      <c r="D6225" s="0" t="n">
        <v>1</v>
      </c>
      <c r="E6225" s="38" t="n">
        <v>1472286.56</v>
      </c>
    </row>
    <row r="6226" customFormat="false" ht="15" hidden="false" customHeight="false" outlineLevel="0" collapsed="false">
      <c r="A6226" s="0" t="n">
        <v>92</v>
      </c>
      <c r="B6226" s="0" t="s">
        <v>64</v>
      </c>
      <c r="C6226" s="0" t="n">
        <v>2012</v>
      </c>
      <c r="D6226" s="0" t="n">
        <v>2</v>
      </c>
      <c r="E6226" s="38" t="n">
        <v>1548790.68</v>
      </c>
    </row>
    <row r="6227" customFormat="false" ht="15" hidden="false" customHeight="false" outlineLevel="0" collapsed="false">
      <c r="A6227" s="0" t="n">
        <v>92</v>
      </c>
      <c r="B6227" s="0" t="s">
        <v>64</v>
      </c>
      <c r="C6227" s="0" t="n">
        <v>2012</v>
      </c>
      <c r="D6227" s="0" t="n">
        <v>3</v>
      </c>
      <c r="E6227" s="38" t="n">
        <v>1485674.31</v>
      </c>
    </row>
    <row r="6228" customFormat="false" ht="15" hidden="false" customHeight="false" outlineLevel="0" collapsed="false">
      <c r="A6228" s="0" t="n">
        <v>92</v>
      </c>
      <c r="B6228" s="0" t="s">
        <v>64</v>
      </c>
      <c r="C6228" s="0" t="n">
        <v>2012</v>
      </c>
      <c r="D6228" s="0" t="n">
        <v>4</v>
      </c>
      <c r="E6228" s="38" t="n">
        <v>1525709.21</v>
      </c>
    </row>
    <row r="6229" customFormat="false" ht="15" hidden="false" customHeight="false" outlineLevel="0" collapsed="false">
      <c r="A6229" s="0" t="n">
        <v>92</v>
      </c>
      <c r="B6229" s="0" t="s">
        <v>64</v>
      </c>
      <c r="C6229" s="0" t="n">
        <v>2012</v>
      </c>
      <c r="D6229" s="0" t="n">
        <v>5</v>
      </c>
      <c r="E6229" s="38" t="n">
        <v>1441560.65</v>
      </c>
    </row>
    <row r="6230" customFormat="false" ht="15" hidden="false" customHeight="false" outlineLevel="0" collapsed="false">
      <c r="A6230" s="0" t="n">
        <v>92</v>
      </c>
      <c r="B6230" s="0" t="s">
        <v>64</v>
      </c>
      <c r="C6230" s="0" t="n">
        <v>2012</v>
      </c>
      <c r="D6230" s="0" t="n">
        <v>6</v>
      </c>
      <c r="E6230" s="38" t="n">
        <v>1517614.36</v>
      </c>
    </row>
    <row r="6231" customFormat="false" ht="15" hidden="false" customHeight="false" outlineLevel="0" collapsed="false">
      <c r="A6231" s="0" t="n">
        <v>92</v>
      </c>
      <c r="B6231" s="0" t="s">
        <v>64</v>
      </c>
      <c r="C6231" s="0" t="n">
        <v>2012</v>
      </c>
      <c r="D6231" s="0" t="n">
        <v>7</v>
      </c>
      <c r="E6231" s="38" t="n">
        <v>1547390.2</v>
      </c>
    </row>
    <row r="6232" customFormat="false" ht="15" hidden="false" customHeight="false" outlineLevel="0" collapsed="false">
      <c r="A6232" s="0" t="n">
        <v>92</v>
      </c>
      <c r="B6232" s="0" t="s">
        <v>64</v>
      </c>
      <c r="C6232" s="0" t="n">
        <v>2012</v>
      </c>
      <c r="D6232" s="0" t="n">
        <v>8</v>
      </c>
      <c r="E6232" s="38" t="n">
        <v>1524006.5</v>
      </c>
    </row>
    <row r="6233" customFormat="false" ht="15" hidden="false" customHeight="false" outlineLevel="0" collapsed="false">
      <c r="A6233" s="0" t="n">
        <v>92</v>
      </c>
      <c r="B6233" s="0" t="s">
        <v>64</v>
      </c>
      <c r="C6233" s="0" t="n">
        <v>2012</v>
      </c>
      <c r="D6233" s="0" t="n">
        <v>9</v>
      </c>
      <c r="E6233" s="38" t="n">
        <v>1678138.7</v>
      </c>
    </row>
    <row r="6234" customFormat="false" ht="15" hidden="false" customHeight="false" outlineLevel="0" collapsed="false">
      <c r="A6234" s="0" t="n">
        <v>92</v>
      </c>
      <c r="B6234" s="0" t="s">
        <v>64</v>
      </c>
      <c r="C6234" s="0" t="n">
        <v>2012</v>
      </c>
      <c r="D6234" s="0" t="n">
        <v>10</v>
      </c>
      <c r="E6234" s="38" t="n">
        <v>1786287.57</v>
      </c>
    </row>
    <row r="6235" customFormat="false" ht="15" hidden="false" customHeight="false" outlineLevel="0" collapsed="false">
      <c r="A6235" s="0" t="n">
        <v>92</v>
      </c>
      <c r="B6235" s="0" t="s">
        <v>64</v>
      </c>
      <c r="C6235" s="0" t="n">
        <v>2012</v>
      </c>
      <c r="D6235" s="0" t="n">
        <v>11</v>
      </c>
      <c r="E6235" s="38" t="n">
        <v>1807758.44</v>
      </c>
    </row>
    <row r="6236" customFormat="false" ht="15" hidden="false" customHeight="false" outlineLevel="0" collapsed="false">
      <c r="A6236" s="0" t="n">
        <v>92</v>
      </c>
      <c r="B6236" s="0" t="s">
        <v>64</v>
      </c>
      <c r="C6236" s="0" t="n">
        <v>2012</v>
      </c>
      <c r="D6236" s="0" t="n">
        <v>12</v>
      </c>
      <c r="E6236" s="38" t="n">
        <v>1778914.03</v>
      </c>
    </row>
    <row r="6237" customFormat="false" ht="15" hidden="false" customHeight="false" outlineLevel="0" collapsed="false">
      <c r="A6237" s="0" t="n">
        <v>92</v>
      </c>
      <c r="B6237" s="0" t="s">
        <v>64</v>
      </c>
      <c r="C6237" s="0" t="n">
        <v>2013</v>
      </c>
      <c r="D6237" s="0" t="n">
        <v>1</v>
      </c>
      <c r="E6237" s="38" t="n">
        <v>1639335.92</v>
      </c>
    </row>
    <row r="6238" customFormat="false" ht="15" hidden="false" customHeight="false" outlineLevel="0" collapsed="false">
      <c r="A6238" s="0" t="n">
        <v>92</v>
      </c>
      <c r="B6238" s="0" t="s">
        <v>64</v>
      </c>
      <c r="C6238" s="0" t="n">
        <v>2013</v>
      </c>
      <c r="D6238" s="0" t="n">
        <v>2</v>
      </c>
      <c r="E6238" s="38" t="n">
        <v>1673152.45</v>
      </c>
    </row>
    <row r="6239" customFormat="false" ht="15" hidden="false" customHeight="false" outlineLevel="0" collapsed="false">
      <c r="A6239" s="0" t="n">
        <v>92</v>
      </c>
      <c r="B6239" s="0" t="s">
        <v>64</v>
      </c>
      <c r="C6239" s="0" t="n">
        <v>2013</v>
      </c>
      <c r="D6239" s="0" t="n">
        <v>3</v>
      </c>
      <c r="E6239" s="38" t="n">
        <v>1614438.15</v>
      </c>
    </row>
    <row r="6240" customFormat="false" ht="15" hidden="false" customHeight="false" outlineLevel="0" collapsed="false">
      <c r="A6240" s="0" t="n">
        <v>92</v>
      </c>
      <c r="B6240" s="0" t="s">
        <v>64</v>
      </c>
      <c r="C6240" s="0" t="n">
        <v>2013</v>
      </c>
      <c r="D6240" s="0" t="n">
        <v>4</v>
      </c>
      <c r="E6240" s="38" t="n">
        <v>1609963.21</v>
      </c>
    </row>
    <row r="6241" customFormat="false" ht="15" hidden="false" customHeight="false" outlineLevel="0" collapsed="false">
      <c r="A6241" s="0" t="n">
        <v>92</v>
      </c>
      <c r="B6241" s="0" t="s">
        <v>64</v>
      </c>
      <c r="C6241" s="0" t="n">
        <v>2013</v>
      </c>
      <c r="D6241" s="0" t="n">
        <v>5</v>
      </c>
      <c r="E6241" s="38" t="n">
        <v>1544817.7</v>
      </c>
    </row>
    <row r="6242" customFormat="false" ht="15" hidden="false" customHeight="false" outlineLevel="0" collapsed="false">
      <c r="A6242" s="0" t="n">
        <v>92</v>
      </c>
      <c r="B6242" s="0" t="s">
        <v>64</v>
      </c>
      <c r="C6242" s="0" t="n">
        <v>2013</v>
      </c>
      <c r="D6242" s="0" t="n">
        <v>6</v>
      </c>
      <c r="E6242" s="38" t="n">
        <v>1607370.39</v>
      </c>
    </row>
    <row r="6243" customFormat="false" ht="15" hidden="false" customHeight="false" outlineLevel="0" collapsed="false">
      <c r="A6243" s="0" t="n">
        <v>92</v>
      </c>
      <c r="B6243" s="0" t="s">
        <v>64</v>
      </c>
      <c r="C6243" s="0" t="n">
        <v>2013</v>
      </c>
      <c r="D6243" s="0" t="n">
        <v>7</v>
      </c>
      <c r="E6243" s="38" t="n">
        <v>1608411.46</v>
      </c>
    </row>
    <row r="6244" customFormat="false" ht="15" hidden="false" customHeight="false" outlineLevel="0" collapsed="false">
      <c r="A6244" s="0" t="n">
        <v>92</v>
      </c>
      <c r="B6244" s="0" t="s">
        <v>64</v>
      </c>
      <c r="C6244" s="0" t="n">
        <v>2013</v>
      </c>
      <c r="D6244" s="0" t="n">
        <v>8</v>
      </c>
      <c r="E6244" s="38" t="n">
        <v>1629291.67</v>
      </c>
    </row>
    <row r="6245" customFormat="false" ht="15" hidden="false" customHeight="false" outlineLevel="0" collapsed="false">
      <c r="A6245" s="0" t="n">
        <v>93</v>
      </c>
      <c r="B6245" s="0" t="s">
        <v>60</v>
      </c>
      <c r="C6245" s="0" t="n">
        <v>2011</v>
      </c>
      <c r="D6245" s="0" t="n">
        <v>1</v>
      </c>
      <c r="E6245" s="38" t="n">
        <v>3572987.09</v>
      </c>
    </row>
    <row r="6246" customFormat="false" ht="15" hidden="false" customHeight="false" outlineLevel="0" collapsed="false">
      <c r="A6246" s="0" t="n">
        <v>93</v>
      </c>
      <c r="B6246" s="0" t="s">
        <v>60</v>
      </c>
      <c r="C6246" s="0" t="n">
        <v>2011</v>
      </c>
      <c r="D6246" s="0" t="n">
        <v>2</v>
      </c>
      <c r="E6246" s="38" t="n">
        <v>3898894.6</v>
      </c>
    </row>
    <row r="6247" customFormat="false" ht="15" hidden="false" customHeight="false" outlineLevel="0" collapsed="false">
      <c r="A6247" s="0" t="n">
        <v>93</v>
      </c>
      <c r="B6247" s="0" t="s">
        <v>60</v>
      </c>
      <c r="C6247" s="0" t="n">
        <v>2011</v>
      </c>
      <c r="D6247" s="0" t="n">
        <v>3</v>
      </c>
      <c r="E6247" s="38" t="n">
        <v>3810535.37</v>
      </c>
    </row>
    <row r="6248" customFormat="false" ht="15" hidden="false" customHeight="false" outlineLevel="0" collapsed="false">
      <c r="A6248" s="0" t="n">
        <v>93</v>
      </c>
      <c r="B6248" s="0" t="s">
        <v>60</v>
      </c>
      <c r="C6248" s="0" t="n">
        <v>2011</v>
      </c>
      <c r="D6248" s="0" t="n">
        <v>4</v>
      </c>
      <c r="E6248" s="38" t="n">
        <v>4211942.14</v>
      </c>
    </row>
    <row r="6249" customFormat="false" ht="15" hidden="false" customHeight="false" outlineLevel="0" collapsed="false">
      <c r="A6249" s="0" t="n">
        <v>93</v>
      </c>
      <c r="B6249" s="0" t="s">
        <v>60</v>
      </c>
      <c r="C6249" s="0" t="n">
        <v>2011</v>
      </c>
      <c r="D6249" s="0" t="n">
        <v>5</v>
      </c>
      <c r="E6249" s="38" t="n">
        <v>4143409.21</v>
      </c>
    </row>
    <row r="6250" customFormat="false" ht="15" hidden="false" customHeight="false" outlineLevel="0" collapsed="false">
      <c r="A6250" s="0" t="n">
        <v>93</v>
      </c>
      <c r="B6250" s="0" t="s">
        <v>60</v>
      </c>
      <c r="C6250" s="0" t="n">
        <v>2011</v>
      </c>
      <c r="D6250" s="0" t="n">
        <v>6</v>
      </c>
      <c r="E6250" s="38" t="n">
        <v>4126817.95</v>
      </c>
    </row>
    <row r="6251" customFormat="false" ht="15" hidden="false" customHeight="false" outlineLevel="0" collapsed="false">
      <c r="A6251" s="0" t="n">
        <v>93</v>
      </c>
      <c r="B6251" s="0" t="s">
        <v>60</v>
      </c>
      <c r="C6251" s="0" t="n">
        <v>2011</v>
      </c>
      <c r="D6251" s="0" t="n">
        <v>7</v>
      </c>
      <c r="E6251" s="38" t="n">
        <v>4030754.41</v>
      </c>
    </row>
    <row r="6252" customFormat="false" ht="15" hidden="false" customHeight="false" outlineLevel="0" collapsed="false">
      <c r="A6252" s="0" t="n">
        <v>93</v>
      </c>
      <c r="B6252" s="0" t="s">
        <v>60</v>
      </c>
      <c r="C6252" s="0" t="n">
        <v>2011</v>
      </c>
      <c r="D6252" s="0" t="n">
        <v>8</v>
      </c>
      <c r="E6252" s="38" t="n">
        <v>3885509.33</v>
      </c>
    </row>
    <row r="6253" customFormat="false" ht="15" hidden="false" customHeight="false" outlineLevel="0" collapsed="false">
      <c r="A6253" s="0" t="n">
        <v>93</v>
      </c>
      <c r="B6253" s="0" t="s">
        <v>60</v>
      </c>
      <c r="C6253" s="0" t="n">
        <v>2011</v>
      </c>
      <c r="D6253" s="0" t="n">
        <v>9</v>
      </c>
      <c r="E6253" s="38" t="n">
        <v>3951679.51</v>
      </c>
    </row>
    <row r="6254" customFormat="false" ht="15" hidden="false" customHeight="false" outlineLevel="0" collapsed="false">
      <c r="A6254" s="0" t="n">
        <v>93</v>
      </c>
      <c r="B6254" s="0" t="s">
        <v>60</v>
      </c>
      <c r="C6254" s="0" t="n">
        <v>2011</v>
      </c>
      <c r="D6254" s="0" t="n">
        <v>10</v>
      </c>
      <c r="E6254" s="38" t="n">
        <v>4276246.91</v>
      </c>
    </row>
    <row r="6255" customFormat="false" ht="15" hidden="false" customHeight="false" outlineLevel="0" collapsed="false">
      <c r="A6255" s="0" t="n">
        <v>93</v>
      </c>
      <c r="B6255" s="0" t="s">
        <v>60</v>
      </c>
      <c r="C6255" s="0" t="n">
        <v>2011</v>
      </c>
      <c r="D6255" s="0" t="n">
        <v>11</v>
      </c>
      <c r="E6255" s="38" t="n">
        <v>4263131.66</v>
      </c>
    </row>
    <row r="6256" customFormat="false" ht="15" hidden="false" customHeight="false" outlineLevel="0" collapsed="false">
      <c r="A6256" s="0" t="n">
        <v>93</v>
      </c>
      <c r="B6256" s="0" t="s">
        <v>60</v>
      </c>
      <c r="C6256" s="0" t="n">
        <v>2011</v>
      </c>
      <c r="D6256" s="0" t="n">
        <v>12</v>
      </c>
      <c r="E6256" s="38" t="n">
        <v>4086755.11</v>
      </c>
    </row>
    <row r="6257" customFormat="false" ht="15" hidden="false" customHeight="false" outlineLevel="0" collapsed="false">
      <c r="A6257" s="0" t="n">
        <v>93</v>
      </c>
      <c r="B6257" s="0" t="s">
        <v>60</v>
      </c>
      <c r="C6257" s="0" t="n">
        <v>2012</v>
      </c>
      <c r="D6257" s="0" t="n">
        <v>1</v>
      </c>
      <c r="E6257" s="38" t="n">
        <v>3743993.16</v>
      </c>
    </row>
    <row r="6258" customFormat="false" ht="15" hidden="false" customHeight="false" outlineLevel="0" collapsed="false">
      <c r="A6258" s="0" t="n">
        <v>93</v>
      </c>
      <c r="B6258" s="0" t="s">
        <v>60</v>
      </c>
      <c r="C6258" s="0" t="n">
        <v>2012</v>
      </c>
      <c r="D6258" s="0" t="n">
        <v>2</v>
      </c>
      <c r="E6258" s="38" t="n">
        <v>3960478.88</v>
      </c>
    </row>
    <row r="6259" customFormat="false" ht="15" hidden="false" customHeight="false" outlineLevel="0" collapsed="false">
      <c r="A6259" s="0" t="n">
        <v>93</v>
      </c>
      <c r="B6259" s="0" t="s">
        <v>60</v>
      </c>
      <c r="C6259" s="0" t="n">
        <v>2012</v>
      </c>
      <c r="D6259" s="0" t="n">
        <v>3</v>
      </c>
      <c r="E6259" s="38" t="n">
        <v>4055472.44</v>
      </c>
    </row>
    <row r="6260" customFormat="false" ht="15" hidden="false" customHeight="false" outlineLevel="0" collapsed="false">
      <c r="A6260" s="0" t="n">
        <v>93</v>
      </c>
      <c r="B6260" s="0" t="s">
        <v>60</v>
      </c>
      <c r="C6260" s="0" t="n">
        <v>2012</v>
      </c>
      <c r="D6260" s="0" t="n">
        <v>4</v>
      </c>
      <c r="E6260" s="38" t="n">
        <v>4247249.64</v>
      </c>
    </row>
    <row r="6261" customFormat="false" ht="15" hidden="false" customHeight="false" outlineLevel="0" collapsed="false">
      <c r="A6261" s="0" t="n">
        <v>93</v>
      </c>
      <c r="B6261" s="0" t="s">
        <v>60</v>
      </c>
      <c r="C6261" s="0" t="n">
        <v>2012</v>
      </c>
      <c r="D6261" s="0" t="n">
        <v>5</v>
      </c>
      <c r="E6261" s="38" t="n">
        <v>4143574.93</v>
      </c>
    </row>
    <row r="6262" customFormat="false" ht="15" hidden="false" customHeight="false" outlineLevel="0" collapsed="false">
      <c r="A6262" s="0" t="n">
        <v>93</v>
      </c>
      <c r="B6262" s="0" t="s">
        <v>60</v>
      </c>
      <c r="C6262" s="0" t="n">
        <v>2012</v>
      </c>
      <c r="D6262" s="0" t="n">
        <v>6</v>
      </c>
      <c r="E6262" s="38" t="n">
        <v>4310766.63</v>
      </c>
    </row>
    <row r="6263" customFormat="false" ht="15" hidden="false" customHeight="false" outlineLevel="0" collapsed="false">
      <c r="A6263" s="0" t="n">
        <v>93</v>
      </c>
      <c r="B6263" s="0" t="s">
        <v>60</v>
      </c>
      <c r="C6263" s="0" t="n">
        <v>2012</v>
      </c>
      <c r="D6263" s="0" t="n">
        <v>7</v>
      </c>
      <c r="E6263" s="38" t="n">
        <v>4214003.74</v>
      </c>
    </row>
    <row r="6264" customFormat="false" ht="15" hidden="false" customHeight="false" outlineLevel="0" collapsed="false">
      <c r="A6264" s="0" t="n">
        <v>93</v>
      </c>
      <c r="B6264" s="0" t="s">
        <v>60</v>
      </c>
      <c r="C6264" s="0" t="n">
        <v>2012</v>
      </c>
      <c r="D6264" s="0" t="n">
        <v>8</v>
      </c>
      <c r="E6264" s="38" t="n">
        <v>4046798.64</v>
      </c>
    </row>
    <row r="6265" customFormat="false" ht="15" hidden="false" customHeight="false" outlineLevel="0" collapsed="false">
      <c r="A6265" s="0" t="n">
        <v>93</v>
      </c>
      <c r="B6265" s="0" t="s">
        <v>60</v>
      </c>
      <c r="C6265" s="0" t="n">
        <v>2012</v>
      </c>
      <c r="D6265" s="0" t="n">
        <v>9</v>
      </c>
      <c r="E6265" s="38" t="n">
        <v>4177069.39</v>
      </c>
    </row>
    <row r="6266" customFormat="false" ht="15" hidden="false" customHeight="false" outlineLevel="0" collapsed="false">
      <c r="A6266" s="0" t="n">
        <v>93</v>
      </c>
      <c r="B6266" s="0" t="s">
        <v>60</v>
      </c>
      <c r="C6266" s="0" t="n">
        <v>2012</v>
      </c>
      <c r="D6266" s="0" t="n">
        <v>10</v>
      </c>
      <c r="E6266" s="38" t="n">
        <v>4479198.57</v>
      </c>
    </row>
    <row r="6267" customFormat="false" ht="15" hidden="false" customHeight="false" outlineLevel="0" collapsed="false">
      <c r="A6267" s="0" t="n">
        <v>93</v>
      </c>
      <c r="B6267" s="0" t="s">
        <v>60</v>
      </c>
      <c r="C6267" s="0" t="n">
        <v>2012</v>
      </c>
      <c r="D6267" s="0" t="n">
        <v>11</v>
      </c>
      <c r="E6267" s="38" t="n">
        <v>4451409.12</v>
      </c>
    </row>
    <row r="6268" customFormat="false" ht="15" hidden="false" customHeight="false" outlineLevel="0" collapsed="false">
      <c r="A6268" s="0" t="n">
        <v>93</v>
      </c>
      <c r="B6268" s="0" t="s">
        <v>60</v>
      </c>
      <c r="C6268" s="0" t="n">
        <v>2012</v>
      </c>
      <c r="D6268" s="0" t="n">
        <v>12</v>
      </c>
      <c r="E6268" s="38" t="n">
        <v>4212331.26</v>
      </c>
    </row>
    <row r="6269" customFormat="false" ht="15" hidden="false" customHeight="false" outlineLevel="0" collapsed="false">
      <c r="A6269" s="0" t="n">
        <v>93</v>
      </c>
      <c r="B6269" s="0" t="s">
        <v>60</v>
      </c>
      <c r="C6269" s="0" t="n">
        <v>2013</v>
      </c>
      <c r="D6269" s="0" t="n">
        <v>1</v>
      </c>
      <c r="E6269" s="38" t="n">
        <v>3909292.19</v>
      </c>
    </row>
    <row r="6270" customFormat="false" ht="15" hidden="false" customHeight="false" outlineLevel="0" collapsed="false">
      <c r="A6270" s="0" t="n">
        <v>93</v>
      </c>
      <c r="B6270" s="0" t="s">
        <v>60</v>
      </c>
      <c r="C6270" s="0" t="n">
        <v>2013</v>
      </c>
      <c r="D6270" s="0" t="n">
        <v>2</v>
      </c>
      <c r="E6270" s="38" t="n">
        <v>4098263.03</v>
      </c>
    </row>
    <row r="6271" customFormat="false" ht="15" hidden="false" customHeight="false" outlineLevel="0" collapsed="false">
      <c r="A6271" s="0" t="n">
        <v>93</v>
      </c>
      <c r="B6271" s="0" t="s">
        <v>60</v>
      </c>
      <c r="C6271" s="0" t="n">
        <v>2013</v>
      </c>
      <c r="D6271" s="0" t="n">
        <v>3</v>
      </c>
      <c r="E6271" s="38" t="n">
        <v>4147927.99</v>
      </c>
    </row>
    <row r="6272" customFormat="false" ht="15" hidden="false" customHeight="false" outlineLevel="0" collapsed="false">
      <c r="A6272" s="0" t="n">
        <v>93</v>
      </c>
      <c r="B6272" s="0" t="s">
        <v>60</v>
      </c>
      <c r="C6272" s="0" t="n">
        <v>2013</v>
      </c>
      <c r="D6272" s="0" t="n">
        <v>4</v>
      </c>
      <c r="E6272" s="38" t="n">
        <v>4376454.46</v>
      </c>
    </row>
    <row r="6273" customFormat="false" ht="15" hidden="false" customHeight="false" outlineLevel="0" collapsed="false">
      <c r="A6273" s="0" t="n">
        <v>93</v>
      </c>
      <c r="B6273" s="0" t="s">
        <v>60</v>
      </c>
      <c r="C6273" s="0" t="n">
        <v>2013</v>
      </c>
      <c r="D6273" s="0" t="n">
        <v>5</v>
      </c>
      <c r="E6273" s="38" t="n">
        <v>4354748.15</v>
      </c>
    </row>
    <row r="6274" customFormat="false" ht="15" hidden="false" customHeight="false" outlineLevel="0" collapsed="false">
      <c r="A6274" s="0" t="n">
        <v>93</v>
      </c>
      <c r="B6274" s="0" t="s">
        <v>60</v>
      </c>
      <c r="C6274" s="0" t="n">
        <v>2013</v>
      </c>
      <c r="D6274" s="0" t="n">
        <v>6</v>
      </c>
      <c r="E6274" s="38" t="n">
        <v>4526881.89</v>
      </c>
    </row>
    <row r="6275" customFormat="false" ht="15" hidden="false" customHeight="false" outlineLevel="0" collapsed="false">
      <c r="A6275" s="0" t="n">
        <v>93</v>
      </c>
      <c r="B6275" s="0" t="s">
        <v>60</v>
      </c>
      <c r="C6275" s="0" t="n">
        <v>2013</v>
      </c>
      <c r="D6275" s="0" t="n">
        <v>7</v>
      </c>
      <c r="E6275" s="38" t="n">
        <v>4328807.47</v>
      </c>
    </row>
    <row r="6276" customFormat="false" ht="15" hidden="false" customHeight="false" outlineLevel="0" collapsed="false">
      <c r="A6276" s="0" t="n">
        <v>93</v>
      </c>
      <c r="B6276" s="0" t="s">
        <v>60</v>
      </c>
      <c r="C6276" s="0" t="n">
        <v>2013</v>
      </c>
      <c r="D6276" s="0" t="n">
        <v>8</v>
      </c>
      <c r="E6276" s="38" t="n">
        <v>4270108.87</v>
      </c>
    </row>
    <row r="6277" customFormat="false" ht="15" hidden="false" customHeight="false" outlineLevel="0" collapsed="false">
      <c r="A6277" s="0" t="n">
        <v>93</v>
      </c>
      <c r="B6277" s="0" t="s">
        <v>62</v>
      </c>
      <c r="C6277" s="0" t="n">
        <v>2011</v>
      </c>
      <c r="D6277" s="0" t="n">
        <v>1</v>
      </c>
      <c r="E6277" s="38" t="n">
        <v>68238.27</v>
      </c>
    </row>
    <row r="6278" customFormat="false" ht="15" hidden="false" customHeight="false" outlineLevel="0" collapsed="false">
      <c r="A6278" s="0" t="n">
        <v>93</v>
      </c>
      <c r="B6278" s="0" t="s">
        <v>62</v>
      </c>
      <c r="C6278" s="0" t="n">
        <v>2011</v>
      </c>
      <c r="D6278" s="0" t="n">
        <v>2</v>
      </c>
      <c r="E6278" s="38" t="n">
        <v>75190.9</v>
      </c>
    </row>
    <row r="6279" customFormat="false" ht="15" hidden="false" customHeight="false" outlineLevel="0" collapsed="false">
      <c r="A6279" s="0" t="n">
        <v>93</v>
      </c>
      <c r="B6279" s="0" t="s">
        <v>62</v>
      </c>
      <c r="C6279" s="0" t="n">
        <v>2011</v>
      </c>
      <c r="D6279" s="0" t="n">
        <v>3</v>
      </c>
      <c r="E6279" s="38" t="n">
        <v>74117.78</v>
      </c>
    </row>
    <row r="6280" customFormat="false" ht="15" hidden="false" customHeight="false" outlineLevel="0" collapsed="false">
      <c r="A6280" s="0" t="n">
        <v>93</v>
      </c>
      <c r="B6280" s="0" t="s">
        <v>62</v>
      </c>
      <c r="C6280" s="0" t="n">
        <v>2011</v>
      </c>
      <c r="D6280" s="0" t="n">
        <v>4</v>
      </c>
      <c r="E6280" s="38" t="n">
        <v>92285.96</v>
      </c>
    </row>
    <row r="6281" customFormat="false" ht="15" hidden="false" customHeight="false" outlineLevel="0" collapsed="false">
      <c r="A6281" s="0" t="n">
        <v>93</v>
      </c>
      <c r="B6281" s="0" t="s">
        <v>62</v>
      </c>
      <c r="C6281" s="0" t="n">
        <v>2011</v>
      </c>
      <c r="D6281" s="0" t="n">
        <v>5</v>
      </c>
      <c r="E6281" s="38" t="n">
        <v>91791.03</v>
      </c>
    </row>
    <row r="6282" customFormat="false" ht="15" hidden="false" customHeight="false" outlineLevel="0" collapsed="false">
      <c r="A6282" s="0" t="n">
        <v>93</v>
      </c>
      <c r="B6282" s="0" t="s">
        <v>62</v>
      </c>
      <c r="C6282" s="0" t="n">
        <v>2011</v>
      </c>
      <c r="D6282" s="0" t="n">
        <v>6</v>
      </c>
      <c r="E6282" s="38" t="n">
        <v>87177.51</v>
      </c>
    </row>
    <row r="6283" customFormat="false" ht="15" hidden="false" customHeight="false" outlineLevel="0" collapsed="false">
      <c r="A6283" s="0" t="n">
        <v>93</v>
      </c>
      <c r="B6283" s="0" t="s">
        <v>62</v>
      </c>
      <c r="C6283" s="0" t="n">
        <v>2011</v>
      </c>
      <c r="D6283" s="0" t="n">
        <v>7</v>
      </c>
      <c r="E6283" s="38" t="n">
        <v>78064.69</v>
      </c>
    </row>
    <row r="6284" customFormat="false" ht="15" hidden="false" customHeight="false" outlineLevel="0" collapsed="false">
      <c r="A6284" s="0" t="n">
        <v>93</v>
      </c>
      <c r="B6284" s="0" t="s">
        <v>62</v>
      </c>
      <c r="C6284" s="0" t="n">
        <v>2011</v>
      </c>
      <c r="D6284" s="0" t="n">
        <v>8</v>
      </c>
      <c r="E6284" s="38" t="n">
        <v>74139.18</v>
      </c>
    </row>
    <row r="6285" customFormat="false" ht="15" hidden="false" customHeight="false" outlineLevel="0" collapsed="false">
      <c r="A6285" s="0" t="n">
        <v>93</v>
      </c>
      <c r="B6285" s="0" t="s">
        <v>62</v>
      </c>
      <c r="C6285" s="0" t="n">
        <v>2011</v>
      </c>
      <c r="D6285" s="0" t="n">
        <v>9</v>
      </c>
      <c r="E6285" s="38" t="n">
        <v>66802.42</v>
      </c>
    </row>
    <row r="6286" customFormat="false" ht="15" hidden="false" customHeight="false" outlineLevel="0" collapsed="false">
      <c r="A6286" s="0" t="n">
        <v>93</v>
      </c>
      <c r="B6286" s="0" t="s">
        <v>62</v>
      </c>
      <c r="C6286" s="0" t="n">
        <v>2011</v>
      </c>
      <c r="D6286" s="0" t="n">
        <v>10</v>
      </c>
      <c r="E6286" s="38" t="n">
        <v>70968.77</v>
      </c>
    </row>
    <row r="6287" customFormat="false" ht="15" hidden="false" customHeight="false" outlineLevel="0" collapsed="false">
      <c r="A6287" s="0" t="n">
        <v>93</v>
      </c>
      <c r="B6287" s="0" t="s">
        <v>62</v>
      </c>
      <c r="C6287" s="0" t="n">
        <v>2011</v>
      </c>
      <c r="D6287" s="0" t="n">
        <v>11</v>
      </c>
      <c r="E6287" s="38" t="n">
        <v>67113.9</v>
      </c>
    </row>
    <row r="6288" customFormat="false" ht="15" hidden="false" customHeight="false" outlineLevel="0" collapsed="false">
      <c r="A6288" s="0" t="n">
        <v>93</v>
      </c>
      <c r="B6288" s="0" t="s">
        <v>62</v>
      </c>
      <c r="C6288" s="0" t="n">
        <v>2011</v>
      </c>
      <c r="D6288" s="0" t="n">
        <v>12</v>
      </c>
      <c r="E6288" s="38" t="n">
        <v>82066.02</v>
      </c>
    </row>
    <row r="6289" customFormat="false" ht="15" hidden="false" customHeight="false" outlineLevel="0" collapsed="false">
      <c r="A6289" s="0" t="n">
        <v>93</v>
      </c>
      <c r="B6289" s="0" t="s">
        <v>62</v>
      </c>
      <c r="C6289" s="0" t="n">
        <v>2012</v>
      </c>
      <c r="D6289" s="0" t="n">
        <v>1</v>
      </c>
      <c r="E6289" s="38" t="n">
        <v>65385.69</v>
      </c>
    </row>
    <row r="6290" customFormat="false" ht="15" hidden="false" customHeight="false" outlineLevel="0" collapsed="false">
      <c r="A6290" s="0" t="n">
        <v>93</v>
      </c>
      <c r="B6290" s="0" t="s">
        <v>62</v>
      </c>
      <c r="C6290" s="0" t="n">
        <v>2012</v>
      </c>
      <c r="D6290" s="0" t="n">
        <v>2</v>
      </c>
      <c r="E6290" s="38" t="n">
        <v>73870.36</v>
      </c>
    </row>
    <row r="6291" customFormat="false" ht="15" hidden="false" customHeight="false" outlineLevel="0" collapsed="false">
      <c r="A6291" s="0" t="n">
        <v>93</v>
      </c>
      <c r="B6291" s="0" t="s">
        <v>62</v>
      </c>
      <c r="C6291" s="0" t="n">
        <v>2012</v>
      </c>
      <c r="D6291" s="0" t="n">
        <v>3</v>
      </c>
      <c r="E6291" s="38" t="n">
        <v>77017.91</v>
      </c>
    </row>
    <row r="6292" customFormat="false" ht="15" hidden="false" customHeight="false" outlineLevel="0" collapsed="false">
      <c r="A6292" s="0" t="n">
        <v>93</v>
      </c>
      <c r="B6292" s="0" t="s">
        <v>62</v>
      </c>
      <c r="C6292" s="0" t="n">
        <v>2012</v>
      </c>
      <c r="D6292" s="0" t="n">
        <v>4</v>
      </c>
      <c r="E6292" s="38" t="n">
        <v>103776.75</v>
      </c>
    </row>
    <row r="6293" customFormat="false" ht="15" hidden="false" customHeight="false" outlineLevel="0" collapsed="false">
      <c r="A6293" s="0" t="n">
        <v>93</v>
      </c>
      <c r="B6293" s="0" t="s">
        <v>62</v>
      </c>
      <c r="C6293" s="0" t="n">
        <v>2012</v>
      </c>
      <c r="D6293" s="0" t="n">
        <v>5</v>
      </c>
      <c r="E6293" s="38" t="n">
        <v>104487.04</v>
      </c>
    </row>
    <row r="6294" customFormat="false" ht="15" hidden="false" customHeight="false" outlineLevel="0" collapsed="false">
      <c r="A6294" s="0" t="n">
        <v>93</v>
      </c>
      <c r="B6294" s="0" t="s">
        <v>62</v>
      </c>
      <c r="C6294" s="0" t="n">
        <v>2012</v>
      </c>
      <c r="D6294" s="0" t="n">
        <v>6</v>
      </c>
      <c r="E6294" s="38" t="n">
        <v>101811.42</v>
      </c>
    </row>
    <row r="6295" customFormat="false" ht="15" hidden="false" customHeight="false" outlineLevel="0" collapsed="false">
      <c r="A6295" s="0" t="n">
        <v>93</v>
      </c>
      <c r="B6295" s="0" t="s">
        <v>62</v>
      </c>
      <c r="C6295" s="0" t="n">
        <v>2012</v>
      </c>
      <c r="D6295" s="0" t="n">
        <v>7</v>
      </c>
      <c r="E6295" s="38" t="n">
        <v>84726.22</v>
      </c>
    </row>
    <row r="6296" customFormat="false" ht="15" hidden="false" customHeight="false" outlineLevel="0" collapsed="false">
      <c r="A6296" s="0" t="n">
        <v>93</v>
      </c>
      <c r="B6296" s="0" t="s">
        <v>62</v>
      </c>
      <c r="C6296" s="0" t="n">
        <v>2012</v>
      </c>
      <c r="D6296" s="0" t="n">
        <v>8</v>
      </c>
      <c r="E6296" s="38" t="n">
        <v>81308.08</v>
      </c>
    </row>
    <row r="6297" customFormat="false" ht="15" hidden="false" customHeight="false" outlineLevel="0" collapsed="false">
      <c r="A6297" s="0" t="n">
        <v>93</v>
      </c>
      <c r="B6297" s="0" t="s">
        <v>62</v>
      </c>
      <c r="C6297" s="0" t="n">
        <v>2012</v>
      </c>
      <c r="D6297" s="0" t="n">
        <v>9</v>
      </c>
      <c r="E6297" s="38" t="n">
        <v>88262.77</v>
      </c>
    </row>
    <row r="6298" customFormat="false" ht="15" hidden="false" customHeight="false" outlineLevel="0" collapsed="false">
      <c r="A6298" s="0" t="n">
        <v>93</v>
      </c>
      <c r="B6298" s="0" t="s">
        <v>62</v>
      </c>
      <c r="C6298" s="0" t="n">
        <v>2012</v>
      </c>
      <c r="D6298" s="0" t="n">
        <v>10</v>
      </c>
      <c r="E6298" s="38" t="n">
        <v>95063.08</v>
      </c>
    </row>
    <row r="6299" customFormat="false" ht="15" hidden="false" customHeight="false" outlineLevel="0" collapsed="false">
      <c r="A6299" s="0" t="n">
        <v>93</v>
      </c>
      <c r="B6299" s="0" t="s">
        <v>62</v>
      </c>
      <c r="C6299" s="0" t="n">
        <v>2012</v>
      </c>
      <c r="D6299" s="0" t="n">
        <v>11</v>
      </c>
      <c r="E6299" s="38" t="n">
        <v>89376.27</v>
      </c>
    </row>
    <row r="6300" customFormat="false" ht="15" hidden="false" customHeight="false" outlineLevel="0" collapsed="false">
      <c r="A6300" s="0" t="n">
        <v>93</v>
      </c>
      <c r="B6300" s="0" t="s">
        <v>62</v>
      </c>
      <c r="C6300" s="0" t="n">
        <v>2012</v>
      </c>
      <c r="D6300" s="0" t="n">
        <v>12</v>
      </c>
      <c r="E6300" s="38" t="n">
        <v>104023.84</v>
      </c>
    </row>
    <row r="6301" customFormat="false" ht="15" hidden="false" customHeight="false" outlineLevel="0" collapsed="false">
      <c r="A6301" s="0" t="n">
        <v>93</v>
      </c>
      <c r="B6301" s="0" t="s">
        <v>62</v>
      </c>
      <c r="C6301" s="0" t="n">
        <v>2013</v>
      </c>
      <c r="D6301" s="0" t="n">
        <v>1</v>
      </c>
      <c r="E6301" s="38" t="n">
        <v>92648.53</v>
      </c>
    </row>
    <row r="6302" customFormat="false" ht="15" hidden="false" customHeight="false" outlineLevel="0" collapsed="false">
      <c r="A6302" s="0" t="n">
        <v>93</v>
      </c>
      <c r="B6302" s="0" t="s">
        <v>62</v>
      </c>
      <c r="C6302" s="0" t="n">
        <v>2013</v>
      </c>
      <c r="D6302" s="0" t="n">
        <v>2</v>
      </c>
      <c r="E6302" s="38" t="n">
        <v>95325.89</v>
      </c>
    </row>
    <row r="6303" customFormat="false" ht="15" hidden="false" customHeight="false" outlineLevel="0" collapsed="false">
      <c r="A6303" s="0" t="n">
        <v>93</v>
      </c>
      <c r="B6303" s="0" t="s">
        <v>62</v>
      </c>
      <c r="C6303" s="0" t="n">
        <v>2013</v>
      </c>
      <c r="D6303" s="0" t="n">
        <v>3</v>
      </c>
      <c r="E6303" s="38" t="n">
        <v>99492.25</v>
      </c>
    </row>
    <row r="6304" customFormat="false" ht="15" hidden="false" customHeight="false" outlineLevel="0" collapsed="false">
      <c r="A6304" s="0" t="n">
        <v>93</v>
      </c>
      <c r="B6304" s="0" t="s">
        <v>62</v>
      </c>
      <c r="C6304" s="0" t="n">
        <v>2013</v>
      </c>
      <c r="D6304" s="0" t="n">
        <v>4</v>
      </c>
      <c r="E6304" s="38" t="n">
        <v>128913.2</v>
      </c>
    </row>
    <row r="6305" customFormat="false" ht="15" hidden="false" customHeight="false" outlineLevel="0" collapsed="false">
      <c r="A6305" s="0" t="n">
        <v>93</v>
      </c>
      <c r="B6305" s="0" t="s">
        <v>62</v>
      </c>
      <c r="C6305" s="0" t="n">
        <v>2013</v>
      </c>
      <c r="D6305" s="0" t="n">
        <v>5</v>
      </c>
      <c r="E6305" s="38" t="n">
        <v>148615.65</v>
      </c>
    </row>
    <row r="6306" customFormat="false" ht="15" hidden="false" customHeight="false" outlineLevel="0" collapsed="false">
      <c r="A6306" s="0" t="n">
        <v>93</v>
      </c>
      <c r="B6306" s="0" t="s">
        <v>62</v>
      </c>
      <c r="C6306" s="0" t="n">
        <v>2013</v>
      </c>
      <c r="D6306" s="0" t="n">
        <v>6</v>
      </c>
      <c r="E6306" s="38" t="n">
        <v>147274.43</v>
      </c>
    </row>
    <row r="6307" customFormat="false" ht="15" hidden="false" customHeight="false" outlineLevel="0" collapsed="false">
      <c r="A6307" s="0" t="n">
        <v>93</v>
      </c>
      <c r="B6307" s="0" t="s">
        <v>62</v>
      </c>
      <c r="C6307" s="0" t="n">
        <v>2013</v>
      </c>
      <c r="D6307" s="0" t="n">
        <v>7</v>
      </c>
      <c r="E6307" s="38" t="n">
        <v>121514.5</v>
      </c>
    </row>
    <row r="6308" customFormat="false" ht="15" hidden="false" customHeight="false" outlineLevel="0" collapsed="false">
      <c r="A6308" s="0" t="n">
        <v>93</v>
      </c>
      <c r="B6308" s="0" t="s">
        <v>62</v>
      </c>
      <c r="C6308" s="0" t="n">
        <v>2013</v>
      </c>
      <c r="D6308" s="0" t="n">
        <v>8</v>
      </c>
      <c r="E6308" s="38" t="n">
        <v>118341.38</v>
      </c>
    </row>
    <row r="6309" customFormat="false" ht="15" hidden="false" customHeight="false" outlineLevel="0" collapsed="false">
      <c r="A6309" s="0" t="n">
        <v>93</v>
      </c>
      <c r="B6309" s="0" t="s">
        <v>64</v>
      </c>
      <c r="C6309" s="0" t="n">
        <v>2011</v>
      </c>
      <c r="D6309" s="0" t="n">
        <v>1</v>
      </c>
      <c r="E6309" s="38" t="n">
        <v>524201.27</v>
      </c>
    </row>
    <row r="6310" customFormat="false" ht="15" hidden="false" customHeight="false" outlineLevel="0" collapsed="false">
      <c r="A6310" s="0" t="n">
        <v>93</v>
      </c>
      <c r="B6310" s="0" t="s">
        <v>64</v>
      </c>
      <c r="C6310" s="0" t="n">
        <v>2011</v>
      </c>
      <c r="D6310" s="0" t="n">
        <v>2</v>
      </c>
      <c r="E6310" s="38" t="n">
        <v>582853.82</v>
      </c>
    </row>
    <row r="6311" customFormat="false" ht="15" hidden="false" customHeight="false" outlineLevel="0" collapsed="false">
      <c r="A6311" s="0" t="n">
        <v>93</v>
      </c>
      <c r="B6311" s="0" t="s">
        <v>64</v>
      </c>
      <c r="C6311" s="0" t="n">
        <v>2011</v>
      </c>
      <c r="D6311" s="0" t="n">
        <v>3</v>
      </c>
      <c r="E6311" s="38" t="n">
        <v>571124.61</v>
      </c>
    </row>
    <row r="6312" customFormat="false" ht="15" hidden="false" customHeight="false" outlineLevel="0" collapsed="false">
      <c r="A6312" s="0" t="n">
        <v>93</v>
      </c>
      <c r="B6312" s="0" t="s">
        <v>64</v>
      </c>
      <c r="C6312" s="0" t="n">
        <v>2011</v>
      </c>
      <c r="D6312" s="0" t="n">
        <v>4</v>
      </c>
      <c r="E6312" s="38" t="n">
        <v>614515.48</v>
      </c>
    </row>
    <row r="6313" customFormat="false" ht="15" hidden="false" customHeight="false" outlineLevel="0" collapsed="false">
      <c r="A6313" s="0" t="n">
        <v>93</v>
      </c>
      <c r="B6313" s="0" t="s">
        <v>64</v>
      </c>
      <c r="C6313" s="0" t="n">
        <v>2011</v>
      </c>
      <c r="D6313" s="0" t="n">
        <v>5</v>
      </c>
      <c r="E6313" s="38" t="n">
        <v>593518.52</v>
      </c>
    </row>
    <row r="6314" customFormat="false" ht="15" hidden="false" customHeight="false" outlineLevel="0" collapsed="false">
      <c r="A6314" s="0" t="n">
        <v>93</v>
      </c>
      <c r="B6314" s="0" t="s">
        <v>64</v>
      </c>
      <c r="C6314" s="0" t="n">
        <v>2011</v>
      </c>
      <c r="D6314" s="0" t="n">
        <v>6</v>
      </c>
      <c r="E6314" s="38" t="n">
        <v>614350.06</v>
      </c>
    </row>
    <row r="6315" customFormat="false" ht="15" hidden="false" customHeight="false" outlineLevel="0" collapsed="false">
      <c r="A6315" s="0" t="n">
        <v>93</v>
      </c>
      <c r="B6315" s="0" t="s">
        <v>64</v>
      </c>
      <c r="C6315" s="0" t="n">
        <v>2011</v>
      </c>
      <c r="D6315" s="0" t="n">
        <v>7</v>
      </c>
      <c r="E6315" s="38" t="n">
        <v>621926.59</v>
      </c>
    </row>
    <row r="6316" customFormat="false" ht="15" hidden="false" customHeight="false" outlineLevel="0" collapsed="false">
      <c r="A6316" s="0" t="n">
        <v>93</v>
      </c>
      <c r="B6316" s="0" t="s">
        <v>64</v>
      </c>
      <c r="C6316" s="0" t="n">
        <v>2011</v>
      </c>
      <c r="D6316" s="0" t="n">
        <v>8</v>
      </c>
      <c r="E6316" s="38" t="n">
        <v>612084.65</v>
      </c>
    </row>
    <row r="6317" customFormat="false" ht="15" hidden="false" customHeight="false" outlineLevel="0" collapsed="false">
      <c r="A6317" s="0" t="n">
        <v>93</v>
      </c>
      <c r="B6317" s="0" t="s">
        <v>64</v>
      </c>
      <c r="C6317" s="0" t="n">
        <v>2011</v>
      </c>
      <c r="D6317" s="0" t="n">
        <v>9</v>
      </c>
      <c r="E6317" s="38" t="n">
        <v>626749.6</v>
      </c>
    </row>
    <row r="6318" customFormat="false" ht="15" hidden="false" customHeight="false" outlineLevel="0" collapsed="false">
      <c r="A6318" s="0" t="n">
        <v>93</v>
      </c>
      <c r="B6318" s="0" t="s">
        <v>64</v>
      </c>
      <c r="C6318" s="0" t="n">
        <v>2011</v>
      </c>
      <c r="D6318" s="0" t="n">
        <v>10</v>
      </c>
      <c r="E6318" s="38" t="n">
        <v>633328.51</v>
      </c>
    </row>
    <row r="6319" customFormat="false" ht="15" hidden="false" customHeight="false" outlineLevel="0" collapsed="false">
      <c r="A6319" s="0" t="n">
        <v>93</v>
      </c>
      <c r="B6319" s="0" t="s">
        <v>64</v>
      </c>
      <c r="C6319" s="0" t="n">
        <v>2011</v>
      </c>
      <c r="D6319" s="0" t="n">
        <v>11</v>
      </c>
      <c r="E6319" s="38" t="n">
        <v>609177.79</v>
      </c>
    </row>
    <row r="6320" customFormat="false" ht="15" hidden="false" customHeight="false" outlineLevel="0" collapsed="false">
      <c r="A6320" s="0" t="n">
        <v>93</v>
      </c>
      <c r="B6320" s="0" t="s">
        <v>64</v>
      </c>
      <c r="C6320" s="0" t="n">
        <v>2011</v>
      </c>
      <c r="D6320" s="0" t="n">
        <v>12</v>
      </c>
      <c r="E6320" s="38" t="n">
        <v>636311.81</v>
      </c>
    </row>
    <row r="6321" customFormat="false" ht="15" hidden="false" customHeight="false" outlineLevel="0" collapsed="false">
      <c r="A6321" s="0" t="n">
        <v>93</v>
      </c>
      <c r="B6321" s="0" t="s">
        <v>64</v>
      </c>
      <c r="C6321" s="0" t="n">
        <v>2012</v>
      </c>
      <c r="D6321" s="0" t="n">
        <v>1</v>
      </c>
      <c r="E6321" s="38" t="n">
        <v>564775.96</v>
      </c>
    </row>
    <row r="6322" customFormat="false" ht="15" hidden="false" customHeight="false" outlineLevel="0" collapsed="false">
      <c r="A6322" s="0" t="n">
        <v>93</v>
      </c>
      <c r="B6322" s="0" t="s">
        <v>64</v>
      </c>
      <c r="C6322" s="0" t="n">
        <v>2012</v>
      </c>
      <c r="D6322" s="0" t="n">
        <v>2</v>
      </c>
      <c r="E6322" s="38" t="n">
        <v>599402.85</v>
      </c>
    </row>
    <row r="6323" customFormat="false" ht="15" hidden="false" customHeight="false" outlineLevel="0" collapsed="false">
      <c r="A6323" s="0" t="n">
        <v>93</v>
      </c>
      <c r="B6323" s="0" t="s">
        <v>64</v>
      </c>
      <c r="C6323" s="0" t="n">
        <v>2012</v>
      </c>
      <c r="D6323" s="0" t="n">
        <v>3</v>
      </c>
      <c r="E6323" s="38" t="n">
        <v>596928.99</v>
      </c>
    </row>
    <row r="6324" customFormat="false" ht="15" hidden="false" customHeight="false" outlineLevel="0" collapsed="false">
      <c r="A6324" s="0" t="n">
        <v>93</v>
      </c>
      <c r="B6324" s="0" t="s">
        <v>64</v>
      </c>
      <c r="C6324" s="0" t="n">
        <v>2012</v>
      </c>
      <c r="D6324" s="0" t="n">
        <v>4</v>
      </c>
      <c r="E6324" s="38" t="n">
        <v>636366.52</v>
      </c>
    </row>
    <row r="6325" customFormat="false" ht="15" hidden="false" customHeight="false" outlineLevel="0" collapsed="false">
      <c r="A6325" s="0" t="n">
        <v>93</v>
      </c>
      <c r="B6325" s="0" t="s">
        <v>64</v>
      </c>
      <c r="C6325" s="0" t="n">
        <v>2012</v>
      </c>
      <c r="D6325" s="0" t="n">
        <v>5</v>
      </c>
      <c r="E6325" s="38" t="n">
        <v>608841.01</v>
      </c>
    </row>
    <row r="6326" customFormat="false" ht="15" hidden="false" customHeight="false" outlineLevel="0" collapsed="false">
      <c r="A6326" s="0" t="n">
        <v>93</v>
      </c>
      <c r="B6326" s="0" t="s">
        <v>64</v>
      </c>
      <c r="C6326" s="0" t="n">
        <v>2012</v>
      </c>
      <c r="D6326" s="0" t="n">
        <v>6</v>
      </c>
      <c r="E6326" s="38" t="n">
        <v>629614.91</v>
      </c>
    </row>
    <row r="6327" customFormat="false" ht="15" hidden="false" customHeight="false" outlineLevel="0" collapsed="false">
      <c r="A6327" s="0" t="n">
        <v>93</v>
      </c>
      <c r="B6327" s="0" t="s">
        <v>64</v>
      </c>
      <c r="C6327" s="0" t="n">
        <v>2012</v>
      </c>
      <c r="D6327" s="0" t="n">
        <v>7</v>
      </c>
      <c r="E6327" s="38" t="n">
        <v>599660.79</v>
      </c>
    </row>
    <row r="6328" customFormat="false" ht="15" hidden="false" customHeight="false" outlineLevel="0" collapsed="false">
      <c r="A6328" s="0" t="n">
        <v>93</v>
      </c>
      <c r="B6328" s="0" t="s">
        <v>64</v>
      </c>
      <c r="C6328" s="0" t="n">
        <v>2012</v>
      </c>
      <c r="D6328" s="0" t="n">
        <v>8</v>
      </c>
      <c r="E6328" s="38" t="n">
        <v>587235.04</v>
      </c>
    </row>
    <row r="6329" customFormat="false" ht="15" hidden="false" customHeight="false" outlineLevel="0" collapsed="false">
      <c r="A6329" s="0" t="n">
        <v>93</v>
      </c>
      <c r="B6329" s="0" t="s">
        <v>64</v>
      </c>
      <c r="C6329" s="0" t="n">
        <v>2012</v>
      </c>
      <c r="D6329" s="0" t="n">
        <v>9</v>
      </c>
      <c r="E6329" s="38" t="n">
        <v>630661.45</v>
      </c>
    </row>
    <row r="6330" customFormat="false" ht="15" hidden="false" customHeight="false" outlineLevel="0" collapsed="false">
      <c r="A6330" s="0" t="n">
        <v>93</v>
      </c>
      <c r="B6330" s="0" t="s">
        <v>64</v>
      </c>
      <c r="C6330" s="0" t="n">
        <v>2012</v>
      </c>
      <c r="D6330" s="0" t="n">
        <v>10</v>
      </c>
      <c r="E6330" s="38" t="n">
        <v>687045.7</v>
      </c>
    </row>
    <row r="6331" customFormat="false" ht="15" hidden="false" customHeight="false" outlineLevel="0" collapsed="false">
      <c r="A6331" s="0" t="n">
        <v>93</v>
      </c>
      <c r="B6331" s="0" t="s">
        <v>64</v>
      </c>
      <c r="C6331" s="0" t="n">
        <v>2012</v>
      </c>
      <c r="D6331" s="0" t="n">
        <v>11</v>
      </c>
      <c r="E6331" s="38" t="n">
        <v>663626.45</v>
      </c>
    </row>
    <row r="6332" customFormat="false" ht="15" hidden="false" customHeight="false" outlineLevel="0" collapsed="false">
      <c r="A6332" s="0" t="n">
        <v>93</v>
      </c>
      <c r="B6332" s="0" t="s">
        <v>64</v>
      </c>
      <c r="C6332" s="0" t="n">
        <v>2012</v>
      </c>
      <c r="D6332" s="0" t="n">
        <v>12</v>
      </c>
      <c r="E6332" s="38" t="n">
        <v>677403.02</v>
      </c>
    </row>
    <row r="6333" customFormat="false" ht="15" hidden="false" customHeight="false" outlineLevel="0" collapsed="false">
      <c r="A6333" s="0" t="n">
        <v>93</v>
      </c>
      <c r="B6333" s="0" t="s">
        <v>64</v>
      </c>
      <c r="C6333" s="0" t="n">
        <v>2013</v>
      </c>
      <c r="D6333" s="0" t="n">
        <v>1</v>
      </c>
      <c r="E6333" s="38" t="n">
        <v>603939.86</v>
      </c>
    </row>
    <row r="6334" customFormat="false" ht="15" hidden="false" customHeight="false" outlineLevel="0" collapsed="false">
      <c r="A6334" s="0" t="n">
        <v>93</v>
      </c>
      <c r="B6334" s="0" t="s">
        <v>64</v>
      </c>
      <c r="C6334" s="0" t="n">
        <v>2013</v>
      </c>
      <c r="D6334" s="0" t="n">
        <v>2</v>
      </c>
      <c r="E6334" s="38" t="n">
        <v>632696.48</v>
      </c>
    </row>
    <row r="6335" customFormat="false" ht="15" hidden="false" customHeight="false" outlineLevel="0" collapsed="false">
      <c r="A6335" s="0" t="n">
        <v>93</v>
      </c>
      <c r="B6335" s="0" t="s">
        <v>64</v>
      </c>
      <c r="C6335" s="0" t="n">
        <v>2013</v>
      </c>
      <c r="D6335" s="0" t="n">
        <v>3</v>
      </c>
      <c r="E6335" s="38" t="n">
        <v>625051.71</v>
      </c>
    </row>
    <row r="6336" customFormat="false" ht="15" hidden="false" customHeight="false" outlineLevel="0" collapsed="false">
      <c r="A6336" s="0" t="n">
        <v>93</v>
      </c>
      <c r="B6336" s="0" t="s">
        <v>64</v>
      </c>
      <c r="C6336" s="0" t="n">
        <v>2013</v>
      </c>
      <c r="D6336" s="0" t="n">
        <v>4</v>
      </c>
      <c r="E6336" s="38" t="n">
        <v>656048.17</v>
      </c>
    </row>
    <row r="6337" customFormat="false" ht="15" hidden="false" customHeight="false" outlineLevel="0" collapsed="false">
      <c r="A6337" s="0" t="n">
        <v>93</v>
      </c>
      <c r="B6337" s="0" t="s">
        <v>64</v>
      </c>
      <c r="C6337" s="0" t="n">
        <v>2013</v>
      </c>
      <c r="D6337" s="0" t="n">
        <v>5</v>
      </c>
      <c r="E6337" s="38" t="n">
        <v>639501.94</v>
      </c>
    </row>
    <row r="6338" customFormat="false" ht="15" hidden="false" customHeight="false" outlineLevel="0" collapsed="false">
      <c r="A6338" s="0" t="n">
        <v>93</v>
      </c>
      <c r="B6338" s="0" t="s">
        <v>64</v>
      </c>
      <c r="C6338" s="0" t="n">
        <v>2013</v>
      </c>
      <c r="D6338" s="0" t="n">
        <v>6</v>
      </c>
      <c r="E6338" s="38" t="n">
        <v>672529.84</v>
      </c>
    </row>
    <row r="6339" customFormat="false" ht="15" hidden="false" customHeight="false" outlineLevel="0" collapsed="false">
      <c r="A6339" s="0" t="n">
        <v>93</v>
      </c>
      <c r="B6339" s="0" t="s">
        <v>64</v>
      </c>
      <c r="C6339" s="0" t="n">
        <v>2013</v>
      </c>
      <c r="D6339" s="0" t="n">
        <v>7</v>
      </c>
      <c r="E6339" s="38" t="n">
        <v>652540.99</v>
      </c>
    </row>
    <row r="6340" customFormat="false" ht="15" hidden="false" customHeight="false" outlineLevel="0" collapsed="false">
      <c r="A6340" s="0" t="n">
        <v>93</v>
      </c>
      <c r="B6340" s="0" t="s">
        <v>64</v>
      </c>
      <c r="C6340" s="0" t="n">
        <v>2013</v>
      </c>
      <c r="D6340" s="0" t="n">
        <v>8</v>
      </c>
      <c r="E6340" s="38" t="n">
        <v>648016.2</v>
      </c>
    </row>
    <row r="6341" customFormat="false" ht="15" hidden="false" customHeight="false" outlineLevel="0" collapsed="false">
      <c r="A6341" s="0" t="n">
        <v>94</v>
      </c>
      <c r="B6341" s="0" t="s">
        <v>60</v>
      </c>
      <c r="C6341" s="0" t="n">
        <v>2011</v>
      </c>
      <c r="D6341" s="0" t="n">
        <v>1</v>
      </c>
      <c r="E6341" s="38" t="n">
        <v>4579160.42</v>
      </c>
    </row>
    <row r="6342" customFormat="false" ht="15" hidden="false" customHeight="false" outlineLevel="0" collapsed="false">
      <c r="A6342" s="0" t="n">
        <v>94</v>
      </c>
      <c r="B6342" s="0" t="s">
        <v>60</v>
      </c>
      <c r="C6342" s="0" t="n">
        <v>2011</v>
      </c>
      <c r="D6342" s="0" t="n">
        <v>2</v>
      </c>
      <c r="E6342" s="38" t="n">
        <v>5003870.15</v>
      </c>
    </row>
    <row r="6343" customFormat="false" ht="15" hidden="false" customHeight="false" outlineLevel="0" collapsed="false">
      <c r="A6343" s="0" t="n">
        <v>94</v>
      </c>
      <c r="B6343" s="0" t="s">
        <v>60</v>
      </c>
      <c r="C6343" s="0" t="n">
        <v>2011</v>
      </c>
      <c r="D6343" s="0" t="n">
        <v>3</v>
      </c>
      <c r="E6343" s="38" t="n">
        <v>5030078.34</v>
      </c>
    </row>
    <row r="6344" customFormat="false" ht="15" hidden="false" customHeight="false" outlineLevel="0" collapsed="false">
      <c r="A6344" s="0" t="n">
        <v>94</v>
      </c>
      <c r="B6344" s="0" t="s">
        <v>60</v>
      </c>
      <c r="C6344" s="0" t="n">
        <v>2011</v>
      </c>
      <c r="D6344" s="0" t="n">
        <v>4</v>
      </c>
      <c r="E6344" s="38" t="n">
        <v>5671380.37</v>
      </c>
    </row>
    <row r="6345" customFormat="false" ht="15" hidden="false" customHeight="false" outlineLevel="0" collapsed="false">
      <c r="A6345" s="0" t="n">
        <v>94</v>
      </c>
      <c r="B6345" s="0" t="s">
        <v>60</v>
      </c>
      <c r="C6345" s="0" t="n">
        <v>2011</v>
      </c>
      <c r="D6345" s="0" t="n">
        <v>5</v>
      </c>
      <c r="E6345" s="38" t="n">
        <v>5382940.99</v>
      </c>
    </row>
    <row r="6346" customFormat="false" ht="15" hidden="false" customHeight="false" outlineLevel="0" collapsed="false">
      <c r="A6346" s="0" t="n">
        <v>94</v>
      </c>
      <c r="B6346" s="0" t="s">
        <v>60</v>
      </c>
      <c r="C6346" s="0" t="n">
        <v>2011</v>
      </c>
      <c r="D6346" s="0" t="n">
        <v>6</v>
      </c>
      <c r="E6346" s="38" t="n">
        <v>5309966.73</v>
      </c>
    </row>
    <row r="6347" customFormat="false" ht="15" hidden="false" customHeight="false" outlineLevel="0" collapsed="false">
      <c r="A6347" s="0" t="n">
        <v>94</v>
      </c>
      <c r="B6347" s="0" t="s">
        <v>60</v>
      </c>
      <c r="C6347" s="0" t="n">
        <v>2011</v>
      </c>
      <c r="D6347" s="0" t="n">
        <v>7</v>
      </c>
      <c r="E6347" s="38" t="n">
        <v>5008651.31</v>
      </c>
    </row>
    <row r="6348" customFormat="false" ht="15" hidden="false" customHeight="false" outlineLevel="0" collapsed="false">
      <c r="A6348" s="0" t="n">
        <v>94</v>
      </c>
      <c r="B6348" s="0" t="s">
        <v>60</v>
      </c>
      <c r="C6348" s="0" t="n">
        <v>2011</v>
      </c>
      <c r="D6348" s="0" t="n">
        <v>8</v>
      </c>
      <c r="E6348" s="38" t="n">
        <v>4363114.18</v>
      </c>
    </row>
    <row r="6349" customFormat="false" ht="15" hidden="false" customHeight="false" outlineLevel="0" collapsed="false">
      <c r="A6349" s="0" t="n">
        <v>94</v>
      </c>
      <c r="B6349" s="0" t="s">
        <v>60</v>
      </c>
      <c r="C6349" s="0" t="n">
        <v>2011</v>
      </c>
      <c r="D6349" s="0" t="n">
        <v>9</v>
      </c>
      <c r="E6349" s="38" t="n">
        <v>4402015.82</v>
      </c>
    </row>
    <row r="6350" customFormat="false" ht="15" hidden="false" customHeight="false" outlineLevel="0" collapsed="false">
      <c r="A6350" s="0" t="n">
        <v>94</v>
      </c>
      <c r="B6350" s="0" t="s">
        <v>60</v>
      </c>
      <c r="C6350" s="0" t="n">
        <v>2011</v>
      </c>
      <c r="D6350" s="0" t="n">
        <v>10</v>
      </c>
      <c r="E6350" s="38" t="n">
        <v>4177440.37</v>
      </c>
    </row>
    <row r="6351" customFormat="false" ht="15" hidden="false" customHeight="false" outlineLevel="0" collapsed="false">
      <c r="A6351" s="0" t="n">
        <v>94</v>
      </c>
      <c r="B6351" s="0" t="s">
        <v>60</v>
      </c>
      <c r="C6351" s="0" t="n">
        <v>2011</v>
      </c>
      <c r="D6351" s="0" t="n">
        <v>11</v>
      </c>
      <c r="E6351" s="38" t="n">
        <v>4237059.41</v>
      </c>
    </row>
    <row r="6352" customFormat="false" ht="15" hidden="false" customHeight="false" outlineLevel="0" collapsed="false">
      <c r="A6352" s="0" t="n">
        <v>94</v>
      </c>
      <c r="B6352" s="0" t="s">
        <v>60</v>
      </c>
      <c r="C6352" s="0" t="n">
        <v>2011</v>
      </c>
      <c r="D6352" s="0" t="n">
        <v>12</v>
      </c>
      <c r="E6352" s="38" t="n">
        <v>4482566.46</v>
      </c>
    </row>
    <row r="6353" customFormat="false" ht="15" hidden="false" customHeight="false" outlineLevel="0" collapsed="false">
      <c r="A6353" s="0" t="n">
        <v>94</v>
      </c>
      <c r="B6353" s="0" t="s">
        <v>60</v>
      </c>
      <c r="C6353" s="0" t="n">
        <v>2012</v>
      </c>
      <c r="D6353" s="0" t="n">
        <v>1</v>
      </c>
      <c r="E6353" s="38" t="n">
        <v>4621895.79</v>
      </c>
    </row>
    <row r="6354" customFormat="false" ht="15" hidden="false" customHeight="false" outlineLevel="0" collapsed="false">
      <c r="A6354" s="0" t="n">
        <v>94</v>
      </c>
      <c r="B6354" s="0" t="s">
        <v>60</v>
      </c>
      <c r="C6354" s="0" t="n">
        <v>2012</v>
      </c>
      <c r="D6354" s="0" t="n">
        <v>2</v>
      </c>
      <c r="E6354" s="38" t="n">
        <v>4960939.93</v>
      </c>
    </row>
    <row r="6355" customFormat="false" ht="15" hidden="false" customHeight="false" outlineLevel="0" collapsed="false">
      <c r="A6355" s="0" t="n">
        <v>94</v>
      </c>
      <c r="B6355" s="0" t="s">
        <v>60</v>
      </c>
      <c r="C6355" s="0" t="n">
        <v>2012</v>
      </c>
      <c r="D6355" s="0" t="n">
        <v>3</v>
      </c>
      <c r="E6355" s="38" t="n">
        <v>5101753.88</v>
      </c>
    </row>
    <row r="6356" customFormat="false" ht="15" hidden="false" customHeight="false" outlineLevel="0" collapsed="false">
      <c r="A6356" s="0" t="n">
        <v>94</v>
      </c>
      <c r="B6356" s="0" t="s">
        <v>60</v>
      </c>
      <c r="C6356" s="0" t="n">
        <v>2012</v>
      </c>
      <c r="D6356" s="0" t="n">
        <v>4</v>
      </c>
      <c r="E6356" s="38" t="n">
        <v>5558511.14</v>
      </c>
    </row>
    <row r="6357" customFormat="false" ht="15" hidden="false" customHeight="false" outlineLevel="0" collapsed="false">
      <c r="A6357" s="0" t="n">
        <v>94</v>
      </c>
      <c r="B6357" s="0" t="s">
        <v>60</v>
      </c>
      <c r="C6357" s="0" t="n">
        <v>2012</v>
      </c>
      <c r="D6357" s="0" t="n">
        <v>5</v>
      </c>
      <c r="E6357" s="38" t="n">
        <v>5169548.94</v>
      </c>
    </row>
    <row r="6358" customFormat="false" ht="15" hidden="false" customHeight="false" outlineLevel="0" collapsed="false">
      <c r="A6358" s="0" t="n">
        <v>94</v>
      </c>
      <c r="B6358" s="0" t="s">
        <v>60</v>
      </c>
      <c r="C6358" s="0" t="n">
        <v>2012</v>
      </c>
      <c r="D6358" s="0" t="n">
        <v>6</v>
      </c>
      <c r="E6358" s="38" t="n">
        <v>5381087.49</v>
      </c>
    </row>
    <row r="6359" customFormat="false" ht="15" hidden="false" customHeight="false" outlineLevel="0" collapsed="false">
      <c r="A6359" s="0" t="n">
        <v>94</v>
      </c>
      <c r="B6359" s="0" t="s">
        <v>60</v>
      </c>
      <c r="C6359" s="0" t="n">
        <v>2012</v>
      </c>
      <c r="D6359" s="0" t="n">
        <v>7</v>
      </c>
      <c r="E6359" s="38" t="n">
        <v>5308605.3</v>
      </c>
    </row>
    <row r="6360" customFormat="false" ht="15" hidden="false" customHeight="false" outlineLevel="0" collapsed="false">
      <c r="A6360" s="0" t="n">
        <v>94</v>
      </c>
      <c r="B6360" s="0" t="s">
        <v>60</v>
      </c>
      <c r="C6360" s="0" t="n">
        <v>2012</v>
      </c>
      <c r="D6360" s="0" t="n">
        <v>8</v>
      </c>
      <c r="E6360" s="38" t="n">
        <v>4590449.85</v>
      </c>
    </row>
    <row r="6361" customFormat="false" ht="15" hidden="false" customHeight="false" outlineLevel="0" collapsed="false">
      <c r="A6361" s="0" t="n">
        <v>94</v>
      </c>
      <c r="B6361" s="0" t="s">
        <v>60</v>
      </c>
      <c r="C6361" s="0" t="n">
        <v>2012</v>
      </c>
      <c r="D6361" s="0" t="n">
        <v>9</v>
      </c>
      <c r="E6361" s="38" t="n">
        <v>4613940.85</v>
      </c>
    </row>
    <row r="6362" customFormat="false" ht="15" hidden="false" customHeight="false" outlineLevel="0" collapsed="false">
      <c r="A6362" s="0" t="n">
        <v>94</v>
      </c>
      <c r="B6362" s="0" t="s">
        <v>60</v>
      </c>
      <c r="C6362" s="0" t="n">
        <v>2012</v>
      </c>
      <c r="D6362" s="0" t="n">
        <v>10</v>
      </c>
      <c r="E6362" s="38" t="n">
        <v>4287470.17</v>
      </c>
    </row>
    <row r="6363" customFormat="false" ht="15" hidden="false" customHeight="false" outlineLevel="0" collapsed="false">
      <c r="A6363" s="0" t="n">
        <v>94</v>
      </c>
      <c r="B6363" s="0" t="s">
        <v>60</v>
      </c>
      <c r="C6363" s="0" t="n">
        <v>2012</v>
      </c>
      <c r="D6363" s="0" t="n">
        <v>11</v>
      </c>
      <c r="E6363" s="38" t="n">
        <v>4352798.14</v>
      </c>
    </row>
    <row r="6364" customFormat="false" ht="15" hidden="false" customHeight="false" outlineLevel="0" collapsed="false">
      <c r="A6364" s="0" t="n">
        <v>94</v>
      </c>
      <c r="B6364" s="0" t="s">
        <v>60</v>
      </c>
      <c r="C6364" s="0" t="n">
        <v>2012</v>
      </c>
      <c r="D6364" s="0" t="n">
        <v>12</v>
      </c>
      <c r="E6364" s="38" t="n">
        <v>4683630.45</v>
      </c>
    </row>
    <row r="6365" customFormat="false" ht="15" hidden="false" customHeight="false" outlineLevel="0" collapsed="false">
      <c r="A6365" s="0" t="n">
        <v>94</v>
      </c>
      <c r="B6365" s="0" t="s">
        <v>60</v>
      </c>
      <c r="C6365" s="0" t="n">
        <v>2013</v>
      </c>
      <c r="D6365" s="0" t="n">
        <v>1</v>
      </c>
      <c r="E6365" s="38" t="n">
        <v>4707289.58</v>
      </c>
    </row>
    <row r="6366" customFormat="false" ht="15" hidden="false" customHeight="false" outlineLevel="0" collapsed="false">
      <c r="A6366" s="0" t="n">
        <v>94</v>
      </c>
      <c r="B6366" s="0" t="s">
        <v>60</v>
      </c>
      <c r="C6366" s="0" t="n">
        <v>2013</v>
      </c>
      <c r="D6366" s="0" t="n">
        <v>2</v>
      </c>
      <c r="E6366" s="38" t="n">
        <v>4742981.88</v>
      </c>
    </row>
    <row r="6367" customFormat="false" ht="15" hidden="false" customHeight="false" outlineLevel="0" collapsed="false">
      <c r="A6367" s="0" t="n">
        <v>94</v>
      </c>
      <c r="B6367" s="0" t="s">
        <v>60</v>
      </c>
      <c r="C6367" s="0" t="n">
        <v>2013</v>
      </c>
      <c r="D6367" s="0" t="n">
        <v>3</v>
      </c>
      <c r="E6367" s="38" t="n">
        <v>4860022.63</v>
      </c>
    </row>
    <row r="6368" customFormat="false" ht="15" hidden="false" customHeight="false" outlineLevel="0" collapsed="false">
      <c r="A6368" s="0" t="n">
        <v>94</v>
      </c>
      <c r="B6368" s="0" t="s">
        <v>60</v>
      </c>
      <c r="C6368" s="0" t="n">
        <v>2013</v>
      </c>
      <c r="D6368" s="0" t="n">
        <v>4</v>
      </c>
      <c r="E6368" s="38" t="n">
        <v>5477738.88</v>
      </c>
    </row>
    <row r="6369" customFormat="false" ht="15" hidden="false" customHeight="false" outlineLevel="0" collapsed="false">
      <c r="A6369" s="0" t="n">
        <v>94</v>
      </c>
      <c r="B6369" s="0" t="s">
        <v>60</v>
      </c>
      <c r="C6369" s="0" t="n">
        <v>2013</v>
      </c>
      <c r="D6369" s="0" t="n">
        <v>5</v>
      </c>
      <c r="E6369" s="38" t="n">
        <v>5260778.63</v>
      </c>
    </row>
    <row r="6370" customFormat="false" ht="15" hidden="false" customHeight="false" outlineLevel="0" collapsed="false">
      <c r="A6370" s="0" t="n">
        <v>94</v>
      </c>
      <c r="B6370" s="0" t="s">
        <v>60</v>
      </c>
      <c r="C6370" s="0" t="n">
        <v>2013</v>
      </c>
      <c r="D6370" s="0" t="n">
        <v>6</v>
      </c>
      <c r="E6370" s="38" t="n">
        <v>5343603.73</v>
      </c>
    </row>
    <row r="6371" customFormat="false" ht="15" hidden="false" customHeight="false" outlineLevel="0" collapsed="false">
      <c r="A6371" s="0" t="n">
        <v>94</v>
      </c>
      <c r="B6371" s="0" t="s">
        <v>60</v>
      </c>
      <c r="C6371" s="0" t="n">
        <v>2013</v>
      </c>
      <c r="D6371" s="0" t="n">
        <v>7</v>
      </c>
      <c r="E6371" s="38" t="n">
        <v>4993004.05</v>
      </c>
    </row>
    <row r="6372" customFormat="false" ht="15" hidden="false" customHeight="false" outlineLevel="0" collapsed="false">
      <c r="A6372" s="0" t="n">
        <v>94</v>
      </c>
      <c r="B6372" s="0" t="s">
        <v>60</v>
      </c>
      <c r="C6372" s="0" t="n">
        <v>2013</v>
      </c>
      <c r="D6372" s="0" t="n">
        <v>8</v>
      </c>
      <c r="E6372" s="38" t="n">
        <v>4616261.92</v>
      </c>
    </row>
    <row r="6373" customFormat="false" ht="15" hidden="false" customHeight="false" outlineLevel="0" collapsed="false">
      <c r="A6373" s="0" t="n">
        <v>94</v>
      </c>
      <c r="B6373" s="0" t="s">
        <v>62</v>
      </c>
      <c r="C6373" s="0" t="n">
        <v>2011</v>
      </c>
      <c r="D6373" s="0" t="n">
        <v>1</v>
      </c>
      <c r="E6373" s="38" t="n">
        <v>45430.88</v>
      </c>
    </row>
    <row r="6374" customFormat="false" ht="15" hidden="false" customHeight="false" outlineLevel="0" collapsed="false">
      <c r="A6374" s="0" t="n">
        <v>94</v>
      </c>
      <c r="B6374" s="0" t="s">
        <v>62</v>
      </c>
      <c r="C6374" s="0" t="n">
        <v>2011</v>
      </c>
      <c r="D6374" s="0" t="n">
        <v>2</v>
      </c>
      <c r="E6374" s="38" t="n">
        <v>409.72</v>
      </c>
    </row>
    <row r="6375" customFormat="false" ht="15" hidden="false" customHeight="false" outlineLevel="0" collapsed="false">
      <c r="A6375" s="0" t="n">
        <v>94</v>
      </c>
      <c r="B6375" s="0" t="s">
        <v>62</v>
      </c>
      <c r="C6375" s="0" t="n">
        <v>2011</v>
      </c>
      <c r="D6375" s="0" t="n">
        <v>3</v>
      </c>
      <c r="E6375" s="38" t="n">
        <v>1300.46</v>
      </c>
    </row>
    <row r="6376" customFormat="false" ht="15" hidden="false" customHeight="false" outlineLevel="0" collapsed="false">
      <c r="A6376" s="0" t="n">
        <v>94</v>
      </c>
      <c r="B6376" s="0" t="s">
        <v>62</v>
      </c>
      <c r="C6376" s="0" t="n">
        <v>2011</v>
      </c>
      <c r="D6376" s="0" t="n">
        <v>4</v>
      </c>
      <c r="E6376" s="38" t="n">
        <v>61497.27</v>
      </c>
    </row>
    <row r="6377" customFormat="false" ht="15" hidden="false" customHeight="false" outlineLevel="0" collapsed="false">
      <c r="A6377" s="0" t="n">
        <v>94</v>
      </c>
      <c r="B6377" s="0" t="s">
        <v>62</v>
      </c>
      <c r="C6377" s="0" t="n">
        <v>2011</v>
      </c>
      <c r="D6377" s="0" t="n">
        <v>5</v>
      </c>
      <c r="E6377" s="38" t="n">
        <v>1919.67</v>
      </c>
    </row>
    <row r="6378" customFormat="false" ht="15" hidden="false" customHeight="false" outlineLevel="0" collapsed="false">
      <c r="A6378" s="0" t="n">
        <v>94</v>
      </c>
      <c r="B6378" s="0" t="s">
        <v>62</v>
      </c>
      <c r="C6378" s="0" t="n">
        <v>2011</v>
      </c>
      <c r="D6378" s="0" t="n">
        <v>6</v>
      </c>
      <c r="E6378" s="38" t="n">
        <v>3380.77</v>
      </c>
    </row>
    <row r="6379" customFormat="false" ht="15" hidden="false" customHeight="false" outlineLevel="0" collapsed="false">
      <c r="A6379" s="0" t="n">
        <v>94</v>
      </c>
      <c r="B6379" s="0" t="s">
        <v>62</v>
      </c>
      <c r="C6379" s="0" t="n">
        <v>2011</v>
      </c>
      <c r="D6379" s="0" t="n">
        <v>7</v>
      </c>
      <c r="E6379" s="38" t="n">
        <v>7131.01</v>
      </c>
    </row>
    <row r="6380" customFormat="false" ht="15" hidden="false" customHeight="false" outlineLevel="0" collapsed="false">
      <c r="A6380" s="0" t="n">
        <v>94</v>
      </c>
      <c r="B6380" s="0" t="s">
        <v>62</v>
      </c>
      <c r="C6380" s="0" t="n">
        <v>2011</v>
      </c>
      <c r="D6380" s="0" t="n">
        <v>8</v>
      </c>
      <c r="E6380" s="38" t="n">
        <v>26516.77</v>
      </c>
    </row>
    <row r="6381" customFormat="false" ht="15" hidden="false" customHeight="false" outlineLevel="0" collapsed="false">
      <c r="A6381" s="0" t="n">
        <v>94</v>
      </c>
      <c r="B6381" s="0" t="s">
        <v>62</v>
      </c>
      <c r="C6381" s="0" t="n">
        <v>2011</v>
      </c>
      <c r="D6381" s="0" t="n">
        <v>9</v>
      </c>
      <c r="E6381" s="38" t="n">
        <v>50925.07</v>
      </c>
    </row>
    <row r="6382" customFormat="false" ht="15" hidden="false" customHeight="false" outlineLevel="0" collapsed="false">
      <c r="A6382" s="0" t="n">
        <v>94</v>
      </c>
      <c r="B6382" s="0" t="s">
        <v>62</v>
      </c>
      <c r="C6382" s="0" t="n">
        <v>2011</v>
      </c>
      <c r="D6382" s="0" t="n">
        <v>10</v>
      </c>
      <c r="E6382" s="38" t="n">
        <v>45677.64</v>
      </c>
    </row>
    <row r="6383" customFormat="false" ht="15" hidden="false" customHeight="false" outlineLevel="0" collapsed="false">
      <c r="A6383" s="0" t="n">
        <v>94</v>
      </c>
      <c r="B6383" s="0" t="s">
        <v>62</v>
      </c>
      <c r="C6383" s="0" t="n">
        <v>2011</v>
      </c>
      <c r="D6383" s="0" t="n">
        <v>11</v>
      </c>
      <c r="E6383" s="38" t="n">
        <v>43709.87</v>
      </c>
    </row>
    <row r="6384" customFormat="false" ht="15" hidden="false" customHeight="false" outlineLevel="0" collapsed="false">
      <c r="A6384" s="0" t="n">
        <v>94</v>
      </c>
      <c r="B6384" s="0" t="s">
        <v>62</v>
      </c>
      <c r="C6384" s="0" t="n">
        <v>2011</v>
      </c>
      <c r="D6384" s="0" t="n">
        <v>12</v>
      </c>
      <c r="E6384" s="38" t="n">
        <v>45216.19</v>
      </c>
    </row>
    <row r="6385" customFormat="false" ht="15" hidden="false" customHeight="false" outlineLevel="0" collapsed="false">
      <c r="A6385" s="0" t="n">
        <v>94</v>
      </c>
      <c r="B6385" s="0" t="s">
        <v>62</v>
      </c>
      <c r="C6385" s="0" t="n">
        <v>2012</v>
      </c>
      <c r="D6385" s="0" t="n">
        <v>1</v>
      </c>
      <c r="E6385" s="38" t="n">
        <v>116177.48</v>
      </c>
    </row>
    <row r="6386" customFormat="false" ht="15" hidden="false" customHeight="false" outlineLevel="0" collapsed="false">
      <c r="A6386" s="0" t="n">
        <v>94</v>
      </c>
      <c r="B6386" s="0" t="s">
        <v>62</v>
      </c>
      <c r="C6386" s="0" t="n">
        <v>2012</v>
      </c>
      <c r="D6386" s="0" t="n">
        <v>2</v>
      </c>
      <c r="E6386" s="38" t="n">
        <v>64124.19</v>
      </c>
    </row>
    <row r="6387" customFormat="false" ht="15" hidden="false" customHeight="false" outlineLevel="0" collapsed="false">
      <c r="A6387" s="0" t="n">
        <v>94</v>
      </c>
      <c r="B6387" s="0" t="s">
        <v>62</v>
      </c>
      <c r="C6387" s="0" t="n">
        <v>2012</v>
      </c>
      <c r="D6387" s="0" t="n">
        <v>3</v>
      </c>
      <c r="E6387" s="38" t="n">
        <v>48244.4</v>
      </c>
    </row>
    <row r="6388" customFormat="false" ht="15" hidden="false" customHeight="false" outlineLevel="0" collapsed="false">
      <c r="A6388" s="0" t="n">
        <v>94</v>
      </c>
      <c r="B6388" s="0" t="s">
        <v>62</v>
      </c>
      <c r="C6388" s="0" t="n">
        <v>2012</v>
      </c>
      <c r="D6388" s="0" t="n">
        <v>4</v>
      </c>
      <c r="E6388" s="38" t="n">
        <v>121394.37</v>
      </c>
    </row>
    <row r="6389" customFormat="false" ht="15" hidden="false" customHeight="false" outlineLevel="0" collapsed="false">
      <c r="A6389" s="0" t="n">
        <v>94</v>
      </c>
      <c r="B6389" s="0" t="s">
        <v>62</v>
      </c>
      <c r="C6389" s="0" t="n">
        <v>2012</v>
      </c>
      <c r="D6389" s="0" t="n">
        <v>5</v>
      </c>
      <c r="E6389" s="38" t="n">
        <v>58357.96</v>
      </c>
    </row>
    <row r="6390" customFormat="false" ht="15" hidden="false" customHeight="false" outlineLevel="0" collapsed="false">
      <c r="A6390" s="0" t="n">
        <v>94</v>
      </c>
      <c r="B6390" s="0" t="s">
        <v>62</v>
      </c>
      <c r="C6390" s="0" t="n">
        <v>2012</v>
      </c>
      <c r="D6390" s="0" t="n">
        <v>6</v>
      </c>
      <c r="E6390" s="38" t="n">
        <v>46724.29</v>
      </c>
    </row>
    <row r="6391" customFormat="false" ht="15" hidden="false" customHeight="false" outlineLevel="0" collapsed="false">
      <c r="A6391" s="0" t="n">
        <v>94</v>
      </c>
      <c r="B6391" s="0" t="s">
        <v>62</v>
      </c>
      <c r="C6391" s="0" t="n">
        <v>2012</v>
      </c>
      <c r="D6391" s="0" t="n">
        <v>7</v>
      </c>
      <c r="E6391" s="38" t="n">
        <v>44717.61</v>
      </c>
    </row>
    <row r="6392" customFormat="false" ht="15" hidden="false" customHeight="false" outlineLevel="0" collapsed="false">
      <c r="A6392" s="0" t="n">
        <v>94</v>
      </c>
      <c r="B6392" s="0" t="s">
        <v>62</v>
      </c>
      <c r="C6392" s="0" t="n">
        <v>2012</v>
      </c>
      <c r="D6392" s="0" t="n">
        <v>8</v>
      </c>
      <c r="E6392" s="38" t="n">
        <v>42536.85</v>
      </c>
    </row>
    <row r="6393" customFormat="false" ht="15" hidden="false" customHeight="false" outlineLevel="0" collapsed="false">
      <c r="A6393" s="0" t="n">
        <v>94</v>
      </c>
      <c r="B6393" s="0" t="s">
        <v>62</v>
      </c>
      <c r="C6393" s="0" t="n">
        <v>2012</v>
      </c>
      <c r="D6393" s="0" t="n">
        <v>9</v>
      </c>
      <c r="E6393" s="38" t="n">
        <v>92141.99</v>
      </c>
    </row>
    <row r="6394" customFormat="false" ht="15" hidden="false" customHeight="false" outlineLevel="0" collapsed="false">
      <c r="A6394" s="0" t="n">
        <v>94</v>
      </c>
      <c r="B6394" s="0" t="s">
        <v>62</v>
      </c>
      <c r="C6394" s="0" t="n">
        <v>2012</v>
      </c>
      <c r="D6394" s="0" t="n">
        <v>10</v>
      </c>
      <c r="E6394" s="38" t="n">
        <v>65288.37</v>
      </c>
    </row>
    <row r="6395" customFormat="false" ht="15" hidden="false" customHeight="false" outlineLevel="0" collapsed="false">
      <c r="A6395" s="0" t="n">
        <v>94</v>
      </c>
      <c r="B6395" s="0" t="s">
        <v>62</v>
      </c>
      <c r="C6395" s="0" t="n">
        <v>2012</v>
      </c>
      <c r="D6395" s="0" t="n">
        <v>11</v>
      </c>
      <c r="E6395" s="38" t="n">
        <v>82439</v>
      </c>
    </row>
    <row r="6396" customFormat="false" ht="15" hidden="false" customHeight="false" outlineLevel="0" collapsed="false">
      <c r="A6396" s="0" t="n">
        <v>94</v>
      </c>
      <c r="B6396" s="0" t="s">
        <v>62</v>
      </c>
      <c r="C6396" s="0" t="n">
        <v>2012</v>
      </c>
      <c r="D6396" s="0" t="n">
        <v>12</v>
      </c>
      <c r="E6396" s="38" t="n">
        <v>83881.34</v>
      </c>
    </row>
    <row r="6397" customFormat="false" ht="15" hidden="false" customHeight="false" outlineLevel="0" collapsed="false">
      <c r="A6397" s="0" t="n">
        <v>94</v>
      </c>
      <c r="B6397" s="0" t="s">
        <v>62</v>
      </c>
      <c r="C6397" s="0" t="n">
        <v>2013</v>
      </c>
      <c r="D6397" s="0" t="n">
        <v>1</v>
      </c>
      <c r="E6397" s="38" t="n">
        <v>143512.13</v>
      </c>
    </row>
    <row r="6398" customFormat="false" ht="15" hidden="false" customHeight="false" outlineLevel="0" collapsed="false">
      <c r="A6398" s="0" t="n">
        <v>94</v>
      </c>
      <c r="B6398" s="0" t="s">
        <v>62</v>
      </c>
      <c r="C6398" s="0" t="n">
        <v>2013</v>
      </c>
      <c r="D6398" s="0" t="n">
        <v>2</v>
      </c>
      <c r="E6398" s="38" t="n">
        <v>80286.64</v>
      </c>
    </row>
    <row r="6399" customFormat="false" ht="15" hidden="false" customHeight="false" outlineLevel="0" collapsed="false">
      <c r="A6399" s="0" t="n">
        <v>94</v>
      </c>
      <c r="B6399" s="0" t="s">
        <v>62</v>
      </c>
      <c r="C6399" s="0" t="n">
        <v>2013</v>
      </c>
      <c r="D6399" s="0" t="n">
        <v>3</v>
      </c>
      <c r="E6399" s="38" t="n">
        <v>85829.56</v>
      </c>
    </row>
    <row r="6400" customFormat="false" ht="15" hidden="false" customHeight="false" outlineLevel="0" collapsed="false">
      <c r="A6400" s="0" t="n">
        <v>94</v>
      </c>
      <c r="B6400" s="0" t="s">
        <v>62</v>
      </c>
      <c r="C6400" s="0" t="n">
        <v>2013</v>
      </c>
      <c r="D6400" s="0" t="n">
        <v>4</v>
      </c>
      <c r="E6400" s="38" t="n">
        <v>152896.07</v>
      </c>
    </row>
    <row r="6401" customFormat="false" ht="15" hidden="false" customHeight="false" outlineLevel="0" collapsed="false">
      <c r="A6401" s="0" t="n">
        <v>94</v>
      </c>
      <c r="B6401" s="0" t="s">
        <v>62</v>
      </c>
      <c r="C6401" s="0" t="n">
        <v>2013</v>
      </c>
      <c r="D6401" s="0" t="n">
        <v>5</v>
      </c>
      <c r="E6401" s="38" t="n">
        <v>93844.99</v>
      </c>
    </row>
    <row r="6402" customFormat="false" ht="15" hidden="false" customHeight="false" outlineLevel="0" collapsed="false">
      <c r="A6402" s="0" t="n">
        <v>94</v>
      </c>
      <c r="B6402" s="0" t="s">
        <v>62</v>
      </c>
      <c r="C6402" s="0" t="n">
        <v>2013</v>
      </c>
      <c r="D6402" s="0" t="n">
        <v>6</v>
      </c>
      <c r="E6402" s="38" t="n">
        <v>96306.57</v>
      </c>
    </row>
    <row r="6403" customFormat="false" ht="15" hidden="false" customHeight="false" outlineLevel="0" collapsed="false">
      <c r="A6403" s="0" t="n">
        <v>94</v>
      </c>
      <c r="B6403" s="0" t="s">
        <v>62</v>
      </c>
      <c r="C6403" s="0" t="n">
        <v>2013</v>
      </c>
      <c r="D6403" s="0" t="n">
        <v>7</v>
      </c>
      <c r="E6403" s="38" t="n">
        <v>82381.84</v>
      </c>
    </row>
    <row r="6404" customFormat="false" ht="15" hidden="false" customHeight="false" outlineLevel="0" collapsed="false">
      <c r="A6404" s="0" t="n">
        <v>94</v>
      </c>
      <c r="B6404" s="0" t="s">
        <v>62</v>
      </c>
      <c r="C6404" s="0" t="n">
        <v>2013</v>
      </c>
      <c r="D6404" s="0" t="n">
        <v>8</v>
      </c>
      <c r="E6404" s="38" t="n">
        <v>84634.89</v>
      </c>
    </row>
    <row r="6405" customFormat="false" ht="15" hidden="false" customHeight="false" outlineLevel="0" collapsed="false">
      <c r="A6405" s="0" t="n">
        <v>94</v>
      </c>
      <c r="B6405" s="0" t="s">
        <v>64</v>
      </c>
      <c r="C6405" s="0" t="n">
        <v>2011</v>
      </c>
      <c r="D6405" s="0" t="n">
        <v>1</v>
      </c>
      <c r="E6405" s="38" t="n">
        <v>715314.32</v>
      </c>
    </row>
    <row r="6406" customFormat="false" ht="15" hidden="false" customHeight="false" outlineLevel="0" collapsed="false">
      <c r="A6406" s="0" t="n">
        <v>94</v>
      </c>
      <c r="B6406" s="0" t="s">
        <v>64</v>
      </c>
      <c r="C6406" s="0" t="n">
        <v>2011</v>
      </c>
      <c r="D6406" s="0" t="n">
        <v>2</v>
      </c>
      <c r="E6406" s="38" t="n">
        <v>814176.42</v>
      </c>
    </row>
    <row r="6407" customFormat="false" ht="15" hidden="false" customHeight="false" outlineLevel="0" collapsed="false">
      <c r="A6407" s="0" t="n">
        <v>94</v>
      </c>
      <c r="B6407" s="0" t="s">
        <v>64</v>
      </c>
      <c r="C6407" s="0" t="n">
        <v>2011</v>
      </c>
      <c r="D6407" s="0" t="n">
        <v>3</v>
      </c>
      <c r="E6407" s="38" t="n">
        <v>818069.85</v>
      </c>
    </row>
    <row r="6408" customFormat="false" ht="15" hidden="false" customHeight="false" outlineLevel="0" collapsed="false">
      <c r="A6408" s="0" t="n">
        <v>94</v>
      </c>
      <c r="B6408" s="0" t="s">
        <v>64</v>
      </c>
      <c r="C6408" s="0" t="n">
        <v>2011</v>
      </c>
      <c r="D6408" s="0" t="n">
        <v>4</v>
      </c>
      <c r="E6408" s="38" t="n">
        <v>910540.4</v>
      </c>
    </row>
    <row r="6409" customFormat="false" ht="15" hidden="false" customHeight="false" outlineLevel="0" collapsed="false">
      <c r="A6409" s="0" t="n">
        <v>94</v>
      </c>
      <c r="B6409" s="0" t="s">
        <v>64</v>
      </c>
      <c r="C6409" s="0" t="n">
        <v>2011</v>
      </c>
      <c r="D6409" s="0" t="n">
        <v>5</v>
      </c>
      <c r="E6409" s="38" t="n">
        <v>879590.34</v>
      </c>
    </row>
    <row r="6410" customFormat="false" ht="15" hidden="false" customHeight="false" outlineLevel="0" collapsed="false">
      <c r="A6410" s="0" t="n">
        <v>94</v>
      </c>
      <c r="B6410" s="0" t="s">
        <v>64</v>
      </c>
      <c r="C6410" s="0" t="n">
        <v>2011</v>
      </c>
      <c r="D6410" s="0" t="n">
        <v>6</v>
      </c>
      <c r="E6410" s="38" t="n">
        <v>893185.92</v>
      </c>
    </row>
    <row r="6411" customFormat="false" ht="15" hidden="false" customHeight="false" outlineLevel="0" collapsed="false">
      <c r="A6411" s="0" t="n">
        <v>94</v>
      </c>
      <c r="B6411" s="0" t="s">
        <v>64</v>
      </c>
      <c r="C6411" s="0" t="n">
        <v>2011</v>
      </c>
      <c r="D6411" s="0" t="n">
        <v>7</v>
      </c>
      <c r="E6411" s="38" t="n">
        <v>890805.11</v>
      </c>
    </row>
    <row r="6412" customFormat="false" ht="15" hidden="false" customHeight="false" outlineLevel="0" collapsed="false">
      <c r="A6412" s="0" t="n">
        <v>94</v>
      </c>
      <c r="B6412" s="0" t="s">
        <v>64</v>
      </c>
      <c r="C6412" s="0" t="n">
        <v>2011</v>
      </c>
      <c r="D6412" s="0" t="n">
        <v>8</v>
      </c>
      <c r="E6412" s="38" t="n">
        <v>816715.81</v>
      </c>
    </row>
    <row r="6413" customFormat="false" ht="15" hidden="false" customHeight="false" outlineLevel="0" collapsed="false">
      <c r="A6413" s="0" t="n">
        <v>94</v>
      </c>
      <c r="B6413" s="0" t="s">
        <v>64</v>
      </c>
      <c r="C6413" s="0" t="n">
        <v>2011</v>
      </c>
      <c r="D6413" s="0" t="n">
        <v>9</v>
      </c>
      <c r="E6413" s="38" t="n">
        <v>796484.13</v>
      </c>
    </row>
    <row r="6414" customFormat="false" ht="15" hidden="false" customHeight="false" outlineLevel="0" collapsed="false">
      <c r="A6414" s="0" t="n">
        <v>94</v>
      </c>
      <c r="B6414" s="0" t="s">
        <v>64</v>
      </c>
      <c r="C6414" s="0" t="n">
        <v>2011</v>
      </c>
      <c r="D6414" s="0" t="n">
        <v>10</v>
      </c>
      <c r="E6414" s="38" t="n">
        <v>695894.63</v>
      </c>
    </row>
    <row r="6415" customFormat="false" ht="15" hidden="false" customHeight="false" outlineLevel="0" collapsed="false">
      <c r="A6415" s="0" t="n">
        <v>94</v>
      </c>
      <c r="B6415" s="0" t="s">
        <v>64</v>
      </c>
      <c r="C6415" s="0" t="n">
        <v>2011</v>
      </c>
      <c r="D6415" s="0" t="n">
        <v>11</v>
      </c>
      <c r="E6415" s="38" t="n">
        <v>691433.15</v>
      </c>
    </row>
    <row r="6416" customFormat="false" ht="15" hidden="false" customHeight="false" outlineLevel="0" collapsed="false">
      <c r="A6416" s="0" t="n">
        <v>94</v>
      </c>
      <c r="B6416" s="0" t="s">
        <v>64</v>
      </c>
      <c r="C6416" s="0" t="n">
        <v>2011</v>
      </c>
      <c r="D6416" s="0" t="n">
        <v>12</v>
      </c>
      <c r="E6416" s="38" t="n">
        <v>785620.44</v>
      </c>
    </row>
    <row r="6417" customFormat="false" ht="15" hidden="false" customHeight="false" outlineLevel="0" collapsed="false">
      <c r="A6417" s="0" t="n">
        <v>94</v>
      </c>
      <c r="B6417" s="0" t="s">
        <v>64</v>
      </c>
      <c r="C6417" s="0" t="n">
        <v>2012</v>
      </c>
      <c r="D6417" s="0" t="n">
        <v>1</v>
      </c>
      <c r="E6417" s="38" t="n">
        <v>757119.76</v>
      </c>
    </row>
    <row r="6418" customFormat="false" ht="15" hidden="false" customHeight="false" outlineLevel="0" collapsed="false">
      <c r="A6418" s="0" t="n">
        <v>94</v>
      </c>
      <c r="B6418" s="0" t="s">
        <v>64</v>
      </c>
      <c r="C6418" s="0" t="n">
        <v>2012</v>
      </c>
      <c r="D6418" s="0" t="n">
        <v>2</v>
      </c>
      <c r="E6418" s="38" t="n">
        <v>836716.59</v>
      </c>
    </row>
    <row r="6419" customFormat="false" ht="15" hidden="false" customHeight="false" outlineLevel="0" collapsed="false">
      <c r="A6419" s="0" t="n">
        <v>94</v>
      </c>
      <c r="B6419" s="0" t="s">
        <v>64</v>
      </c>
      <c r="C6419" s="0" t="n">
        <v>2012</v>
      </c>
      <c r="D6419" s="0" t="n">
        <v>3</v>
      </c>
      <c r="E6419" s="38" t="n">
        <v>849971.33</v>
      </c>
    </row>
    <row r="6420" customFormat="false" ht="15" hidden="false" customHeight="false" outlineLevel="0" collapsed="false">
      <c r="A6420" s="0" t="n">
        <v>94</v>
      </c>
      <c r="B6420" s="0" t="s">
        <v>64</v>
      </c>
      <c r="C6420" s="0" t="n">
        <v>2012</v>
      </c>
      <c r="D6420" s="0" t="n">
        <v>4</v>
      </c>
      <c r="E6420" s="38" t="n">
        <v>940360.11</v>
      </c>
    </row>
    <row r="6421" customFormat="false" ht="15" hidden="false" customHeight="false" outlineLevel="0" collapsed="false">
      <c r="A6421" s="0" t="n">
        <v>94</v>
      </c>
      <c r="B6421" s="0" t="s">
        <v>64</v>
      </c>
      <c r="C6421" s="0" t="n">
        <v>2012</v>
      </c>
      <c r="D6421" s="0" t="n">
        <v>5</v>
      </c>
      <c r="E6421" s="38" t="n">
        <v>849749.76</v>
      </c>
    </row>
    <row r="6422" customFormat="false" ht="15" hidden="false" customHeight="false" outlineLevel="0" collapsed="false">
      <c r="A6422" s="0" t="n">
        <v>94</v>
      </c>
      <c r="B6422" s="0" t="s">
        <v>64</v>
      </c>
      <c r="C6422" s="0" t="n">
        <v>2012</v>
      </c>
      <c r="D6422" s="0" t="n">
        <v>6</v>
      </c>
      <c r="E6422" s="38" t="n">
        <v>851076.42</v>
      </c>
    </row>
    <row r="6423" customFormat="false" ht="15" hidden="false" customHeight="false" outlineLevel="0" collapsed="false">
      <c r="A6423" s="0" t="n">
        <v>94</v>
      </c>
      <c r="B6423" s="0" t="s">
        <v>64</v>
      </c>
      <c r="C6423" s="0" t="n">
        <v>2012</v>
      </c>
      <c r="D6423" s="0" t="n">
        <v>7</v>
      </c>
      <c r="E6423" s="38" t="n">
        <v>868356.4</v>
      </c>
    </row>
    <row r="6424" customFormat="false" ht="15" hidden="false" customHeight="false" outlineLevel="0" collapsed="false">
      <c r="A6424" s="0" t="n">
        <v>94</v>
      </c>
      <c r="B6424" s="0" t="s">
        <v>64</v>
      </c>
      <c r="C6424" s="0" t="n">
        <v>2012</v>
      </c>
      <c r="D6424" s="0" t="n">
        <v>8</v>
      </c>
      <c r="E6424" s="38" t="n">
        <v>778265.12</v>
      </c>
    </row>
    <row r="6425" customFormat="false" ht="15" hidden="false" customHeight="false" outlineLevel="0" collapsed="false">
      <c r="A6425" s="0" t="n">
        <v>94</v>
      </c>
      <c r="B6425" s="0" t="s">
        <v>64</v>
      </c>
      <c r="C6425" s="0" t="n">
        <v>2012</v>
      </c>
      <c r="D6425" s="0" t="n">
        <v>9</v>
      </c>
      <c r="E6425" s="38" t="n">
        <v>789669.73</v>
      </c>
    </row>
    <row r="6426" customFormat="false" ht="15" hidden="false" customHeight="false" outlineLevel="0" collapsed="false">
      <c r="A6426" s="0" t="n">
        <v>94</v>
      </c>
      <c r="B6426" s="0" t="s">
        <v>64</v>
      </c>
      <c r="C6426" s="0" t="n">
        <v>2012</v>
      </c>
      <c r="D6426" s="0" t="n">
        <v>10</v>
      </c>
      <c r="E6426" s="38" t="n">
        <v>722371.46</v>
      </c>
    </row>
    <row r="6427" customFormat="false" ht="15" hidden="false" customHeight="false" outlineLevel="0" collapsed="false">
      <c r="A6427" s="0" t="n">
        <v>94</v>
      </c>
      <c r="B6427" s="0" t="s">
        <v>64</v>
      </c>
      <c r="C6427" s="0" t="n">
        <v>2012</v>
      </c>
      <c r="D6427" s="0" t="n">
        <v>11</v>
      </c>
      <c r="E6427" s="38" t="n">
        <v>697974.19</v>
      </c>
    </row>
    <row r="6428" customFormat="false" ht="15" hidden="false" customHeight="false" outlineLevel="0" collapsed="false">
      <c r="A6428" s="0" t="n">
        <v>94</v>
      </c>
      <c r="B6428" s="0" t="s">
        <v>64</v>
      </c>
      <c r="C6428" s="0" t="n">
        <v>2012</v>
      </c>
      <c r="D6428" s="0" t="n">
        <v>12</v>
      </c>
      <c r="E6428" s="38" t="n">
        <v>817981.75</v>
      </c>
    </row>
    <row r="6429" customFormat="false" ht="15" hidden="false" customHeight="false" outlineLevel="0" collapsed="false">
      <c r="A6429" s="0" t="n">
        <v>94</v>
      </c>
      <c r="B6429" s="0" t="s">
        <v>64</v>
      </c>
      <c r="C6429" s="0" t="n">
        <v>2013</v>
      </c>
      <c r="D6429" s="0" t="n">
        <v>1</v>
      </c>
      <c r="E6429" s="38" t="n">
        <v>793924.3</v>
      </c>
    </row>
    <row r="6430" customFormat="false" ht="15" hidden="false" customHeight="false" outlineLevel="0" collapsed="false">
      <c r="A6430" s="0" t="n">
        <v>94</v>
      </c>
      <c r="B6430" s="0" t="s">
        <v>64</v>
      </c>
      <c r="C6430" s="0" t="n">
        <v>2013</v>
      </c>
      <c r="D6430" s="0" t="n">
        <v>2</v>
      </c>
      <c r="E6430" s="38" t="n">
        <v>820875.46</v>
      </c>
    </row>
    <row r="6431" customFormat="false" ht="15" hidden="false" customHeight="false" outlineLevel="0" collapsed="false">
      <c r="A6431" s="0" t="n">
        <v>94</v>
      </c>
      <c r="B6431" s="0" t="s">
        <v>64</v>
      </c>
      <c r="C6431" s="0" t="n">
        <v>2013</v>
      </c>
      <c r="D6431" s="0" t="n">
        <v>3</v>
      </c>
      <c r="E6431" s="38" t="n">
        <v>833025.47</v>
      </c>
    </row>
    <row r="6432" customFormat="false" ht="15" hidden="false" customHeight="false" outlineLevel="0" collapsed="false">
      <c r="A6432" s="0" t="n">
        <v>94</v>
      </c>
      <c r="B6432" s="0" t="s">
        <v>64</v>
      </c>
      <c r="C6432" s="0" t="n">
        <v>2013</v>
      </c>
      <c r="D6432" s="0" t="n">
        <v>4</v>
      </c>
      <c r="E6432" s="38" t="n">
        <v>924660.86</v>
      </c>
    </row>
    <row r="6433" customFormat="false" ht="15" hidden="false" customHeight="false" outlineLevel="0" collapsed="false">
      <c r="A6433" s="0" t="n">
        <v>94</v>
      </c>
      <c r="B6433" s="0" t="s">
        <v>64</v>
      </c>
      <c r="C6433" s="0" t="n">
        <v>2013</v>
      </c>
      <c r="D6433" s="0" t="n">
        <v>5</v>
      </c>
      <c r="E6433" s="38" t="n">
        <v>878214.63</v>
      </c>
    </row>
    <row r="6434" customFormat="false" ht="15" hidden="false" customHeight="false" outlineLevel="0" collapsed="false">
      <c r="A6434" s="0" t="n">
        <v>94</v>
      </c>
      <c r="B6434" s="0" t="s">
        <v>64</v>
      </c>
      <c r="C6434" s="0" t="n">
        <v>2013</v>
      </c>
      <c r="D6434" s="0" t="n">
        <v>6</v>
      </c>
      <c r="E6434" s="38" t="n">
        <v>912355.39</v>
      </c>
    </row>
    <row r="6435" customFormat="false" ht="15" hidden="false" customHeight="false" outlineLevel="0" collapsed="false">
      <c r="A6435" s="0" t="n">
        <v>94</v>
      </c>
      <c r="B6435" s="0" t="s">
        <v>64</v>
      </c>
      <c r="C6435" s="0" t="n">
        <v>2013</v>
      </c>
      <c r="D6435" s="0" t="n">
        <v>7</v>
      </c>
      <c r="E6435" s="38" t="n">
        <v>904075.6</v>
      </c>
    </row>
    <row r="6436" customFormat="false" ht="15" hidden="false" customHeight="false" outlineLevel="0" collapsed="false">
      <c r="A6436" s="0" t="n">
        <v>94</v>
      </c>
      <c r="B6436" s="0" t="s">
        <v>64</v>
      </c>
      <c r="C6436" s="0" t="n">
        <v>2013</v>
      </c>
      <c r="D6436" s="0" t="n">
        <v>8</v>
      </c>
      <c r="E6436" s="38" t="n">
        <v>841392.53</v>
      </c>
    </row>
    <row r="6437" customFormat="false" ht="15" hidden="false" customHeight="false" outlineLevel="0" collapsed="false">
      <c r="A6437" s="0" t="n">
        <v>95</v>
      </c>
      <c r="B6437" s="0" t="s">
        <v>60</v>
      </c>
      <c r="C6437" s="0" t="n">
        <v>2011</v>
      </c>
      <c r="D6437" s="0" t="n">
        <v>1</v>
      </c>
      <c r="E6437" s="38" t="n">
        <v>8016455.62</v>
      </c>
    </row>
    <row r="6438" customFormat="false" ht="15" hidden="false" customHeight="false" outlineLevel="0" collapsed="false">
      <c r="A6438" s="0" t="n">
        <v>95</v>
      </c>
      <c r="B6438" s="0" t="s">
        <v>60</v>
      </c>
      <c r="C6438" s="0" t="n">
        <v>2011</v>
      </c>
      <c r="D6438" s="0" t="n">
        <v>2</v>
      </c>
      <c r="E6438" s="38" t="n">
        <v>8988010.71</v>
      </c>
    </row>
    <row r="6439" customFormat="false" ht="15" hidden="false" customHeight="false" outlineLevel="0" collapsed="false">
      <c r="A6439" s="0" t="n">
        <v>95</v>
      </c>
      <c r="B6439" s="0" t="s">
        <v>60</v>
      </c>
      <c r="C6439" s="0" t="n">
        <v>2011</v>
      </c>
      <c r="D6439" s="0" t="n">
        <v>3</v>
      </c>
      <c r="E6439" s="38" t="n">
        <v>9127111.06</v>
      </c>
    </row>
    <row r="6440" customFormat="false" ht="15" hidden="false" customHeight="false" outlineLevel="0" collapsed="false">
      <c r="A6440" s="0" t="n">
        <v>95</v>
      </c>
      <c r="B6440" s="0" t="s">
        <v>60</v>
      </c>
      <c r="C6440" s="0" t="n">
        <v>2011</v>
      </c>
      <c r="D6440" s="0" t="n">
        <v>4</v>
      </c>
      <c r="E6440" s="38" t="n">
        <v>10091107.68</v>
      </c>
    </row>
    <row r="6441" customFormat="false" ht="15" hidden="false" customHeight="false" outlineLevel="0" collapsed="false">
      <c r="A6441" s="0" t="n">
        <v>95</v>
      </c>
      <c r="B6441" s="0" t="s">
        <v>60</v>
      </c>
      <c r="C6441" s="0" t="n">
        <v>2011</v>
      </c>
      <c r="D6441" s="0" t="n">
        <v>5</v>
      </c>
      <c r="E6441" s="38" t="n">
        <v>10200768.47</v>
      </c>
    </row>
    <row r="6442" customFormat="false" ht="15" hidden="false" customHeight="false" outlineLevel="0" collapsed="false">
      <c r="A6442" s="0" t="n">
        <v>95</v>
      </c>
      <c r="B6442" s="0" t="s">
        <v>60</v>
      </c>
      <c r="C6442" s="0" t="n">
        <v>2011</v>
      </c>
      <c r="D6442" s="0" t="n">
        <v>6</v>
      </c>
      <c r="E6442" s="38" t="n">
        <v>10049665.13</v>
      </c>
    </row>
    <row r="6443" customFormat="false" ht="15" hidden="false" customHeight="false" outlineLevel="0" collapsed="false">
      <c r="A6443" s="0" t="n">
        <v>95</v>
      </c>
      <c r="B6443" s="0" t="s">
        <v>60</v>
      </c>
      <c r="C6443" s="0" t="n">
        <v>2011</v>
      </c>
      <c r="D6443" s="0" t="n">
        <v>7</v>
      </c>
      <c r="E6443" s="38" t="n">
        <v>10055747.07</v>
      </c>
    </row>
    <row r="6444" customFormat="false" ht="15" hidden="false" customHeight="false" outlineLevel="0" collapsed="false">
      <c r="A6444" s="0" t="n">
        <v>95</v>
      </c>
      <c r="B6444" s="0" t="s">
        <v>60</v>
      </c>
      <c r="C6444" s="0" t="n">
        <v>2011</v>
      </c>
      <c r="D6444" s="0" t="n">
        <v>8</v>
      </c>
      <c r="E6444" s="38" t="n">
        <v>9008327.23</v>
      </c>
    </row>
    <row r="6445" customFormat="false" ht="15" hidden="false" customHeight="false" outlineLevel="0" collapsed="false">
      <c r="A6445" s="0" t="n">
        <v>95</v>
      </c>
      <c r="B6445" s="0" t="s">
        <v>60</v>
      </c>
      <c r="C6445" s="0" t="n">
        <v>2011</v>
      </c>
      <c r="D6445" s="0" t="n">
        <v>9</v>
      </c>
      <c r="E6445" s="38" t="n">
        <v>8890588.17</v>
      </c>
    </row>
    <row r="6446" customFormat="false" ht="15" hidden="false" customHeight="false" outlineLevel="0" collapsed="false">
      <c r="A6446" s="0" t="n">
        <v>95</v>
      </c>
      <c r="B6446" s="0" t="s">
        <v>60</v>
      </c>
      <c r="C6446" s="0" t="n">
        <v>2011</v>
      </c>
      <c r="D6446" s="0" t="n">
        <v>10</v>
      </c>
      <c r="E6446" s="38" t="n">
        <v>8241493.31</v>
      </c>
    </row>
    <row r="6447" customFormat="false" ht="15" hidden="false" customHeight="false" outlineLevel="0" collapsed="false">
      <c r="A6447" s="0" t="n">
        <v>95</v>
      </c>
      <c r="B6447" s="0" t="s">
        <v>60</v>
      </c>
      <c r="C6447" s="0" t="n">
        <v>2011</v>
      </c>
      <c r="D6447" s="0" t="n">
        <v>11</v>
      </c>
      <c r="E6447" s="38" t="n">
        <v>8739911.99</v>
      </c>
    </row>
    <row r="6448" customFormat="false" ht="15" hidden="false" customHeight="false" outlineLevel="0" collapsed="false">
      <c r="A6448" s="0" t="n">
        <v>95</v>
      </c>
      <c r="B6448" s="0" t="s">
        <v>60</v>
      </c>
      <c r="C6448" s="0" t="n">
        <v>2011</v>
      </c>
      <c r="D6448" s="0" t="n">
        <v>12</v>
      </c>
      <c r="E6448" s="38" t="n">
        <v>8546942.66</v>
      </c>
    </row>
    <row r="6449" customFormat="false" ht="15" hidden="false" customHeight="false" outlineLevel="0" collapsed="false">
      <c r="A6449" s="0" t="n">
        <v>95</v>
      </c>
      <c r="B6449" s="0" t="s">
        <v>60</v>
      </c>
      <c r="C6449" s="0" t="n">
        <v>2012</v>
      </c>
      <c r="D6449" s="0" t="n">
        <v>1</v>
      </c>
      <c r="E6449" s="38" t="n">
        <v>8133459.23</v>
      </c>
    </row>
    <row r="6450" customFormat="false" ht="15" hidden="false" customHeight="false" outlineLevel="0" collapsed="false">
      <c r="A6450" s="0" t="n">
        <v>95</v>
      </c>
      <c r="B6450" s="0" t="s">
        <v>60</v>
      </c>
      <c r="C6450" s="0" t="n">
        <v>2012</v>
      </c>
      <c r="D6450" s="0" t="n">
        <v>2</v>
      </c>
      <c r="E6450" s="38" t="n">
        <v>8952902.98</v>
      </c>
    </row>
    <row r="6451" customFormat="false" ht="15" hidden="false" customHeight="false" outlineLevel="0" collapsed="false">
      <c r="A6451" s="0" t="n">
        <v>95</v>
      </c>
      <c r="B6451" s="0" t="s">
        <v>60</v>
      </c>
      <c r="C6451" s="0" t="n">
        <v>2012</v>
      </c>
      <c r="D6451" s="0" t="n">
        <v>3</v>
      </c>
      <c r="E6451" s="38" t="n">
        <v>8824465.3</v>
      </c>
    </row>
    <row r="6452" customFormat="false" ht="15" hidden="false" customHeight="false" outlineLevel="0" collapsed="false">
      <c r="A6452" s="0" t="n">
        <v>95</v>
      </c>
      <c r="B6452" s="0" t="s">
        <v>60</v>
      </c>
      <c r="C6452" s="0" t="n">
        <v>2012</v>
      </c>
      <c r="D6452" s="0" t="n">
        <v>4</v>
      </c>
      <c r="E6452" s="38" t="n">
        <v>9603374.13</v>
      </c>
    </row>
    <row r="6453" customFormat="false" ht="15" hidden="false" customHeight="false" outlineLevel="0" collapsed="false">
      <c r="A6453" s="0" t="n">
        <v>95</v>
      </c>
      <c r="B6453" s="0" t="s">
        <v>60</v>
      </c>
      <c r="C6453" s="0" t="n">
        <v>2012</v>
      </c>
      <c r="D6453" s="0" t="n">
        <v>5</v>
      </c>
      <c r="E6453" s="38" t="n">
        <v>9936864.06</v>
      </c>
    </row>
    <row r="6454" customFormat="false" ht="15" hidden="false" customHeight="false" outlineLevel="0" collapsed="false">
      <c r="A6454" s="0" t="n">
        <v>95</v>
      </c>
      <c r="B6454" s="0" t="s">
        <v>60</v>
      </c>
      <c r="C6454" s="0" t="n">
        <v>2012</v>
      </c>
      <c r="D6454" s="0" t="n">
        <v>6</v>
      </c>
      <c r="E6454" s="38" t="n">
        <v>10245967.87</v>
      </c>
    </row>
    <row r="6455" customFormat="false" ht="15" hidden="false" customHeight="false" outlineLevel="0" collapsed="false">
      <c r="A6455" s="0" t="n">
        <v>95</v>
      </c>
      <c r="B6455" s="0" t="s">
        <v>60</v>
      </c>
      <c r="C6455" s="0" t="n">
        <v>2012</v>
      </c>
      <c r="D6455" s="0" t="n">
        <v>7</v>
      </c>
      <c r="E6455" s="38" t="n">
        <v>10257006.26</v>
      </c>
    </row>
    <row r="6456" customFormat="false" ht="15" hidden="false" customHeight="false" outlineLevel="0" collapsed="false">
      <c r="A6456" s="0" t="n">
        <v>95</v>
      </c>
      <c r="B6456" s="0" t="s">
        <v>60</v>
      </c>
      <c r="C6456" s="0" t="n">
        <v>2012</v>
      </c>
      <c r="D6456" s="0" t="n">
        <v>8</v>
      </c>
      <c r="E6456" s="38" t="n">
        <v>9188376.08</v>
      </c>
    </row>
    <row r="6457" customFormat="false" ht="15" hidden="false" customHeight="false" outlineLevel="0" collapsed="false">
      <c r="A6457" s="0" t="n">
        <v>95</v>
      </c>
      <c r="B6457" s="0" t="s">
        <v>60</v>
      </c>
      <c r="C6457" s="0" t="n">
        <v>2012</v>
      </c>
      <c r="D6457" s="0" t="n">
        <v>9</v>
      </c>
      <c r="E6457" s="38" t="n">
        <v>9279599.77</v>
      </c>
    </row>
    <row r="6458" customFormat="false" ht="15" hidden="false" customHeight="false" outlineLevel="0" collapsed="false">
      <c r="A6458" s="0" t="n">
        <v>95</v>
      </c>
      <c r="B6458" s="0" t="s">
        <v>60</v>
      </c>
      <c r="C6458" s="0" t="n">
        <v>2012</v>
      </c>
      <c r="D6458" s="0" t="n">
        <v>10</v>
      </c>
      <c r="E6458" s="38" t="n">
        <v>8510819.68</v>
      </c>
    </row>
    <row r="6459" customFormat="false" ht="15" hidden="false" customHeight="false" outlineLevel="0" collapsed="false">
      <c r="A6459" s="0" t="n">
        <v>95</v>
      </c>
      <c r="B6459" s="0" t="s">
        <v>60</v>
      </c>
      <c r="C6459" s="0" t="n">
        <v>2012</v>
      </c>
      <c r="D6459" s="0" t="n">
        <v>11</v>
      </c>
      <c r="E6459" s="38" t="n">
        <v>8967164.94</v>
      </c>
    </row>
    <row r="6460" customFormat="false" ht="15" hidden="false" customHeight="false" outlineLevel="0" collapsed="false">
      <c r="A6460" s="0" t="n">
        <v>95</v>
      </c>
      <c r="B6460" s="0" t="s">
        <v>60</v>
      </c>
      <c r="C6460" s="0" t="n">
        <v>2012</v>
      </c>
      <c r="D6460" s="0" t="n">
        <v>12</v>
      </c>
      <c r="E6460" s="38" t="n">
        <v>8806431.06</v>
      </c>
    </row>
    <row r="6461" customFormat="false" ht="15" hidden="false" customHeight="false" outlineLevel="0" collapsed="false">
      <c r="A6461" s="0" t="n">
        <v>95</v>
      </c>
      <c r="B6461" s="0" t="s">
        <v>60</v>
      </c>
      <c r="C6461" s="0" t="n">
        <v>2013</v>
      </c>
      <c r="D6461" s="0" t="n">
        <v>1</v>
      </c>
      <c r="E6461" s="38" t="n">
        <v>8511230.05</v>
      </c>
    </row>
    <row r="6462" customFormat="false" ht="15" hidden="false" customHeight="false" outlineLevel="0" collapsed="false">
      <c r="A6462" s="0" t="n">
        <v>95</v>
      </c>
      <c r="B6462" s="0" t="s">
        <v>60</v>
      </c>
      <c r="C6462" s="0" t="n">
        <v>2013</v>
      </c>
      <c r="D6462" s="0" t="n">
        <v>2</v>
      </c>
      <c r="E6462" s="38" t="n">
        <v>9295031</v>
      </c>
    </row>
    <row r="6463" customFormat="false" ht="15" hidden="false" customHeight="false" outlineLevel="0" collapsed="false">
      <c r="A6463" s="0" t="n">
        <v>95</v>
      </c>
      <c r="B6463" s="0" t="s">
        <v>60</v>
      </c>
      <c r="C6463" s="0" t="n">
        <v>2013</v>
      </c>
      <c r="D6463" s="0" t="n">
        <v>3</v>
      </c>
      <c r="E6463" s="38" t="n">
        <v>9272634.43</v>
      </c>
    </row>
    <row r="6464" customFormat="false" ht="15" hidden="false" customHeight="false" outlineLevel="0" collapsed="false">
      <c r="A6464" s="0" t="n">
        <v>95</v>
      </c>
      <c r="B6464" s="0" t="s">
        <v>60</v>
      </c>
      <c r="C6464" s="0" t="n">
        <v>2013</v>
      </c>
      <c r="D6464" s="0" t="n">
        <v>4</v>
      </c>
      <c r="E6464" s="38" t="n">
        <v>9941061.59</v>
      </c>
    </row>
    <row r="6465" customFormat="false" ht="15" hidden="false" customHeight="false" outlineLevel="0" collapsed="false">
      <c r="A6465" s="0" t="n">
        <v>95</v>
      </c>
      <c r="B6465" s="0" t="s">
        <v>60</v>
      </c>
      <c r="C6465" s="0" t="n">
        <v>2013</v>
      </c>
      <c r="D6465" s="0" t="n">
        <v>5</v>
      </c>
      <c r="E6465" s="38" t="n">
        <v>10007000.66</v>
      </c>
    </row>
    <row r="6466" customFormat="false" ht="15" hidden="false" customHeight="false" outlineLevel="0" collapsed="false">
      <c r="A6466" s="0" t="n">
        <v>95</v>
      </c>
      <c r="B6466" s="0" t="s">
        <v>60</v>
      </c>
      <c r="C6466" s="0" t="n">
        <v>2013</v>
      </c>
      <c r="D6466" s="0" t="n">
        <v>6</v>
      </c>
      <c r="E6466" s="38" t="n">
        <v>10220539.99</v>
      </c>
    </row>
    <row r="6467" customFormat="false" ht="15" hidden="false" customHeight="false" outlineLevel="0" collapsed="false">
      <c r="A6467" s="0" t="n">
        <v>95</v>
      </c>
      <c r="B6467" s="0" t="s">
        <v>60</v>
      </c>
      <c r="C6467" s="0" t="n">
        <v>2013</v>
      </c>
      <c r="D6467" s="0" t="n">
        <v>7</v>
      </c>
      <c r="E6467" s="38" t="n">
        <v>10026325.05</v>
      </c>
    </row>
    <row r="6468" customFormat="false" ht="15" hidden="false" customHeight="false" outlineLevel="0" collapsed="false">
      <c r="A6468" s="0" t="n">
        <v>95</v>
      </c>
      <c r="B6468" s="0" t="s">
        <v>60</v>
      </c>
      <c r="C6468" s="0" t="n">
        <v>2013</v>
      </c>
      <c r="D6468" s="0" t="n">
        <v>8</v>
      </c>
      <c r="E6468" s="38" t="n">
        <v>9207331.14</v>
      </c>
    </row>
    <row r="6469" customFormat="false" ht="15" hidden="false" customHeight="false" outlineLevel="0" collapsed="false">
      <c r="A6469" s="0" t="n">
        <v>95</v>
      </c>
      <c r="B6469" s="0" t="s">
        <v>62</v>
      </c>
      <c r="C6469" s="0" t="n">
        <v>2011</v>
      </c>
      <c r="D6469" s="0" t="n">
        <v>1</v>
      </c>
      <c r="E6469" s="38" t="n">
        <v>2537133.05</v>
      </c>
    </row>
    <row r="6470" customFormat="false" ht="15" hidden="false" customHeight="false" outlineLevel="0" collapsed="false">
      <c r="A6470" s="0" t="n">
        <v>95</v>
      </c>
      <c r="B6470" s="0" t="s">
        <v>62</v>
      </c>
      <c r="C6470" s="0" t="n">
        <v>2011</v>
      </c>
      <c r="D6470" s="0" t="n">
        <v>2</v>
      </c>
      <c r="E6470" s="38" t="n">
        <v>2912253.7</v>
      </c>
    </row>
    <row r="6471" customFormat="false" ht="15" hidden="false" customHeight="false" outlineLevel="0" collapsed="false">
      <c r="A6471" s="0" t="n">
        <v>95</v>
      </c>
      <c r="B6471" s="0" t="s">
        <v>62</v>
      </c>
      <c r="C6471" s="0" t="n">
        <v>2011</v>
      </c>
      <c r="D6471" s="0" t="n">
        <v>3</v>
      </c>
      <c r="E6471" s="38" t="n">
        <v>2979858.61</v>
      </c>
    </row>
    <row r="6472" customFormat="false" ht="15" hidden="false" customHeight="false" outlineLevel="0" collapsed="false">
      <c r="A6472" s="0" t="n">
        <v>95</v>
      </c>
      <c r="B6472" s="0" t="s">
        <v>62</v>
      </c>
      <c r="C6472" s="0" t="n">
        <v>2011</v>
      </c>
      <c r="D6472" s="0" t="n">
        <v>4</v>
      </c>
      <c r="E6472" s="38" t="n">
        <v>3431765.11</v>
      </c>
    </row>
    <row r="6473" customFormat="false" ht="15" hidden="false" customHeight="false" outlineLevel="0" collapsed="false">
      <c r="A6473" s="0" t="n">
        <v>95</v>
      </c>
      <c r="B6473" s="0" t="s">
        <v>62</v>
      </c>
      <c r="C6473" s="0" t="n">
        <v>2011</v>
      </c>
      <c r="D6473" s="0" t="n">
        <v>5</v>
      </c>
      <c r="E6473" s="38" t="n">
        <v>3615057.81</v>
      </c>
    </row>
    <row r="6474" customFormat="false" ht="15" hidden="false" customHeight="false" outlineLevel="0" collapsed="false">
      <c r="A6474" s="0" t="n">
        <v>95</v>
      </c>
      <c r="B6474" s="0" t="s">
        <v>62</v>
      </c>
      <c r="C6474" s="0" t="n">
        <v>2011</v>
      </c>
      <c r="D6474" s="0" t="n">
        <v>6</v>
      </c>
      <c r="E6474" s="38" t="n">
        <v>3446777.64</v>
      </c>
    </row>
    <row r="6475" customFormat="false" ht="15" hidden="false" customHeight="false" outlineLevel="0" collapsed="false">
      <c r="A6475" s="0" t="n">
        <v>95</v>
      </c>
      <c r="B6475" s="0" t="s">
        <v>62</v>
      </c>
      <c r="C6475" s="0" t="n">
        <v>2011</v>
      </c>
      <c r="D6475" s="0" t="n">
        <v>7</v>
      </c>
      <c r="E6475" s="38" t="n">
        <v>3295546.3</v>
      </c>
    </row>
    <row r="6476" customFormat="false" ht="15" hidden="false" customHeight="false" outlineLevel="0" collapsed="false">
      <c r="A6476" s="0" t="n">
        <v>95</v>
      </c>
      <c r="B6476" s="0" t="s">
        <v>62</v>
      </c>
      <c r="C6476" s="0" t="n">
        <v>2011</v>
      </c>
      <c r="D6476" s="0" t="n">
        <v>8</v>
      </c>
      <c r="E6476" s="38" t="n">
        <v>2890506.01</v>
      </c>
    </row>
    <row r="6477" customFormat="false" ht="15" hidden="false" customHeight="false" outlineLevel="0" collapsed="false">
      <c r="A6477" s="0" t="n">
        <v>95</v>
      </c>
      <c r="B6477" s="0" t="s">
        <v>62</v>
      </c>
      <c r="C6477" s="0" t="n">
        <v>2011</v>
      </c>
      <c r="D6477" s="0" t="n">
        <v>9</v>
      </c>
      <c r="E6477" s="38" t="n">
        <v>2781564.04</v>
      </c>
    </row>
    <row r="6478" customFormat="false" ht="15" hidden="false" customHeight="false" outlineLevel="0" collapsed="false">
      <c r="A6478" s="0" t="n">
        <v>95</v>
      </c>
      <c r="B6478" s="0" t="s">
        <v>62</v>
      </c>
      <c r="C6478" s="0" t="n">
        <v>2011</v>
      </c>
      <c r="D6478" s="0" t="n">
        <v>10</v>
      </c>
      <c r="E6478" s="38" t="n">
        <v>2575168.81</v>
      </c>
    </row>
    <row r="6479" customFormat="false" ht="15" hidden="false" customHeight="false" outlineLevel="0" collapsed="false">
      <c r="A6479" s="0" t="n">
        <v>95</v>
      </c>
      <c r="B6479" s="0" t="s">
        <v>62</v>
      </c>
      <c r="C6479" s="0" t="n">
        <v>2011</v>
      </c>
      <c r="D6479" s="0" t="n">
        <v>11</v>
      </c>
      <c r="E6479" s="38" t="n">
        <v>2745876.32</v>
      </c>
    </row>
    <row r="6480" customFormat="false" ht="15" hidden="false" customHeight="false" outlineLevel="0" collapsed="false">
      <c r="A6480" s="0" t="n">
        <v>95</v>
      </c>
      <c r="B6480" s="0" t="s">
        <v>62</v>
      </c>
      <c r="C6480" s="0" t="n">
        <v>2011</v>
      </c>
      <c r="D6480" s="0" t="n">
        <v>12</v>
      </c>
      <c r="E6480" s="38" t="n">
        <v>2765134.62</v>
      </c>
    </row>
    <row r="6481" customFormat="false" ht="15" hidden="false" customHeight="false" outlineLevel="0" collapsed="false">
      <c r="A6481" s="0" t="n">
        <v>95</v>
      </c>
      <c r="B6481" s="0" t="s">
        <v>62</v>
      </c>
      <c r="C6481" s="0" t="n">
        <v>2012</v>
      </c>
      <c r="D6481" s="0" t="n">
        <v>1</v>
      </c>
      <c r="E6481" s="38" t="n">
        <v>2607546.06</v>
      </c>
    </row>
    <row r="6482" customFormat="false" ht="15" hidden="false" customHeight="false" outlineLevel="0" collapsed="false">
      <c r="A6482" s="0" t="n">
        <v>95</v>
      </c>
      <c r="B6482" s="0" t="s">
        <v>62</v>
      </c>
      <c r="C6482" s="0" t="n">
        <v>2012</v>
      </c>
      <c r="D6482" s="0" t="n">
        <v>2</v>
      </c>
      <c r="E6482" s="38" t="n">
        <v>2935605.84</v>
      </c>
    </row>
    <row r="6483" customFormat="false" ht="15" hidden="false" customHeight="false" outlineLevel="0" collapsed="false">
      <c r="A6483" s="0" t="n">
        <v>95</v>
      </c>
      <c r="B6483" s="0" t="s">
        <v>62</v>
      </c>
      <c r="C6483" s="0" t="n">
        <v>2012</v>
      </c>
      <c r="D6483" s="0" t="n">
        <v>3</v>
      </c>
      <c r="E6483" s="38" t="n">
        <v>2766014.71</v>
      </c>
    </row>
    <row r="6484" customFormat="false" ht="15" hidden="false" customHeight="false" outlineLevel="0" collapsed="false">
      <c r="A6484" s="0" t="n">
        <v>95</v>
      </c>
      <c r="B6484" s="0" t="s">
        <v>62</v>
      </c>
      <c r="C6484" s="0" t="n">
        <v>2012</v>
      </c>
      <c r="D6484" s="0" t="n">
        <v>4</v>
      </c>
      <c r="E6484" s="38" t="n">
        <v>3165136.02</v>
      </c>
    </row>
    <row r="6485" customFormat="false" ht="15" hidden="false" customHeight="false" outlineLevel="0" collapsed="false">
      <c r="A6485" s="0" t="n">
        <v>95</v>
      </c>
      <c r="B6485" s="0" t="s">
        <v>62</v>
      </c>
      <c r="C6485" s="0" t="n">
        <v>2012</v>
      </c>
      <c r="D6485" s="0" t="n">
        <v>5</v>
      </c>
      <c r="E6485" s="38" t="n">
        <v>3398440.14</v>
      </c>
    </row>
    <row r="6486" customFormat="false" ht="15" hidden="false" customHeight="false" outlineLevel="0" collapsed="false">
      <c r="A6486" s="0" t="n">
        <v>95</v>
      </c>
      <c r="B6486" s="0" t="s">
        <v>62</v>
      </c>
      <c r="C6486" s="0" t="n">
        <v>2012</v>
      </c>
      <c r="D6486" s="0" t="n">
        <v>6</v>
      </c>
      <c r="E6486" s="38" t="n">
        <v>3454943.43</v>
      </c>
    </row>
    <row r="6487" customFormat="false" ht="15" hidden="false" customHeight="false" outlineLevel="0" collapsed="false">
      <c r="A6487" s="0" t="n">
        <v>95</v>
      </c>
      <c r="B6487" s="0" t="s">
        <v>62</v>
      </c>
      <c r="C6487" s="0" t="n">
        <v>2012</v>
      </c>
      <c r="D6487" s="0" t="n">
        <v>7</v>
      </c>
      <c r="E6487" s="38" t="n">
        <v>3368033.33</v>
      </c>
    </row>
    <row r="6488" customFormat="false" ht="15" hidden="false" customHeight="false" outlineLevel="0" collapsed="false">
      <c r="A6488" s="0" t="n">
        <v>95</v>
      </c>
      <c r="B6488" s="0" t="s">
        <v>62</v>
      </c>
      <c r="C6488" s="0" t="n">
        <v>2012</v>
      </c>
      <c r="D6488" s="0" t="n">
        <v>8</v>
      </c>
      <c r="E6488" s="38" t="n">
        <v>2960122.3</v>
      </c>
    </row>
    <row r="6489" customFormat="false" ht="15" hidden="false" customHeight="false" outlineLevel="0" collapsed="false">
      <c r="A6489" s="0" t="n">
        <v>95</v>
      </c>
      <c r="B6489" s="0" t="s">
        <v>62</v>
      </c>
      <c r="C6489" s="0" t="n">
        <v>2012</v>
      </c>
      <c r="D6489" s="0" t="n">
        <v>9</v>
      </c>
      <c r="E6489" s="38" t="n">
        <v>2977713.83</v>
      </c>
    </row>
    <row r="6490" customFormat="false" ht="15" hidden="false" customHeight="false" outlineLevel="0" collapsed="false">
      <c r="A6490" s="0" t="n">
        <v>95</v>
      </c>
      <c r="B6490" s="0" t="s">
        <v>62</v>
      </c>
      <c r="C6490" s="0" t="n">
        <v>2012</v>
      </c>
      <c r="D6490" s="0" t="n">
        <v>10</v>
      </c>
      <c r="E6490" s="38" t="n">
        <v>2674169.53</v>
      </c>
    </row>
    <row r="6491" customFormat="false" ht="15" hidden="false" customHeight="false" outlineLevel="0" collapsed="false">
      <c r="A6491" s="0" t="n">
        <v>95</v>
      </c>
      <c r="B6491" s="0" t="s">
        <v>62</v>
      </c>
      <c r="C6491" s="0" t="n">
        <v>2012</v>
      </c>
      <c r="D6491" s="0" t="n">
        <v>11</v>
      </c>
      <c r="E6491" s="38" t="n">
        <v>2893529.21</v>
      </c>
    </row>
    <row r="6492" customFormat="false" ht="15" hidden="false" customHeight="false" outlineLevel="0" collapsed="false">
      <c r="A6492" s="0" t="n">
        <v>95</v>
      </c>
      <c r="B6492" s="0" t="s">
        <v>62</v>
      </c>
      <c r="C6492" s="0" t="n">
        <v>2012</v>
      </c>
      <c r="D6492" s="0" t="n">
        <v>12</v>
      </c>
      <c r="E6492" s="38" t="n">
        <v>2893682.38</v>
      </c>
    </row>
    <row r="6493" customFormat="false" ht="15" hidden="false" customHeight="false" outlineLevel="0" collapsed="false">
      <c r="A6493" s="0" t="n">
        <v>95</v>
      </c>
      <c r="B6493" s="0" t="s">
        <v>62</v>
      </c>
      <c r="C6493" s="0" t="n">
        <v>2013</v>
      </c>
      <c r="D6493" s="0" t="n">
        <v>1</v>
      </c>
      <c r="E6493" s="38" t="n">
        <v>2807639.92</v>
      </c>
    </row>
    <row r="6494" customFormat="false" ht="15" hidden="false" customHeight="false" outlineLevel="0" collapsed="false">
      <c r="A6494" s="0" t="n">
        <v>95</v>
      </c>
      <c r="B6494" s="0" t="s">
        <v>62</v>
      </c>
      <c r="C6494" s="0" t="n">
        <v>2013</v>
      </c>
      <c r="D6494" s="0" t="n">
        <v>2</v>
      </c>
      <c r="E6494" s="38" t="n">
        <v>3087775.28</v>
      </c>
    </row>
    <row r="6495" customFormat="false" ht="15" hidden="false" customHeight="false" outlineLevel="0" collapsed="false">
      <c r="A6495" s="0" t="n">
        <v>95</v>
      </c>
      <c r="B6495" s="0" t="s">
        <v>62</v>
      </c>
      <c r="C6495" s="0" t="n">
        <v>2013</v>
      </c>
      <c r="D6495" s="0" t="n">
        <v>3</v>
      </c>
      <c r="E6495" s="38" t="n">
        <v>2997910.99</v>
      </c>
    </row>
    <row r="6496" customFormat="false" ht="15" hidden="false" customHeight="false" outlineLevel="0" collapsed="false">
      <c r="A6496" s="0" t="n">
        <v>95</v>
      </c>
      <c r="B6496" s="0" t="s">
        <v>62</v>
      </c>
      <c r="C6496" s="0" t="n">
        <v>2013</v>
      </c>
      <c r="D6496" s="0" t="n">
        <v>4</v>
      </c>
      <c r="E6496" s="38" t="n">
        <v>3257579.66</v>
      </c>
    </row>
    <row r="6497" customFormat="false" ht="15" hidden="false" customHeight="false" outlineLevel="0" collapsed="false">
      <c r="A6497" s="0" t="n">
        <v>95</v>
      </c>
      <c r="B6497" s="0" t="s">
        <v>62</v>
      </c>
      <c r="C6497" s="0" t="n">
        <v>2013</v>
      </c>
      <c r="D6497" s="0" t="n">
        <v>5</v>
      </c>
      <c r="E6497" s="38" t="n">
        <v>3429140.81</v>
      </c>
    </row>
    <row r="6498" customFormat="false" ht="15" hidden="false" customHeight="false" outlineLevel="0" collapsed="false">
      <c r="A6498" s="0" t="n">
        <v>95</v>
      </c>
      <c r="B6498" s="0" t="s">
        <v>62</v>
      </c>
      <c r="C6498" s="0" t="n">
        <v>2013</v>
      </c>
      <c r="D6498" s="0" t="n">
        <v>6</v>
      </c>
      <c r="E6498" s="38" t="n">
        <v>3512909.36</v>
      </c>
    </row>
    <row r="6499" customFormat="false" ht="15" hidden="false" customHeight="false" outlineLevel="0" collapsed="false">
      <c r="A6499" s="0" t="n">
        <v>95</v>
      </c>
      <c r="B6499" s="0" t="s">
        <v>62</v>
      </c>
      <c r="C6499" s="0" t="n">
        <v>2013</v>
      </c>
      <c r="D6499" s="0" t="n">
        <v>7</v>
      </c>
      <c r="E6499" s="38" t="n">
        <v>3398793.64</v>
      </c>
    </row>
    <row r="6500" customFormat="false" ht="15" hidden="false" customHeight="false" outlineLevel="0" collapsed="false">
      <c r="A6500" s="0" t="n">
        <v>95</v>
      </c>
      <c r="B6500" s="0" t="s">
        <v>62</v>
      </c>
      <c r="C6500" s="0" t="n">
        <v>2013</v>
      </c>
      <c r="D6500" s="0" t="n">
        <v>8</v>
      </c>
      <c r="E6500" s="38" t="n">
        <v>3088855.1</v>
      </c>
    </row>
    <row r="6501" customFormat="false" ht="15" hidden="false" customHeight="false" outlineLevel="0" collapsed="false">
      <c r="A6501" s="0" t="n">
        <v>95</v>
      </c>
      <c r="B6501" s="0" t="s">
        <v>64</v>
      </c>
      <c r="C6501" s="0" t="n">
        <v>2011</v>
      </c>
      <c r="D6501" s="0" t="n">
        <v>1</v>
      </c>
      <c r="E6501" s="38" t="n">
        <v>1146200.29</v>
      </c>
    </row>
    <row r="6502" customFormat="false" ht="15" hidden="false" customHeight="false" outlineLevel="0" collapsed="false">
      <c r="A6502" s="0" t="n">
        <v>95</v>
      </c>
      <c r="B6502" s="0" t="s">
        <v>64</v>
      </c>
      <c r="C6502" s="0" t="n">
        <v>2011</v>
      </c>
      <c r="D6502" s="0" t="n">
        <v>2</v>
      </c>
      <c r="E6502" s="38" t="n">
        <v>1302289.38</v>
      </c>
    </row>
    <row r="6503" customFormat="false" ht="15" hidden="false" customHeight="false" outlineLevel="0" collapsed="false">
      <c r="A6503" s="0" t="n">
        <v>95</v>
      </c>
      <c r="B6503" s="0" t="s">
        <v>64</v>
      </c>
      <c r="C6503" s="0" t="n">
        <v>2011</v>
      </c>
      <c r="D6503" s="0" t="n">
        <v>3</v>
      </c>
      <c r="E6503" s="38" t="n">
        <v>1301408.24</v>
      </c>
    </row>
    <row r="6504" customFormat="false" ht="15" hidden="false" customHeight="false" outlineLevel="0" collapsed="false">
      <c r="A6504" s="0" t="n">
        <v>95</v>
      </c>
      <c r="B6504" s="0" t="s">
        <v>64</v>
      </c>
      <c r="C6504" s="0" t="n">
        <v>2011</v>
      </c>
      <c r="D6504" s="0" t="n">
        <v>4</v>
      </c>
      <c r="E6504" s="38" t="n">
        <v>1424019.27</v>
      </c>
    </row>
    <row r="6505" customFormat="false" ht="15" hidden="false" customHeight="false" outlineLevel="0" collapsed="false">
      <c r="A6505" s="0" t="n">
        <v>95</v>
      </c>
      <c r="B6505" s="0" t="s">
        <v>64</v>
      </c>
      <c r="C6505" s="0" t="n">
        <v>2011</v>
      </c>
      <c r="D6505" s="0" t="n">
        <v>5</v>
      </c>
      <c r="E6505" s="38" t="n">
        <v>1398804.75</v>
      </c>
    </row>
    <row r="6506" customFormat="false" ht="15" hidden="false" customHeight="false" outlineLevel="0" collapsed="false">
      <c r="A6506" s="0" t="n">
        <v>95</v>
      </c>
      <c r="B6506" s="0" t="s">
        <v>64</v>
      </c>
      <c r="C6506" s="0" t="n">
        <v>2011</v>
      </c>
      <c r="D6506" s="0" t="n">
        <v>6</v>
      </c>
      <c r="E6506" s="38" t="n">
        <v>1373107.54</v>
      </c>
    </row>
    <row r="6507" customFormat="false" ht="15" hidden="false" customHeight="false" outlineLevel="0" collapsed="false">
      <c r="A6507" s="0" t="n">
        <v>95</v>
      </c>
      <c r="B6507" s="0" t="s">
        <v>64</v>
      </c>
      <c r="C6507" s="0" t="n">
        <v>2011</v>
      </c>
      <c r="D6507" s="0" t="n">
        <v>7</v>
      </c>
      <c r="E6507" s="38" t="n">
        <v>1409233.06</v>
      </c>
    </row>
    <row r="6508" customFormat="false" ht="15" hidden="false" customHeight="false" outlineLevel="0" collapsed="false">
      <c r="A6508" s="0" t="n">
        <v>95</v>
      </c>
      <c r="B6508" s="0" t="s">
        <v>64</v>
      </c>
      <c r="C6508" s="0" t="n">
        <v>2011</v>
      </c>
      <c r="D6508" s="0" t="n">
        <v>8</v>
      </c>
      <c r="E6508" s="38" t="n">
        <v>1320646.34</v>
      </c>
    </row>
    <row r="6509" customFormat="false" ht="15" hidden="false" customHeight="false" outlineLevel="0" collapsed="false">
      <c r="A6509" s="0" t="n">
        <v>95</v>
      </c>
      <c r="B6509" s="0" t="s">
        <v>64</v>
      </c>
      <c r="C6509" s="0" t="n">
        <v>2011</v>
      </c>
      <c r="D6509" s="0" t="n">
        <v>9</v>
      </c>
      <c r="E6509" s="38" t="n">
        <v>1326749.54</v>
      </c>
    </row>
    <row r="6510" customFormat="false" ht="15" hidden="false" customHeight="false" outlineLevel="0" collapsed="false">
      <c r="A6510" s="0" t="n">
        <v>95</v>
      </c>
      <c r="B6510" s="0" t="s">
        <v>64</v>
      </c>
      <c r="C6510" s="0" t="n">
        <v>2011</v>
      </c>
      <c r="D6510" s="0" t="n">
        <v>10</v>
      </c>
      <c r="E6510" s="38" t="n">
        <v>1151906.35</v>
      </c>
    </row>
    <row r="6511" customFormat="false" ht="15" hidden="false" customHeight="false" outlineLevel="0" collapsed="false">
      <c r="A6511" s="0" t="n">
        <v>95</v>
      </c>
      <c r="B6511" s="0" t="s">
        <v>64</v>
      </c>
      <c r="C6511" s="0" t="n">
        <v>2011</v>
      </c>
      <c r="D6511" s="0" t="n">
        <v>11</v>
      </c>
      <c r="E6511" s="38" t="n">
        <v>1177515.31</v>
      </c>
    </row>
    <row r="6512" customFormat="false" ht="15" hidden="false" customHeight="false" outlineLevel="0" collapsed="false">
      <c r="A6512" s="0" t="n">
        <v>95</v>
      </c>
      <c r="B6512" s="0" t="s">
        <v>64</v>
      </c>
      <c r="C6512" s="0" t="n">
        <v>2011</v>
      </c>
      <c r="D6512" s="0" t="n">
        <v>12</v>
      </c>
      <c r="E6512" s="38" t="n">
        <v>1254867.15</v>
      </c>
    </row>
    <row r="6513" customFormat="false" ht="15" hidden="false" customHeight="false" outlineLevel="0" collapsed="false">
      <c r="A6513" s="0" t="n">
        <v>95</v>
      </c>
      <c r="B6513" s="0" t="s">
        <v>64</v>
      </c>
      <c r="C6513" s="0" t="n">
        <v>2012</v>
      </c>
      <c r="D6513" s="0" t="n">
        <v>1</v>
      </c>
      <c r="E6513" s="38" t="n">
        <v>1164879.77</v>
      </c>
    </row>
    <row r="6514" customFormat="false" ht="15" hidden="false" customHeight="false" outlineLevel="0" collapsed="false">
      <c r="A6514" s="0" t="n">
        <v>95</v>
      </c>
      <c r="B6514" s="0" t="s">
        <v>64</v>
      </c>
      <c r="C6514" s="0" t="n">
        <v>2012</v>
      </c>
      <c r="D6514" s="0" t="n">
        <v>2</v>
      </c>
      <c r="E6514" s="38" t="n">
        <v>1301698.02</v>
      </c>
    </row>
    <row r="6515" customFormat="false" ht="15" hidden="false" customHeight="false" outlineLevel="0" collapsed="false">
      <c r="A6515" s="0" t="n">
        <v>95</v>
      </c>
      <c r="B6515" s="0" t="s">
        <v>64</v>
      </c>
      <c r="C6515" s="0" t="n">
        <v>2012</v>
      </c>
      <c r="D6515" s="0" t="n">
        <v>3</v>
      </c>
      <c r="E6515" s="38" t="n">
        <v>1289938.59</v>
      </c>
    </row>
    <row r="6516" customFormat="false" ht="15" hidden="false" customHeight="false" outlineLevel="0" collapsed="false">
      <c r="A6516" s="0" t="n">
        <v>95</v>
      </c>
      <c r="B6516" s="0" t="s">
        <v>64</v>
      </c>
      <c r="C6516" s="0" t="n">
        <v>2012</v>
      </c>
      <c r="D6516" s="0" t="n">
        <v>4</v>
      </c>
      <c r="E6516" s="38" t="n">
        <v>1368592.2</v>
      </c>
    </row>
    <row r="6517" customFormat="false" ht="15" hidden="false" customHeight="false" outlineLevel="0" collapsed="false">
      <c r="A6517" s="0" t="n">
        <v>95</v>
      </c>
      <c r="B6517" s="0" t="s">
        <v>64</v>
      </c>
      <c r="C6517" s="0" t="n">
        <v>2012</v>
      </c>
      <c r="D6517" s="0" t="n">
        <v>5</v>
      </c>
      <c r="E6517" s="38" t="n">
        <v>1347487.54</v>
      </c>
    </row>
    <row r="6518" customFormat="false" ht="15" hidden="false" customHeight="false" outlineLevel="0" collapsed="false">
      <c r="A6518" s="0" t="n">
        <v>95</v>
      </c>
      <c r="B6518" s="0" t="s">
        <v>64</v>
      </c>
      <c r="C6518" s="0" t="n">
        <v>2012</v>
      </c>
      <c r="D6518" s="0" t="n">
        <v>6</v>
      </c>
      <c r="E6518" s="38" t="n">
        <v>1353515.01</v>
      </c>
    </row>
    <row r="6519" customFormat="false" ht="15" hidden="false" customHeight="false" outlineLevel="0" collapsed="false">
      <c r="A6519" s="0" t="n">
        <v>95</v>
      </c>
      <c r="B6519" s="0" t="s">
        <v>64</v>
      </c>
      <c r="C6519" s="0" t="n">
        <v>2012</v>
      </c>
      <c r="D6519" s="0" t="n">
        <v>7</v>
      </c>
      <c r="E6519" s="38" t="n">
        <v>1381522.13</v>
      </c>
    </row>
    <row r="6520" customFormat="false" ht="15" hidden="false" customHeight="false" outlineLevel="0" collapsed="false">
      <c r="A6520" s="0" t="n">
        <v>95</v>
      </c>
      <c r="B6520" s="0" t="s">
        <v>64</v>
      </c>
      <c r="C6520" s="0" t="n">
        <v>2012</v>
      </c>
      <c r="D6520" s="0" t="n">
        <v>8</v>
      </c>
      <c r="E6520" s="38" t="n">
        <v>1280931.57</v>
      </c>
    </row>
    <row r="6521" customFormat="false" ht="15" hidden="false" customHeight="false" outlineLevel="0" collapsed="false">
      <c r="A6521" s="0" t="n">
        <v>95</v>
      </c>
      <c r="B6521" s="0" t="s">
        <v>64</v>
      </c>
      <c r="C6521" s="0" t="n">
        <v>2012</v>
      </c>
      <c r="D6521" s="0" t="n">
        <v>9</v>
      </c>
      <c r="E6521" s="38" t="n">
        <v>1342345.11</v>
      </c>
    </row>
    <row r="6522" customFormat="false" ht="15" hidden="false" customHeight="false" outlineLevel="0" collapsed="false">
      <c r="A6522" s="0" t="n">
        <v>95</v>
      </c>
      <c r="B6522" s="0" t="s">
        <v>64</v>
      </c>
      <c r="C6522" s="0" t="n">
        <v>2012</v>
      </c>
      <c r="D6522" s="0" t="n">
        <v>10</v>
      </c>
      <c r="E6522" s="38" t="n">
        <v>1252991.34</v>
      </c>
    </row>
    <row r="6523" customFormat="false" ht="15" hidden="false" customHeight="false" outlineLevel="0" collapsed="false">
      <c r="A6523" s="0" t="n">
        <v>95</v>
      </c>
      <c r="B6523" s="0" t="s">
        <v>64</v>
      </c>
      <c r="C6523" s="0" t="n">
        <v>2012</v>
      </c>
      <c r="D6523" s="0" t="n">
        <v>11</v>
      </c>
      <c r="E6523" s="38" t="n">
        <v>1254868</v>
      </c>
    </row>
    <row r="6524" customFormat="false" ht="15" hidden="false" customHeight="false" outlineLevel="0" collapsed="false">
      <c r="A6524" s="0" t="n">
        <v>95</v>
      </c>
      <c r="B6524" s="0" t="s">
        <v>64</v>
      </c>
      <c r="C6524" s="0" t="n">
        <v>2012</v>
      </c>
      <c r="D6524" s="0" t="n">
        <v>12</v>
      </c>
      <c r="E6524" s="38" t="n">
        <v>1333583.28</v>
      </c>
    </row>
    <row r="6525" customFormat="false" ht="15" hidden="false" customHeight="false" outlineLevel="0" collapsed="false">
      <c r="A6525" s="0" t="n">
        <v>95</v>
      </c>
      <c r="B6525" s="0" t="s">
        <v>64</v>
      </c>
      <c r="C6525" s="0" t="n">
        <v>2013</v>
      </c>
      <c r="D6525" s="0" t="n">
        <v>1</v>
      </c>
      <c r="E6525" s="38" t="n">
        <v>1240893.6</v>
      </c>
    </row>
    <row r="6526" customFormat="false" ht="15" hidden="false" customHeight="false" outlineLevel="0" collapsed="false">
      <c r="A6526" s="0" t="n">
        <v>95</v>
      </c>
      <c r="B6526" s="0" t="s">
        <v>64</v>
      </c>
      <c r="C6526" s="0" t="n">
        <v>2013</v>
      </c>
      <c r="D6526" s="0" t="n">
        <v>2</v>
      </c>
      <c r="E6526" s="38" t="n">
        <v>1385776.42</v>
      </c>
    </row>
    <row r="6527" customFormat="false" ht="15" hidden="false" customHeight="false" outlineLevel="0" collapsed="false">
      <c r="A6527" s="0" t="n">
        <v>95</v>
      </c>
      <c r="B6527" s="0" t="s">
        <v>64</v>
      </c>
      <c r="C6527" s="0" t="n">
        <v>2013</v>
      </c>
      <c r="D6527" s="0" t="n">
        <v>3</v>
      </c>
      <c r="E6527" s="38" t="n">
        <v>1372802.5</v>
      </c>
    </row>
    <row r="6528" customFormat="false" ht="15" hidden="false" customHeight="false" outlineLevel="0" collapsed="false">
      <c r="A6528" s="0" t="n">
        <v>95</v>
      </c>
      <c r="B6528" s="0" t="s">
        <v>64</v>
      </c>
      <c r="C6528" s="0" t="n">
        <v>2013</v>
      </c>
      <c r="D6528" s="0" t="n">
        <v>4</v>
      </c>
      <c r="E6528" s="38" t="n">
        <v>1443823.08</v>
      </c>
    </row>
    <row r="6529" customFormat="false" ht="15" hidden="false" customHeight="false" outlineLevel="0" collapsed="false">
      <c r="A6529" s="0" t="n">
        <v>95</v>
      </c>
      <c r="B6529" s="0" t="s">
        <v>64</v>
      </c>
      <c r="C6529" s="0" t="n">
        <v>2013</v>
      </c>
      <c r="D6529" s="0" t="n">
        <v>5</v>
      </c>
      <c r="E6529" s="38" t="n">
        <v>1391411.09</v>
      </c>
    </row>
    <row r="6530" customFormat="false" ht="15" hidden="false" customHeight="false" outlineLevel="0" collapsed="false">
      <c r="A6530" s="0" t="n">
        <v>95</v>
      </c>
      <c r="B6530" s="0" t="s">
        <v>64</v>
      </c>
      <c r="C6530" s="0" t="n">
        <v>2013</v>
      </c>
      <c r="D6530" s="0" t="n">
        <v>6</v>
      </c>
      <c r="E6530" s="38" t="n">
        <v>1386032.74</v>
      </c>
    </row>
    <row r="6531" customFormat="false" ht="15" hidden="false" customHeight="false" outlineLevel="0" collapsed="false">
      <c r="A6531" s="0" t="n">
        <v>95</v>
      </c>
      <c r="B6531" s="0" t="s">
        <v>64</v>
      </c>
      <c r="C6531" s="0" t="n">
        <v>2013</v>
      </c>
      <c r="D6531" s="0" t="n">
        <v>7</v>
      </c>
      <c r="E6531" s="38" t="n">
        <v>1389874.84</v>
      </c>
    </row>
    <row r="6532" customFormat="false" ht="15" hidden="false" customHeight="false" outlineLevel="0" collapsed="false">
      <c r="A6532" s="0" t="n">
        <v>95</v>
      </c>
      <c r="B6532" s="0" t="s">
        <v>64</v>
      </c>
      <c r="C6532" s="0" t="n">
        <v>2013</v>
      </c>
      <c r="D6532" s="0" t="n">
        <v>8</v>
      </c>
      <c r="E6532" s="38" t="n">
        <v>1351769.33</v>
      </c>
    </row>
    <row r="6533" customFormat="false" ht="15" hidden="false" customHeight="false" outlineLevel="0" collapsed="false">
      <c r="A6533" s="0" t="n">
        <v>96</v>
      </c>
      <c r="B6533" s="0" t="s">
        <v>60</v>
      </c>
      <c r="C6533" s="0" t="n">
        <v>2011</v>
      </c>
      <c r="D6533" s="0" t="n">
        <v>1</v>
      </c>
      <c r="E6533" s="38" t="n">
        <v>1189581.28</v>
      </c>
    </row>
    <row r="6534" customFormat="false" ht="15" hidden="false" customHeight="false" outlineLevel="0" collapsed="false">
      <c r="A6534" s="0" t="n">
        <v>96</v>
      </c>
      <c r="B6534" s="0" t="s">
        <v>60</v>
      </c>
      <c r="C6534" s="0" t="n">
        <v>2011</v>
      </c>
      <c r="D6534" s="0" t="n">
        <v>2</v>
      </c>
      <c r="E6534" s="38" t="n">
        <v>1319736.84</v>
      </c>
    </row>
    <row r="6535" customFormat="false" ht="15" hidden="false" customHeight="false" outlineLevel="0" collapsed="false">
      <c r="A6535" s="0" t="n">
        <v>96</v>
      </c>
      <c r="B6535" s="0" t="s">
        <v>60</v>
      </c>
      <c r="C6535" s="0" t="n">
        <v>2011</v>
      </c>
      <c r="D6535" s="0" t="n">
        <v>3</v>
      </c>
      <c r="E6535" s="38" t="n">
        <v>1371512.64</v>
      </c>
    </row>
    <row r="6536" customFormat="false" ht="15" hidden="false" customHeight="false" outlineLevel="0" collapsed="false">
      <c r="A6536" s="0" t="n">
        <v>96</v>
      </c>
      <c r="B6536" s="0" t="s">
        <v>60</v>
      </c>
      <c r="C6536" s="0" t="n">
        <v>2011</v>
      </c>
      <c r="D6536" s="0" t="n">
        <v>4</v>
      </c>
      <c r="E6536" s="38" t="n">
        <v>1618701.81</v>
      </c>
    </row>
    <row r="6537" customFormat="false" ht="15" hidden="false" customHeight="false" outlineLevel="0" collapsed="false">
      <c r="A6537" s="0" t="n">
        <v>96</v>
      </c>
      <c r="B6537" s="0" t="s">
        <v>60</v>
      </c>
      <c r="C6537" s="0" t="n">
        <v>2011</v>
      </c>
      <c r="D6537" s="0" t="n">
        <v>5</v>
      </c>
      <c r="E6537" s="38" t="n">
        <v>1693967.48</v>
      </c>
    </row>
    <row r="6538" customFormat="false" ht="15" hidden="false" customHeight="false" outlineLevel="0" collapsed="false">
      <c r="A6538" s="0" t="n">
        <v>96</v>
      </c>
      <c r="B6538" s="0" t="s">
        <v>60</v>
      </c>
      <c r="C6538" s="0" t="n">
        <v>2011</v>
      </c>
      <c r="D6538" s="0" t="n">
        <v>6</v>
      </c>
      <c r="E6538" s="38" t="n">
        <v>1865196.37</v>
      </c>
    </row>
    <row r="6539" customFormat="false" ht="15" hidden="false" customHeight="false" outlineLevel="0" collapsed="false">
      <c r="A6539" s="0" t="n">
        <v>96</v>
      </c>
      <c r="B6539" s="0" t="s">
        <v>60</v>
      </c>
      <c r="C6539" s="0" t="n">
        <v>2011</v>
      </c>
      <c r="D6539" s="0" t="n">
        <v>7</v>
      </c>
      <c r="E6539" s="38" t="n">
        <v>1697438.22</v>
      </c>
    </row>
    <row r="6540" customFormat="false" ht="15" hidden="false" customHeight="false" outlineLevel="0" collapsed="false">
      <c r="A6540" s="0" t="n">
        <v>96</v>
      </c>
      <c r="B6540" s="0" t="s">
        <v>60</v>
      </c>
      <c r="C6540" s="0" t="n">
        <v>2011</v>
      </c>
      <c r="D6540" s="0" t="n">
        <v>8</v>
      </c>
      <c r="E6540" s="38" t="n">
        <v>1544399.56</v>
      </c>
    </row>
    <row r="6541" customFormat="false" ht="15" hidden="false" customHeight="false" outlineLevel="0" collapsed="false">
      <c r="A6541" s="0" t="n">
        <v>96</v>
      </c>
      <c r="B6541" s="0" t="s">
        <v>60</v>
      </c>
      <c r="C6541" s="0" t="n">
        <v>2011</v>
      </c>
      <c r="D6541" s="0" t="n">
        <v>9</v>
      </c>
      <c r="E6541" s="38" t="n">
        <v>1524401.34</v>
      </c>
    </row>
    <row r="6542" customFormat="false" ht="15" hidden="false" customHeight="false" outlineLevel="0" collapsed="false">
      <c r="A6542" s="0" t="n">
        <v>96</v>
      </c>
      <c r="B6542" s="0" t="s">
        <v>60</v>
      </c>
      <c r="C6542" s="0" t="n">
        <v>2011</v>
      </c>
      <c r="D6542" s="0" t="n">
        <v>10</v>
      </c>
      <c r="E6542" s="38" t="n">
        <v>1542720.34</v>
      </c>
    </row>
    <row r="6543" customFormat="false" ht="15" hidden="false" customHeight="false" outlineLevel="0" collapsed="false">
      <c r="A6543" s="0" t="n">
        <v>96</v>
      </c>
      <c r="B6543" s="0" t="s">
        <v>60</v>
      </c>
      <c r="C6543" s="0" t="n">
        <v>2011</v>
      </c>
      <c r="D6543" s="0" t="n">
        <v>11</v>
      </c>
      <c r="E6543" s="38" t="n">
        <v>1780878.21</v>
      </c>
    </row>
    <row r="6544" customFormat="false" ht="15" hidden="false" customHeight="false" outlineLevel="0" collapsed="false">
      <c r="A6544" s="0" t="n">
        <v>96</v>
      </c>
      <c r="B6544" s="0" t="s">
        <v>60</v>
      </c>
      <c r="C6544" s="0" t="n">
        <v>2011</v>
      </c>
      <c r="D6544" s="0" t="n">
        <v>12</v>
      </c>
      <c r="E6544" s="38" t="n">
        <v>1279684.01</v>
      </c>
    </row>
    <row r="6545" customFormat="false" ht="15" hidden="false" customHeight="false" outlineLevel="0" collapsed="false">
      <c r="A6545" s="0" t="n">
        <v>96</v>
      </c>
      <c r="B6545" s="0" t="s">
        <v>60</v>
      </c>
      <c r="C6545" s="0" t="n">
        <v>2012</v>
      </c>
      <c r="D6545" s="0" t="n">
        <v>1</v>
      </c>
      <c r="E6545" s="38" t="n">
        <v>1347202.84</v>
      </c>
    </row>
    <row r="6546" customFormat="false" ht="15" hidden="false" customHeight="false" outlineLevel="0" collapsed="false">
      <c r="A6546" s="0" t="n">
        <v>96</v>
      </c>
      <c r="B6546" s="0" t="s">
        <v>60</v>
      </c>
      <c r="C6546" s="0" t="n">
        <v>2012</v>
      </c>
      <c r="D6546" s="0" t="n">
        <v>2</v>
      </c>
      <c r="E6546" s="38" t="n">
        <v>1507784.74</v>
      </c>
    </row>
    <row r="6547" customFormat="false" ht="15" hidden="false" customHeight="false" outlineLevel="0" collapsed="false">
      <c r="A6547" s="0" t="n">
        <v>96</v>
      </c>
      <c r="B6547" s="0" t="s">
        <v>60</v>
      </c>
      <c r="C6547" s="0" t="n">
        <v>2012</v>
      </c>
      <c r="D6547" s="0" t="n">
        <v>3</v>
      </c>
      <c r="E6547" s="38" t="n">
        <v>1518020.4</v>
      </c>
    </row>
    <row r="6548" customFormat="false" ht="15" hidden="false" customHeight="false" outlineLevel="0" collapsed="false">
      <c r="A6548" s="0" t="n">
        <v>96</v>
      </c>
      <c r="B6548" s="0" t="s">
        <v>60</v>
      </c>
      <c r="C6548" s="0" t="n">
        <v>2012</v>
      </c>
      <c r="D6548" s="0" t="n">
        <v>4</v>
      </c>
      <c r="E6548" s="38" t="n">
        <v>1710287.56</v>
      </c>
    </row>
    <row r="6549" customFormat="false" ht="15" hidden="false" customHeight="false" outlineLevel="0" collapsed="false">
      <c r="A6549" s="0" t="n">
        <v>96</v>
      </c>
      <c r="B6549" s="0" t="s">
        <v>60</v>
      </c>
      <c r="C6549" s="0" t="n">
        <v>2012</v>
      </c>
      <c r="D6549" s="0" t="n">
        <v>5</v>
      </c>
      <c r="E6549" s="38" t="n">
        <v>1846220.24</v>
      </c>
    </row>
    <row r="6550" customFormat="false" ht="15" hidden="false" customHeight="false" outlineLevel="0" collapsed="false">
      <c r="A6550" s="0" t="n">
        <v>96</v>
      </c>
      <c r="B6550" s="0" t="s">
        <v>60</v>
      </c>
      <c r="C6550" s="0" t="n">
        <v>2012</v>
      </c>
      <c r="D6550" s="0" t="n">
        <v>6</v>
      </c>
      <c r="E6550" s="38" t="n">
        <v>1975879.46</v>
      </c>
    </row>
    <row r="6551" customFormat="false" ht="15" hidden="false" customHeight="false" outlineLevel="0" collapsed="false">
      <c r="A6551" s="0" t="n">
        <v>96</v>
      </c>
      <c r="B6551" s="0" t="s">
        <v>60</v>
      </c>
      <c r="C6551" s="0" t="n">
        <v>2012</v>
      </c>
      <c r="D6551" s="0" t="n">
        <v>7</v>
      </c>
      <c r="E6551" s="38" t="n">
        <v>1816281.7</v>
      </c>
    </row>
    <row r="6552" customFormat="false" ht="15" hidden="false" customHeight="false" outlineLevel="0" collapsed="false">
      <c r="A6552" s="0" t="n">
        <v>96</v>
      </c>
      <c r="B6552" s="0" t="s">
        <v>60</v>
      </c>
      <c r="C6552" s="0" t="n">
        <v>2012</v>
      </c>
      <c r="D6552" s="0" t="n">
        <v>8</v>
      </c>
      <c r="E6552" s="38" t="n">
        <v>1657827.98</v>
      </c>
    </row>
    <row r="6553" customFormat="false" ht="15" hidden="false" customHeight="false" outlineLevel="0" collapsed="false">
      <c r="A6553" s="0" t="n">
        <v>96</v>
      </c>
      <c r="B6553" s="0" t="s">
        <v>60</v>
      </c>
      <c r="C6553" s="0" t="n">
        <v>2012</v>
      </c>
      <c r="D6553" s="0" t="n">
        <v>9</v>
      </c>
      <c r="E6553" s="38" t="n">
        <v>1656649.61</v>
      </c>
    </row>
    <row r="6554" customFormat="false" ht="15" hidden="false" customHeight="false" outlineLevel="0" collapsed="false">
      <c r="A6554" s="0" t="n">
        <v>96</v>
      </c>
      <c r="B6554" s="0" t="s">
        <v>60</v>
      </c>
      <c r="C6554" s="0" t="n">
        <v>2012</v>
      </c>
      <c r="D6554" s="0" t="n">
        <v>10</v>
      </c>
      <c r="E6554" s="38" t="n">
        <v>1663726.25</v>
      </c>
    </row>
    <row r="6555" customFormat="false" ht="15" hidden="false" customHeight="false" outlineLevel="0" collapsed="false">
      <c r="A6555" s="0" t="n">
        <v>96</v>
      </c>
      <c r="B6555" s="0" t="s">
        <v>60</v>
      </c>
      <c r="C6555" s="0" t="n">
        <v>2012</v>
      </c>
      <c r="D6555" s="0" t="n">
        <v>11</v>
      </c>
      <c r="E6555" s="38" t="n">
        <v>1807962.59</v>
      </c>
    </row>
    <row r="6556" customFormat="false" ht="15" hidden="false" customHeight="false" outlineLevel="0" collapsed="false">
      <c r="A6556" s="0" t="n">
        <v>96</v>
      </c>
      <c r="B6556" s="0" t="s">
        <v>60</v>
      </c>
      <c r="C6556" s="0" t="n">
        <v>2012</v>
      </c>
      <c r="D6556" s="0" t="n">
        <v>12</v>
      </c>
      <c r="E6556" s="38" t="n">
        <v>1521388.54</v>
      </c>
    </row>
    <row r="6557" customFormat="false" ht="15" hidden="false" customHeight="false" outlineLevel="0" collapsed="false">
      <c r="A6557" s="0" t="n">
        <v>96</v>
      </c>
      <c r="B6557" s="0" t="s">
        <v>60</v>
      </c>
      <c r="C6557" s="0" t="n">
        <v>2013</v>
      </c>
      <c r="D6557" s="0" t="n">
        <v>1</v>
      </c>
      <c r="E6557" s="38" t="n">
        <v>1461546.56</v>
      </c>
    </row>
    <row r="6558" customFormat="false" ht="15" hidden="false" customHeight="false" outlineLevel="0" collapsed="false">
      <c r="A6558" s="0" t="n">
        <v>96</v>
      </c>
      <c r="B6558" s="0" t="s">
        <v>60</v>
      </c>
      <c r="C6558" s="0" t="n">
        <v>2013</v>
      </c>
      <c r="D6558" s="0" t="n">
        <v>2</v>
      </c>
      <c r="E6558" s="38" t="n">
        <v>1636712.45</v>
      </c>
    </row>
    <row r="6559" customFormat="false" ht="15" hidden="false" customHeight="false" outlineLevel="0" collapsed="false">
      <c r="A6559" s="0" t="n">
        <v>96</v>
      </c>
      <c r="B6559" s="0" t="s">
        <v>60</v>
      </c>
      <c r="C6559" s="0" t="n">
        <v>2013</v>
      </c>
      <c r="D6559" s="0" t="n">
        <v>3</v>
      </c>
      <c r="E6559" s="38" t="n">
        <v>1673122.89</v>
      </c>
    </row>
    <row r="6560" customFormat="false" ht="15" hidden="false" customHeight="false" outlineLevel="0" collapsed="false">
      <c r="A6560" s="0" t="n">
        <v>96</v>
      </c>
      <c r="B6560" s="0" t="s">
        <v>60</v>
      </c>
      <c r="C6560" s="0" t="n">
        <v>2013</v>
      </c>
      <c r="D6560" s="0" t="n">
        <v>4</v>
      </c>
      <c r="E6560" s="38" t="n">
        <v>1926831.07</v>
      </c>
    </row>
    <row r="6561" customFormat="false" ht="15" hidden="false" customHeight="false" outlineLevel="0" collapsed="false">
      <c r="A6561" s="0" t="n">
        <v>96</v>
      </c>
      <c r="B6561" s="0" t="s">
        <v>60</v>
      </c>
      <c r="C6561" s="0" t="n">
        <v>2013</v>
      </c>
      <c r="D6561" s="0" t="n">
        <v>5</v>
      </c>
      <c r="E6561" s="38" t="n">
        <v>1962133.37</v>
      </c>
    </row>
    <row r="6562" customFormat="false" ht="15" hidden="false" customHeight="false" outlineLevel="0" collapsed="false">
      <c r="A6562" s="0" t="n">
        <v>96</v>
      </c>
      <c r="B6562" s="0" t="s">
        <v>60</v>
      </c>
      <c r="C6562" s="0" t="n">
        <v>2013</v>
      </c>
      <c r="D6562" s="0" t="n">
        <v>6</v>
      </c>
      <c r="E6562" s="38" t="n">
        <v>2062957.76</v>
      </c>
    </row>
    <row r="6563" customFormat="false" ht="15" hidden="false" customHeight="false" outlineLevel="0" collapsed="false">
      <c r="A6563" s="0" t="n">
        <v>96</v>
      </c>
      <c r="B6563" s="0" t="s">
        <v>60</v>
      </c>
      <c r="C6563" s="0" t="n">
        <v>2013</v>
      </c>
      <c r="D6563" s="0" t="n">
        <v>7</v>
      </c>
      <c r="E6563" s="38" t="n">
        <v>1875871.07</v>
      </c>
    </row>
    <row r="6564" customFormat="false" ht="15" hidden="false" customHeight="false" outlineLevel="0" collapsed="false">
      <c r="A6564" s="0" t="n">
        <v>96</v>
      </c>
      <c r="B6564" s="0" t="s">
        <v>60</v>
      </c>
      <c r="C6564" s="0" t="n">
        <v>2013</v>
      </c>
      <c r="D6564" s="0" t="n">
        <v>8</v>
      </c>
      <c r="E6564" s="38" t="n">
        <v>1703626.31</v>
      </c>
    </row>
    <row r="6565" customFormat="false" ht="15" hidden="false" customHeight="false" outlineLevel="0" collapsed="false">
      <c r="A6565" s="0" t="n">
        <v>96</v>
      </c>
      <c r="B6565" s="0" t="s">
        <v>62</v>
      </c>
      <c r="C6565" s="0" t="n">
        <v>2011</v>
      </c>
      <c r="D6565" s="0" t="n">
        <v>1</v>
      </c>
      <c r="E6565" s="38" t="n">
        <v>109396.23</v>
      </c>
    </row>
    <row r="6566" customFormat="false" ht="15" hidden="false" customHeight="false" outlineLevel="0" collapsed="false">
      <c r="A6566" s="0" t="n">
        <v>96</v>
      </c>
      <c r="B6566" s="0" t="s">
        <v>62</v>
      </c>
      <c r="C6566" s="0" t="n">
        <v>2011</v>
      </c>
      <c r="D6566" s="0" t="n">
        <v>2</v>
      </c>
      <c r="E6566" s="38" t="n">
        <v>127836.62</v>
      </c>
    </row>
    <row r="6567" customFormat="false" ht="15" hidden="false" customHeight="false" outlineLevel="0" collapsed="false">
      <c r="A6567" s="0" t="n">
        <v>96</v>
      </c>
      <c r="B6567" s="0" t="s">
        <v>62</v>
      </c>
      <c r="C6567" s="0" t="n">
        <v>2011</v>
      </c>
      <c r="D6567" s="0" t="n">
        <v>3</v>
      </c>
      <c r="E6567" s="38" t="n">
        <v>140797.27</v>
      </c>
    </row>
    <row r="6568" customFormat="false" ht="15" hidden="false" customHeight="false" outlineLevel="0" collapsed="false">
      <c r="A6568" s="0" t="n">
        <v>96</v>
      </c>
      <c r="B6568" s="0" t="s">
        <v>62</v>
      </c>
      <c r="C6568" s="0" t="n">
        <v>2011</v>
      </c>
      <c r="D6568" s="0" t="n">
        <v>4</v>
      </c>
      <c r="E6568" s="38" t="n">
        <v>161349.28</v>
      </c>
    </row>
    <row r="6569" customFormat="false" ht="15" hidden="false" customHeight="false" outlineLevel="0" collapsed="false">
      <c r="A6569" s="0" t="n">
        <v>96</v>
      </c>
      <c r="B6569" s="0" t="s">
        <v>62</v>
      </c>
      <c r="C6569" s="0" t="n">
        <v>2011</v>
      </c>
      <c r="D6569" s="0" t="n">
        <v>5</v>
      </c>
      <c r="E6569" s="38" t="n">
        <v>167529.17</v>
      </c>
    </row>
    <row r="6570" customFormat="false" ht="15" hidden="false" customHeight="false" outlineLevel="0" collapsed="false">
      <c r="A6570" s="0" t="n">
        <v>96</v>
      </c>
      <c r="B6570" s="0" t="s">
        <v>62</v>
      </c>
      <c r="C6570" s="0" t="n">
        <v>2011</v>
      </c>
      <c r="D6570" s="0" t="n">
        <v>6</v>
      </c>
      <c r="E6570" s="38" t="n">
        <v>171212</v>
      </c>
    </row>
    <row r="6571" customFormat="false" ht="15" hidden="false" customHeight="false" outlineLevel="0" collapsed="false">
      <c r="A6571" s="0" t="n">
        <v>96</v>
      </c>
      <c r="B6571" s="0" t="s">
        <v>62</v>
      </c>
      <c r="C6571" s="0" t="n">
        <v>2011</v>
      </c>
      <c r="D6571" s="0" t="n">
        <v>7</v>
      </c>
      <c r="E6571" s="38" t="n">
        <v>157267.8</v>
      </c>
    </row>
    <row r="6572" customFormat="false" ht="15" hidden="false" customHeight="false" outlineLevel="0" collapsed="false">
      <c r="A6572" s="0" t="n">
        <v>96</v>
      </c>
      <c r="B6572" s="0" t="s">
        <v>62</v>
      </c>
      <c r="C6572" s="0" t="n">
        <v>2011</v>
      </c>
      <c r="D6572" s="0" t="n">
        <v>8</v>
      </c>
      <c r="E6572" s="38" t="n">
        <v>146211.59</v>
      </c>
    </row>
    <row r="6573" customFormat="false" ht="15" hidden="false" customHeight="false" outlineLevel="0" collapsed="false">
      <c r="A6573" s="0" t="n">
        <v>96</v>
      </c>
      <c r="B6573" s="0" t="s">
        <v>62</v>
      </c>
      <c r="C6573" s="0" t="n">
        <v>2011</v>
      </c>
      <c r="D6573" s="0" t="n">
        <v>9</v>
      </c>
      <c r="E6573" s="38" t="n">
        <v>142798.75</v>
      </c>
    </row>
    <row r="6574" customFormat="false" ht="15" hidden="false" customHeight="false" outlineLevel="0" collapsed="false">
      <c r="A6574" s="0" t="n">
        <v>96</v>
      </c>
      <c r="B6574" s="0" t="s">
        <v>62</v>
      </c>
      <c r="C6574" s="0" t="n">
        <v>2011</v>
      </c>
      <c r="D6574" s="0" t="n">
        <v>10</v>
      </c>
      <c r="E6574" s="38" t="n">
        <v>166579.99</v>
      </c>
    </row>
    <row r="6575" customFormat="false" ht="15" hidden="false" customHeight="false" outlineLevel="0" collapsed="false">
      <c r="A6575" s="0" t="n">
        <v>96</v>
      </c>
      <c r="B6575" s="0" t="s">
        <v>62</v>
      </c>
      <c r="C6575" s="0" t="n">
        <v>2011</v>
      </c>
      <c r="D6575" s="0" t="n">
        <v>11</v>
      </c>
      <c r="E6575" s="38" t="n">
        <v>204501.97</v>
      </c>
    </row>
    <row r="6576" customFormat="false" ht="15" hidden="false" customHeight="false" outlineLevel="0" collapsed="false">
      <c r="A6576" s="0" t="n">
        <v>96</v>
      </c>
      <c r="B6576" s="0" t="s">
        <v>62</v>
      </c>
      <c r="C6576" s="0" t="n">
        <v>2011</v>
      </c>
      <c r="D6576" s="0" t="n">
        <v>12</v>
      </c>
      <c r="E6576" s="38" t="n">
        <v>152958.84</v>
      </c>
    </row>
    <row r="6577" customFormat="false" ht="15" hidden="false" customHeight="false" outlineLevel="0" collapsed="false">
      <c r="A6577" s="0" t="n">
        <v>96</v>
      </c>
      <c r="B6577" s="0" t="s">
        <v>62</v>
      </c>
      <c r="C6577" s="0" t="n">
        <v>2012</v>
      </c>
      <c r="D6577" s="0" t="n">
        <v>1</v>
      </c>
      <c r="E6577" s="38" t="n">
        <v>151432.6</v>
      </c>
    </row>
    <row r="6578" customFormat="false" ht="15" hidden="false" customHeight="false" outlineLevel="0" collapsed="false">
      <c r="A6578" s="0" t="n">
        <v>96</v>
      </c>
      <c r="B6578" s="0" t="s">
        <v>62</v>
      </c>
      <c r="C6578" s="0" t="n">
        <v>2012</v>
      </c>
      <c r="D6578" s="0" t="n">
        <v>2</v>
      </c>
      <c r="E6578" s="38" t="n">
        <v>167650.88</v>
      </c>
    </row>
    <row r="6579" customFormat="false" ht="15" hidden="false" customHeight="false" outlineLevel="0" collapsed="false">
      <c r="A6579" s="0" t="n">
        <v>96</v>
      </c>
      <c r="B6579" s="0" t="s">
        <v>62</v>
      </c>
      <c r="C6579" s="0" t="n">
        <v>2012</v>
      </c>
      <c r="D6579" s="0" t="n">
        <v>3</v>
      </c>
      <c r="E6579" s="38" t="n">
        <v>161812.26</v>
      </c>
    </row>
    <row r="6580" customFormat="false" ht="15" hidden="false" customHeight="false" outlineLevel="0" collapsed="false">
      <c r="A6580" s="0" t="n">
        <v>96</v>
      </c>
      <c r="B6580" s="0" t="s">
        <v>62</v>
      </c>
      <c r="C6580" s="0" t="n">
        <v>2012</v>
      </c>
      <c r="D6580" s="0" t="n">
        <v>4</v>
      </c>
      <c r="E6580" s="38" t="n">
        <v>184912.9</v>
      </c>
    </row>
    <row r="6581" customFormat="false" ht="15" hidden="false" customHeight="false" outlineLevel="0" collapsed="false">
      <c r="A6581" s="0" t="n">
        <v>96</v>
      </c>
      <c r="B6581" s="0" t="s">
        <v>62</v>
      </c>
      <c r="C6581" s="0" t="n">
        <v>2012</v>
      </c>
      <c r="D6581" s="0" t="n">
        <v>5</v>
      </c>
      <c r="E6581" s="38" t="n">
        <v>219020.23</v>
      </c>
    </row>
    <row r="6582" customFormat="false" ht="15" hidden="false" customHeight="false" outlineLevel="0" collapsed="false">
      <c r="A6582" s="0" t="n">
        <v>96</v>
      </c>
      <c r="B6582" s="0" t="s">
        <v>62</v>
      </c>
      <c r="C6582" s="0" t="n">
        <v>2012</v>
      </c>
      <c r="D6582" s="0" t="n">
        <v>6</v>
      </c>
      <c r="E6582" s="38" t="n">
        <v>223978.81</v>
      </c>
    </row>
    <row r="6583" customFormat="false" ht="15" hidden="false" customHeight="false" outlineLevel="0" collapsed="false">
      <c r="A6583" s="0" t="n">
        <v>96</v>
      </c>
      <c r="B6583" s="0" t="s">
        <v>62</v>
      </c>
      <c r="C6583" s="0" t="n">
        <v>2012</v>
      </c>
      <c r="D6583" s="0" t="n">
        <v>7</v>
      </c>
      <c r="E6583" s="38" t="n">
        <v>196305.84</v>
      </c>
    </row>
    <row r="6584" customFormat="false" ht="15" hidden="false" customHeight="false" outlineLevel="0" collapsed="false">
      <c r="A6584" s="0" t="n">
        <v>96</v>
      </c>
      <c r="B6584" s="0" t="s">
        <v>62</v>
      </c>
      <c r="C6584" s="0" t="n">
        <v>2012</v>
      </c>
      <c r="D6584" s="0" t="n">
        <v>8</v>
      </c>
      <c r="E6584" s="38" t="n">
        <v>187600.71</v>
      </c>
    </row>
    <row r="6585" customFormat="false" ht="15" hidden="false" customHeight="false" outlineLevel="0" collapsed="false">
      <c r="A6585" s="0" t="n">
        <v>96</v>
      </c>
      <c r="B6585" s="0" t="s">
        <v>62</v>
      </c>
      <c r="C6585" s="0" t="n">
        <v>2012</v>
      </c>
      <c r="D6585" s="0" t="n">
        <v>9</v>
      </c>
      <c r="E6585" s="38" t="n">
        <v>191330.9</v>
      </c>
    </row>
    <row r="6586" customFormat="false" ht="15" hidden="false" customHeight="false" outlineLevel="0" collapsed="false">
      <c r="A6586" s="0" t="n">
        <v>96</v>
      </c>
      <c r="B6586" s="0" t="s">
        <v>62</v>
      </c>
      <c r="C6586" s="0" t="n">
        <v>2012</v>
      </c>
      <c r="D6586" s="0" t="n">
        <v>10</v>
      </c>
      <c r="E6586" s="38" t="n">
        <v>178646.11</v>
      </c>
    </row>
    <row r="6587" customFormat="false" ht="15" hidden="false" customHeight="false" outlineLevel="0" collapsed="false">
      <c r="A6587" s="0" t="n">
        <v>96</v>
      </c>
      <c r="B6587" s="0" t="s">
        <v>62</v>
      </c>
      <c r="C6587" s="0" t="n">
        <v>2012</v>
      </c>
      <c r="D6587" s="0" t="n">
        <v>11</v>
      </c>
      <c r="E6587" s="38" t="n">
        <v>214457.96</v>
      </c>
    </row>
    <row r="6588" customFormat="false" ht="15" hidden="false" customHeight="false" outlineLevel="0" collapsed="false">
      <c r="A6588" s="0" t="n">
        <v>96</v>
      </c>
      <c r="B6588" s="0" t="s">
        <v>62</v>
      </c>
      <c r="C6588" s="0" t="n">
        <v>2012</v>
      </c>
      <c r="D6588" s="0" t="n">
        <v>12</v>
      </c>
      <c r="E6588" s="38" t="n">
        <v>182646.34</v>
      </c>
    </row>
    <row r="6589" customFormat="false" ht="15" hidden="false" customHeight="false" outlineLevel="0" collapsed="false">
      <c r="A6589" s="0" t="n">
        <v>96</v>
      </c>
      <c r="B6589" s="0" t="s">
        <v>62</v>
      </c>
      <c r="C6589" s="0" t="n">
        <v>2013</v>
      </c>
      <c r="D6589" s="0" t="n">
        <v>1</v>
      </c>
      <c r="E6589" s="38" t="n">
        <v>171280.2</v>
      </c>
    </row>
    <row r="6590" customFormat="false" ht="15" hidden="false" customHeight="false" outlineLevel="0" collapsed="false">
      <c r="A6590" s="0" t="n">
        <v>96</v>
      </c>
      <c r="B6590" s="0" t="s">
        <v>62</v>
      </c>
      <c r="C6590" s="0" t="n">
        <v>2013</v>
      </c>
      <c r="D6590" s="0" t="n">
        <v>2</v>
      </c>
      <c r="E6590" s="38" t="n">
        <v>189470.13</v>
      </c>
    </row>
    <row r="6591" customFormat="false" ht="15" hidden="false" customHeight="false" outlineLevel="0" collapsed="false">
      <c r="A6591" s="0" t="n">
        <v>96</v>
      </c>
      <c r="B6591" s="0" t="s">
        <v>62</v>
      </c>
      <c r="C6591" s="0" t="n">
        <v>2013</v>
      </c>
      <c r="D6591" s="0" t="n">
        <v>3</v>
      </c>
      <c r="E6591" s="38" t="n">
        <v>195589.45</v>
      </c>
    </row>
    <row r="6592" customFormat="false" ht="15" hidden="false" customHeight="false" outlineLevel="0" collapsed="false">
      <c r="A6592" s="0" t="n">
        <v>96</v>
      </c>
      <c r="B6592" s="0" t="s">
        <v>62</v>
      </c>
      <c r="C6592" s="0" t="n">
        <v>2013</v>
      </c>
      <c r="D6592" s="0" t="n">
        <v>4</v>
      </c>
      <c r="E6592" s="38" t="n">
        <v>221469.86</v>
      </c>
    </row>
    <row r="6593" customFormat="false" ht="15" hidden="false" customHeight="false" outlineLevel="0" collapsed="false">
      <c r="A6593" s="0" t="n">
        <v>96</v>
      </c>
      <c r="B6593" s="0" t="s">
        <v>62</v>
      </c>
      <c r="C6593" s="0" t="n">
        <v>2013</v>
      </c>
      <c r="D6593" s="0" t="n">
        <v>5</v>
      </c>
      <c r="E6593" s="38" t="n">
        <v>241709.82</v>
      </c>
    </row>
    <row r="6594" customFormat="false" ht="15" hidden="false" customHeight="false" outlineLevel="0" collapsed="false">
      <c r="A6594" s="0" t="n">
        <v>96</v>
      </c>
      <c r="B6594" s="0" t="s">
        <v>62</v>
      </c>
      <c r="C6594" s="0" t="n">
        <v>2013</v>
      </c>
      <c r="D6594" s="0" t="n">
        <v>6</v>
      </c>
      <c r="E6594" s="38" t="n">
        <v>247959.28</v>
      </c>
    </row>
    <row r="6595" customFormat="false" ht="15" hidden="false" customHeight="false" outlineLevel="0" collapsed="false">
      <c r="A6595" s="0" t="n">
        <v>96</v>
      </c>
      <c r="B6595" s="0" t="s">
        <v>62</v>
      </c>
      <c r="C6595" s="0" t="n">
        <v>2013</v>
      </c>
      <c r="D6595" s="0" t="n">
        <v>7</v>
      </c>
      <c r="E6595" s="38" t="n">
        <v>229401.21</v>
      </c>
    </row>
    <row r="6596" customFormat="false" ht="15" hidden="false" customHeight="false" outlineLevel="0" collapsed="false">
      <c r="A6596" s="0" t="n">
        <v>96</v>
      </c>
      <c r="B6596" s="0" t="s">
        <v>62</v>
      </c>
      <c r="C6596" s="0" t="n">
        <v>2013</v>
      </c>
      <c r="D6596" s="0" t="n">
        <v>8</v>
      </c>
      <c r="E6596" s="38" t="n">
        <v>215403.8</v>
      </c>
    </row>
    <row r="6597" customFormat="false" ht="15" hidden="false" customHeight="false" outlineLevel="0" collapsed="false">
      <c r="A6597" s="0" t="n">
        <v>96</v>
      </c>
      <c r="B6597" s="0" t="s">
        <v>64</v>
      </c>
      <c r="C6597" s="0" t="n">
        <v>2011</v>
      </c>
      <c r="D6597" s="0" t="n">
        <v>1</v>
      </c>
      <c r="E6597" s="38" t="n">
        <v>346740.68</v>
      </c>
    </row>
    <row r="6598" customFormat="false" ht="15" hidden="false" customHeight="false" outlineLevel="0" collapsed="false">
      <c r="A6598" s="0" t="n">
        <v>96</v>
      </c>
      <c r="B6598" s="0" t="s">
        <v>64</v>
      </c>
      <c r="C6598" s="0" t="n">
        <v>2011</v>
      </c>
      <c r="D6598" s="0" t="n">
        <v>2</v>
      </c>
      <c r="E6598" s="38" t="n">
        <v>387978.29</v>
      </c>
    </row>
    <row r="6599" customFormat="false" ht="15" hidden="false" customHeight="false" outlineLevel="0" collapsed="false">
      <c r="A6599" s="0" t="n">
        <v>96</v>
      </c>
      <c r="B6599" s="0" t="s">
        <v>64</v>
      </c>
      <c r="C6599" s="0" t="n">
        <v>2011</v>
      </c>
      <c r="D6599" s="0" t="n">
        <v>3</v>
      </c>
      <c r="E6599" s="38" t="n">
        <v>399980.57</v>
      </c>
    </row>
    <row r="6600" customFormat="false" ht="15" hidden="false" customHeight="false" outlineLevel="0" collapsed="false">
      <c r="A6600" s="0" t="n">
        <v>96</v>
      </c>
      <c r="B6600" s="0" t="s">
        <v>64</v>
      </c>
      <c r="C6600" s="0" t="n">
        <v>2011</v>
      </c>
      <c r="D6600" s="0" t="n">
        <v>4</v>
      </c>
      <c r="E6600" s="38" t="n">
        <v>442276.56</v>
      </c>
    </row>
    <row r="6601" customFormat="false" ht="15" hidden="false" customHeight="false" outlineLevel="0" collapsed="false">
      <c r="A6601" s="0" t="n">
        <v>96</v>
      </c>
      <c r="B6601" s="0" t="s">
        <v>64</v>
      </c>
      <c r="C6601" s="0" t="n">
        <v>2011</v>
      </c>
      <c r="D6601" s="0" t="n">
        <v>5</v>
      </c>
      <c r="E6601" s="38" t="n">
        <v>442044.46</v>
      </c>
    </row>
    <row r="6602" customFormat="false" ht="15" hidden="false" customHeight="false" outlineLevel="0" collapsed="false">
      <c r="A6602" s="0" t="n">
        <v>96</v>
      </c>
      <c r="B6602" s="0" t="s">
        <v>64</v>
      </c>
      <c r="C6602" s="0" t="n">
        <v>2011</v>
      </c>
      <c r="D6602" s="0" t="n">
        <v>6</v>
      </c>
      <c r="E6602" s="38" t="n">
        <v>443611.88</v>
      </c>
    </row>
    <row r="6603" customFormat="false" ht="15" hidden="false" customHeight="false" outlineLevel="0" collapsed="false">
      <c r="A6603" s="0" t="n">
        <v>96</v>
      </c>
      <c r="B6603" s="0" t="s">
        <v>64</v>
      </c>
      <c r="C6603" s="0" t="n">
        <v>2011</v>
      </c>
      <c r="D6603" s="0" t="n">
        <v>7</v>
      </c>
      <c r="E6603" s="38" t="n">
        <v>426191.56</v>
      </c>
    </row>
    <row r="6604" customFormat="false" ht="15" hidden="false" customHeight="false" outlineLevel="0" collapsed="false">
      <c r="A6604" s="0" t="n">
        <v>96</v>
      </c>
      <c r="B6604" s="0" t="s">
        <v>64</v>
      </c>
      <c r="C6604" s="0" t="n">
        <v>2011</v>
      </c>
      <c r="D6604" s="0" t="n">
        <v>8</v>
      </c>
      <c r="E6604" s="38" t="n">
        <v>407323.2</v>
      </c>
    </row>
    <row r="6605" customFormat="false" ht="15" hidden="false" customHeight="false" outlineLevel="0" collapsed="false">
      <c r="A6605" s="0" t="n">
        <v>96</v>
      </c>
      <c r="B6605" s="0" t="s">
        <v>64</v>
      </c>
      <c r="C6605" s="0" t="n">
        <v>2011</v>
      </c>
      <c r="D6605" s="0" t="n">
        <v>9</v>
      </c>
      <c r="E6605" s="38" t="n">
        <v>410253.06</v>
      </c>
    </row>
    <row r="6606" customFormat="false" ht="15" hidden="false" customHeight="false" outlineLevel="0" collapsed="false">
      <c r="A6606" s="0" t="n">
        <v>96</v>
      </c>
      <c r="B6606" s="0" t="s">
        <v>64</v>
      </c>
      <c r="C6606" s="0" t="n">
        <v>2011</v>
      </c>
      <c r="D6606" s="0" t="n">
        <v>10</v>
      </c>
      <c r="E6606" s="38" t="n">
        <v>409701.54</v>
      </c>
    </row>
    <row r="6607" customFormat="false" ht="15" hidden="false" customHeight="false" outlineLevel="0" collapsed="false">
      <c r="A6607" s="0" t="n">
        <v>96</v>
      </c>
      <c r="B6607" s="0" t="s">
        <v>64</v>
      </c>
      <c r="C6607" s="0" t="n">
        <v>2011</v>
      </c>
      <c r="D6607" s="0" t="n">
        <v>11</v>
      </c>
      <c r="E6607" s="38" t="n">
        <v>433823.48</v>
      </c>
    </row>
    <row r="6608" customFormat="false" ht="15" hidden="false" customHeight="false" outlineLevel="0" collapsed="false">
      <c r="A6608" s="0" t="n">
        <v>96</v>
      </c>
      <c r="B6608" s="0" t="s">
        <v>64</v>
      </c>
      <c r="C6608" s="0" t="n">
        <v>2011</v>
      </c>
      <c r="D6608" s="0" t="n">
        <v>12</v>
      </c>
      <c r="E6608" s="38" t="n">
        <v>353607.62</v>
      </c>
    </row>
    <row r="6609" customFormat="false" ht="15" hidden="false" customHeight="false" outlineLevel="0" collapsed="false">
      <c r="A6609" s="0" t="n">
        <v>96</v>
      </c>
      <c r="B6609" s="0" t="s">
        <v>64</v>
      </c>
      <c r="C6609" s="0" t="n">
        <v>2012</v>
      </c>
      <c r="D6609" s="0" t="n">
        <v>1</v>
      </c>
      <c r="E6609" s="38" t="n">
        <v>348053.53</v>
      </c>
    </row>
    <row r="6610" customFormat="false" ht="15" hidden="false" customHeight="false" outlineLevel="0" collapsed="false">
      <c r="A6610" s="0" t="n">
        <v>96</v>
      </c>
      <c r="B6610" s="0" t="s">
        <v>64</v>
      </c>
      <c r="C6610" s="0" t="n">
        <v>2012</v>
      </c>
      <c r="D6610" s="0" t="n">
        <v>2</v>
      </c>
      <c r="E6610" s="38" t="n">
        <v>391318.82</v>
      </c>
    </row>
    <row r="6611" customFormat="false" ht="15" hidden="false" customHeight="false" outlineLevel="0" collapsed="false">
      <c r="A6611" s="0" t="n">
        <v>96</v>
      </c>
      <c r="B6611" s="0" t="s">
        <v>64</v>
      </c>
      <c r="C6611" s="0" t="n">
        <v>2012</v>
      </c>
      <c r="D6611" s="0" t="n">
        <v>3</v>
      </c>
      <c r="E6611" s="38" t="n">
        <v>392227.42</v>
      </c>
    </row>
    <row r="6612" customFormat="false" ht="15" hidden="false" customHeight="false" outlineLevel="0" collapsed="false">
      <c r="A6612" s="0" t="n">
        <v>96</v>
      </c>
      <c r="B6612" s="0" t="s">
        <v>64</v>
      </c>
      <c r="C6612" s="0" t="n">
        <v>2012</v>
      </c>
      <c r="D6612" s="0" t="n">
        <v>4</v>
      </c>
      <c r="E6612" s="38" t="n">
        <v>423285.38</v>
      </c>
    </row>
    <row r="6613" customFormat="false" ht="15" hidden="false" customHeight="false" outlineLevel="0" collapsed="false">
      <c r="A6613" s="0" t="n">
        <v>96</v>
      </c>
      <c r="B6613" s="0" t="s">
        <v>64</v>
      </c>
      <c r="C6613" s="0" t="n">
        <v>2012</v>
      </c>
      <c r="D6613" s="0" t="n">
        <v>5</v>
      </c>
      <c r="E6613" s="38" t="n">
        <v>429357.29</v>
      </c>
    </row>
    <row r="6614" customFormat="false" ht="15" hidden="false" customHeight="false" outlineLevel="0" collapsed="false">
      <c r="A6614" s="0" t="n">
        <v>96</v>
      </c>
      <c r="B6614" s="0" t="s">
        <v>64</v>
      </c>
      <c r="C6614" s="0" t="n">
        <v>2012</v>
      </c>
      <c r="D6614" s="0" t="n">
        <v>6</v>
      </c>
      <c r="E6614" s="38" t="n">
        <v>431853.73</v>
      </c>
    </row>
    <row r="6615" customFormat="false" ht="15" hidden="false" customHeight="false" outlineLevel="0" collapsed="false">
      <c r="A6615" s="0" t="n">
        <v>96</v>
      </c>
      <c r="B6615" s="0" t="s">
        <v>64</v>
      </c>
      <c r="C6615" s="0" t="n">
        <v>2012</v>
      </c>
      <c r="D6615" s="0" t="n">
        <v>7</v>
      </c>
      <c r="E6615" s="38" t="n">
        <v>407824.59</v>
      </c>
    </row>
    <row r="6616" customFormat="false" ht="15" hidden="false" customHeight="false" outlineLevel="0" collapsed="false">
      <c r="A6616" s="0" t="n">
        <v>96</v>
      </c>
      <c r="B6616" s="0" t="s">
        <v>64</v>
      </c>
      <c r="C6616" s="0" t="n">
        <v>2012</v>
      </c>
      <c r="D6616" s="0" t="n">
        <v>8</v>
      </c>
      <c r="E6616" s="38" t="n">
        <v>394466.56</v>
      </c>
    </row>
    <row r="6617" customFormat="false" ht="15" hidden="false" customHeight="false" outlineLevel="0" collapsed="false">
      <c r="A6617" s="0" t="n">
        <v>96</v>
      </c>
      <c r="B6617" s="0" t="s">
        <v>64</v>
      </c>
      <c r="C6617" s="0" t="n">
        <v>2012</v>
      </c>
      <c r="D6617" s="0" t="n">
        <v>9</v>
      </c>
      <c r="E6617" s="38" t="n">
        <v>413510.37</v>
      </c>
    </row>
    <row r="6618" customFormat="false" ht="15" hidden="false" customHeight="false" outlineLevel="0" collapsed="false">
      <c r="A6618" s="0" t="n">
        <v>96</v>
      </c>
      <c r="B6618" s="0" t="s">
        <v>64</v>
      </c>
      <c r="C6618" s="0" t="n">
        <v>2012</v>
      </c>
      <c r="D6618" s="0" t="n">
        <v>10</v>
      </c>
      <c r="E6618" s="38" t="n">
        <v>421940.85</v>
      </c>
    </row>
    <row r="6619" customFormat="false" ht="15" hidden="false" customHeight="false" outlineLevel="0" collapsed="false">
      <c r="A6619" s="0" t="n">
        <v>96</v>
      </c>
      <c r="B6619" s="0" t="s">
        <v>64</v>
      </c>
      <c r="C6619" s="0" t="n">
        <v>2012</v>
      </c>
      <c r="D6619" s="0" t="n">
        <v>11</v>
      </c>
      <c r="E6619" s="38" t="n">
        <v>415057.28</v>
      </c>
    </row>
    <row r="6620" customFormat="false" ht="15" hidden="false" customHeight="false" outlineLevel="0" collapsed="false">
      <c r="A6620" s="0" t="n">
        <v>96</v>
      </c>
      <c r="B6620" s="0" t="s">
        <v>64</v>
      </c>
      <c r="C6620" s="0" t="n">
        <v>2012</v>
      </c>
      <c r="D6620" s="0" t="n">
        <v>12</v>
      </c>
      <c r="E6620" s="38" t="n">
        <v>403290.8</v>
      </c>
    </row>
    <row r="6621" customFormat="false" ht="15" hidden="false" customHeight="false" outlineLevel="0" collapsed="false">
      <c r="A6621" s="0" t="n">
        <v>96</v>
      </c>
      <c r="B6621" s="0" t="s">
        <v>64</v>
      </c>
      <c r="C6621" s="0" t="n">
        <v>2013</v>
      </c>
      <c r="D6621" s="0" t="n">
        <v>1</v>
      </c>
      <c r="E6621" s="38" t="n">
        <v>367207.74</v>
      </c>
    </row>
    <row r="6622" customFormat="false" ht="15" hidden="false" customHeight="false" outlineLevel="0" collapsed="false">
      <c r="A6622" s="0" t="n">
        <v>96</v>
      </c>
      <c r="B6622" s="0" t="s">
        <v>64</v>
      </c>
      <c r="C6622" s="0" t="n">
        <v>2013</v>
      </c>
      <c r="D6622" s="0" t="n">
        <v>2</v>
      </c>
      <c r="E6622" s="38" t="n">
        <v>394693.92</v>
      </c>
    </row>
    <row r="6623" customFormat="false" ht="15" hidden="false" customHeight="false" outlineLevel="0" collapsed="false">
      <c r="A6623" s="0" t="n">
        <v>96</v>
      </c>
      <c r="B6623" s="0" t="s">
        <v>64</v>
      </c>
      <c r="C6623" s="0" t="n">
        <v>2013</v>
      </c>
      <c r="D6623" s="0" t="n">
        <v>3</v>
      </c>
      <c r="E6623" s="38" t="n">
        <v>413143.95</v>
      </c>
    </row>
    <row r="6624" customFormat="false" ht="15" hidden="false" customHeight="false" outlineLevel="0" collapsed="false">
      <c r="A6624" s="0" t="n">
        <v>96</v>
      </c>
      <c r="B6624" s="0" t="s">
        <v>64</v>
      </c>
      <c r="C6624" s="0" t="n">
        <v>2013</v>
      </c>
      <c r="D6624" s="0" t="n">
        <v>4</v>
      </c>
      <c r="E6624" s="38" t="n">
        <v>455534.75</v>
      </c>
    </row>
    <row r="6625" customFormat="false" ht="15" hidden="false" customHeight="false" outlineLevel="0" collapsed="false">
      <c r="A6625" s="0" t="n">
        <v>96</v>
      </c>
      <c r="B6625" s="0" t="s">
        <v>64</v>
      </c>
      <c r="C6625" s="0" t="n">
        <v>2013</v>
      </c>
      <c r="D6625" s="0" t="n">
        <v>5</v>
      </c>
      <c r="E6625" s="38" t="n">
        <v>442494.12</v>
      </c>
    </row>
    <row r="6626" customFormat="false" ht="15" hidden="false" customHeight="false" outlineLevel="0" collapsed="false">
      <c r="A6626" s="0" t="n">
        <v>96</v>
      </c>
      <c r="B6626" s="0" t="s">
        <v>64</v>
      </c>
      <c r="C6626" s="0" t="n">
        <v>2013</v>
      </c>
      <c r="D6626" s="0" t="n">
        <v>6</v>
      </c>
      <c r="E6626" s="38" t="n">
        <v>451859.19</v>
      </c>
    </row>
    <row r="6627" customFormat="false" ht="15" hidden="false" customHeight="false" outlineLevel="0" collapsed="false">
      <c r="A6627" s="0" t="n">
        <v>96</v>
      </c>
      <c r="B6627" s="0" t="s">
        <v>64</v>
      </c>
      <c r="C6627" s="0" t="n">
        <v>2013</v>
      </c>
      <c r="D6627" s="0" t="n">
        <v>7</v>
      </c>
      <c r="E6627" s="38" t="n">
        <v>427935.61</v>
      </c>
    </row>
    <row r="6628" customFormat="false" ht="15" hidden="false" customHeight="false" outlineLevel="0" collapsed="false">
      <c r="A6628" s="0" t="n">
        <v>96</v>
      </c>
      <c r="B6628" s="0" t="s">
        <v>64</v>
      </c>
      <c r="C6628" s="0" t="n">
        <v>2013</v>
      </c>
      <c r="D6628" s="0" t="n">
        <v>8</v>
      </c>
      <c r="E6628" s="38" t="n">
        <v>415007.33</v>
      </c>
    </row>
    <row r="6629" customFormat="false" ht="15" hidden="false" customHeight="false" outlineLevel="0" collapsed="false">
      <c r="A6629" s="0" t="n">
        <v>97</v>
      </c>
      <c r="B6629" s="0" t="s">
        <v>60</v>
      </c>
      <c r="C6629" s="0" t="n">
        <v>2011</v>
      </c>
      <c r="D6629" s="0" t="n">
        <v>1</v>
      </c>
      <c r="E6629" s="38" t="n">
        <v>1849181.05</v>
      </c>
    </row>
    <row r="6630" customFormat="false" ht="15" hidden="false" customHeight="false" outlineLevel="0" collapsed="false">
      <c r="A6630" s="0" t="n">
        <v>97</v>
      </c>
      <c r="B6630" s="0" t="s">
        <v>60</v>
      </c>
      <c r="C6630" s="0" t="n">
        <v>2011</v>
      </c>
      <c r="D6630" s="0" t="n">
        <v>2</v>
      </c>
      <c r="E6630" s="38" t="n">
        <v>1959822.22</v>
      </c>
    </row>
    <row r="6631" customFormat="false" ht="15" hidden="false" customHeight="false" outlineLevel="0" collapsed="false">
      <c r="A6631" s="0" t="n">
        <v>97</v>
      </c>
      <c r="B6631" s="0" t="s">
        <v>60</v>
      </c>
      <c r="C6631" s="0" t="n">
        <v>2011</v>
      </c>
      <c r="D6631" s="0" t="n">
        <v>3</v>
      </c>
      <c r="E6631" s="38" t="n">
        <v>1926474.04</v>
      </c>
    </row>
    <row r="6632" customFormat="false" ht="15" hidden="false" customHeight="false" outlineLevel="0" collapsed="false">
      <c r="A6632" s="0" t="n">
        <v>97</v>
      </c>
      <c r="B6632" s="0" t="s">
        <v>60</v>
      </c>
      <c r="C6632" s="0" t="n">
        <v>2011</v>
      </c>
      <c r="D6632" s="0" t="n">
        <v>4</v>
      </c>
      <c r="E6632" s="38" t="n">
        <v>2169454.08</v>
      </c>
    </row>
    <row r="6633" customFormat="false" ht="15" hidden="false" customHeight="false" outlineLevel="0" collapsed="false">
      <c r="A6633" s="0" t="n">
        <v>97</v>
      </c>
      <c r="B6633" s="0" t="s">
        <v>60</v>
      </c>
      <c r="C6633" s="0" t="n">
        <v>2011</v>
      </c>
      <c r="D6633" s="0" t="n">
        <v>5</v>
      </c>
      <c r="E6633" s="38" t="n">
        <v>2201007.15</v>
      </c>
    </row>
    <row r="6634" customFormat="false" ht="15" hidden="false" customHeight="false" outlineLevel="0" collapsed="false">
      <c r="A6634" s="0" t="n">
        <v>97</v>
      </c>
      <c r="B6634" s="0" t="s">
        <v>60</v>
      </c>
      <c r="C6634" s="0" t="n">
        <v>2011</v>
      </c>
      <c r="D6634" s="0" t="n">
        <v>6</v>
      </c>
      <c r="E6634" s="38" t="n">
        <v>2247907.86</v>
      </c>
    </row>
    <row r="6635" customFormat="false" ht="15" hidden="false" customHeight="false" outlineLevel="0" collapsed="false">
      <c r="A6635" s="0" t="n">
        <v>97</v>
      </c>
      <c r="B6635" s="0" t="s">
        <v>60</v>
      </c>
      <c r="C6635" s="0" t="n">
        <v>2011</v>
      </c>
      <c r="D6635" s="0" t="n">
        <v>7</v>
      </c>
      <c r="E6635" s="38" t="n">
        <v>2269616.27</v>
      </c>
    </row>
    <row r="6636" customFormat="false" ht="15" hidden="false" customHeight="false" outlineLevel="0" collapsed="false">
      <c r="A6636" s="0" t="n">
        <v>97</v>
      </c>
      <c r="B6636" s="0" t="s">
        <v>60</v>
      </c>
      <c r="C6636" s="0" t="n">
        <v>2011</v>
      </c>
      <c r="D6636" s="0" t="n">
        <v>8</v>
      </c>
      <c r="E6636" s="38" t="n">
        <v>2101790.34</v>
      </c>
    </row>
    <row r="6637" customFormat="false" ht="15" hidden="false" customHeight="false" outlineLevel="0" collapsed="false">
      <c r="A6637" s="0" t="n">
        <v>97</v>
      </c>
      <c r="B6637" s="0" t="s">
        <v>60</v>
      </c>
      <c r="C6637" s="0" t="n">
        <v>2011</v>
      </c>
      <c r="D6637" s="0" t="n">
        <v>9</v>
      </c>
      <c r="E6637" s="38" t="n">
        <v>2111750.16</v>
      </c>
    </row>
    <row r="6638" customFormat="false" ht="15" hidden="false" customHeight="false" outlineLevel="0" collapsed="false">
      <c r="A6638" s="0" t="n">
        <v>97</v>
      </c>
      <c r="B6638" s="0" t="s">
        <v>60</v>
      </c>
      <c r="C6638" s="0" t="n">
        <v>2011</v>
      </c>
      <c r="D6638" s="0" t="n">
        <v>10</v>
      </c>
      <c r="E6638" s="38" t="n">
        <v>1954311.5</v>
      </c>
    </row>
    <row r="6639" customFormat="false" ht="15" hidden="false" customHeight="false" outlineLevel="0" collapsed="false">
      <c r="A6639" s="0" t="n">
        <v>97</v>
      </c>
      <c r="B6639" s="0" t="s">
        <v>60</v>
      </c>
      <c r="C6639" s="0" t="n">
        <v>2011</v>
      </c>
      <c r="D6639" s="0" t="n">
        <v>11</v>
      </c>
      <c r="E6639" s="38" t="n">
        <v>2112046.2</v>
      </c>
    </row>
    <row r="6640" customFormat="false" ht="15" hidden="false" customHeight="false" outlineLevel="0" collapsed="false">
      <c r="A6640" s="0" t="n">
        <v>97</v>
      </c>
      <c r="B6640" s="0" t="s">
        <v>60</v>
      </c>
      <c r="C6640" s="0" t="n">
        <v>2011</v>
      </c>
      <c r="D6640" s="0" t="n">
        <v>12</v>
      </c>
      <c r="E6640" s="38" t="n">
        <v>2059489.02</v>
      </c>
    </row>
    <row r="6641" customFormat="false" ht="15" hidden="false" customHeight="false" outlineLevel="0" collapsed="false">
      <c r="A6641" s="0" t="n">
        <v>97</v>
      </c>
      <c r="B6641" s="0" t="s">
        <v>60</v>
      </c>
      <c r="C6641" s="0" t="n">
        <v>2012</v>
      </c>
      <c r="D6641" s="0" t="n">
        <v>1</v>
      </c>
      <c r="E6641" s="38" t="n">
        <v>1880204.48</v>
      </c>
    </row>
    <row r="6642" customFormat="false" ht="15" hidden="false" customHeight="false" outlineLevel="0" collapsed="false">
      <c r="A6642" s="0" t="n">
        <v>97</v>
      </c>
      <c r="B6642" s="0" t="s">
        <v>60</v>
      </c>
      <c r="C6642" s="0" t="n">
        <v>2012</v>
      </c>
      <c r="D6642" s="0" t="n">
        <v>2</v>
      </c>
      <c r="E6642" s="38" t="n">
        <v>2029413.79</v>
      </c>
    </row>
    <row r="6643" customFormat="false" ht="15" hidden="false" customHeight="false" outlineLevel="0" collapsed="false">
      <c r="A6643" s="0" t="n">
        <v>97</v>
      </c>
      <c r="B6643" s="0" t="s">
        <v>60</v>
      </c>
      <c r="C6643" s="0" t="n">
        <v>2012</v>
      </c>
      <c r="D6643" s="0" t="n">
        <v>3</v>
      </c>
      <c r="E6643" s="38" t="n">
        <v>2026179.51</v>
      </c>
    </row>
    <row r="6644" customFormat="false" ht="15" hidden="false" customHeight="false" outlineLevel="0" collapsed="false">
      <c r="A6644" s="0" t="n">
        <v>97</v>
      </c>
      <c r="B6644" s="0" t="s">
        <v>60</v>
      </c>
      <c r="C6644" s="0" t="n">
        <v>2012</v>
      </c>
      <c r="D6644" s="0" t="n">
        <v>4</v>
      </c>
      <c r="E6644" s="38" t="n">
        <v>2229480.47</v>
      </c>
    </row>
    <row r="6645" customFormat="false" ht="15" hidden="false" customHeight="false" outlineLevel="0" collapsed="false">
      <c r="A6645" s="0" t="n">
        <v>97</v>
      </c>
      <c r="B6645" s="0" t="s">
        <v>60</v>
      </c>
      <c r="C6645" s="0" t="n">
        <v>2012</v>
      </c>
      <c r="D6645" s="0" t="n">
        <v>5</v>
      </c>
      <c r="E6645" s="38" t="n">
        <v>2235591.61</v>
      </c>
    </row>
    <row r="6646" customFormat="false" ht="15" hidden="false" customHeight="false" outlineLevel="0" collapsed="false">
      <c r="A6646" s="0" t="n">
        <v>97</v>
      </c>
      <c r="B6646" s="0" t="s">
        <v>60</v>
      </c>
      <c r="C6646" s="0" t="n">
        <v>2012</v>
      </c>
      <c r="D6646" s="0" t="n">
        <v>6</v>
      </c>
      <c r="E6646" s="38" t="n">
        <v>2310128.88</v>
      </c>
    </row>
    <row r="6647" customFormat="false" ht="15" hidden="false" customHeight="false" outlineLevel="0" collapsed="false">
      <c r="A6647" s="0" t="n">
        <v>97</v>
      </c>
      <c r="B6647" s="0" t="s">
        <v>60</v>
      </c>
      <c r="C6647" s="0" t="n">
        <v>2012</v>
      </c>
      <c r="D6647" s="0" t="n">
        <v>7</v>
      </c>
      <c r="E6647" s="38" t="n">
        <v>2318989.98</v>
      </c>
    </row>
    <row r="6648" customFormat="false" ht="15" hidden="false" customHeight="false" outlineLevel="0" collapsed="false">
      <c r="A6648" s="0" t="n">
        <v>97</v>
      </c>
      <c r="B6648" s="0" t="s">
        <v>60</v>
      </c>
      <c r="C6648" s="0" t="n">
        <v>2012</v>
      </c>
      <c r="D6648" s="0" t="n">
        <v>8</v>
      </c>
      <c r="E6648" s="38" t="n">
        <v>2119240.73</v>
      </c>
    </row>
    <row r="6649" customFormat="false" ht="15" hidden="false" customHeight="false" outlineLevel="0" collapsed="false">
      <c r="A6649" s="0" t="n">
        <v>97</v>
      </c>
      <c r="B6649" s="0" t="s">
        <v>60</v>
      </c>
      <c r="C6649" s="0" t="n">
        <v>2012</v>
      </c>
      <c r="D6649" s="0" t="n">
        <v>9</v>
      </c>
      <c r="E6649" s="38" t="n">
        <v>2163042.84</v>
      </c>
    </row>
    <row r="6650" customFormat="false" ht="15" hidden="false" customHeight="false" outlineLevel="0" collapsed="false">
      <c r="A6650" s="0" t="n">
        <v>97</v>
      </c>
      <c r="B6650" s="0" t="s">
        <v>60</v>
      </c>
      <c r="C6650" s="0" t="n">
        <v>2012</v>
      </c>
      <c r="D6650" s="0" t="n">
        <v>10</v>
      </c>
      <c r="E6650" s="38" t="n">
        <v>1964511.3</v>
      </c>
    </row>
    <row r="6651" customFormat="false" ht="15" hidden="false" customHeight="false" outlineLevel="0" collapsed="false">
      <c r="A6651" s="0" t="n">
        <v>97</v>
      </c>
      <c r="B6651" s="0" t="s">
        <v>60</v>
      </c>
      <c r="C6651" s="0" t="n">
        <v>2012</v>
      </c>
      <c r="D6651" s="0" t="n">
        <v>11</v>
      </c>
      <c r="E6651" s="38" t="n">
        <v>2127757.49</v>
      </c>
    </row>
    <row r="6652" customFormat="false" ht="15" hidden="false" customHeight="false" outlineLevel="0" collapsed="false">
      <c r="A6652" s="0" t="n">
        <v>97</v>
      </c>
      <c r="B6652" s="0" t="s">
        <v>60</v>
      </c>
      <c r="C6652" s="0" t="n">
        <v>2012</v>
      </c>
      <c r="D6652" s="0" t="n">
        <v>12</v>
      </c>
      <c r="E6652" s="38" t="n">
        <v>2086358.06</v>
      </c>
    </row>
    <row r="6653" customFormat="false" ht="15" hidden="false" customHeight="false" outlineLevel="0" collapsed="false">
      <c r="A6653" s="0" t="n">
        <v>97</v>
      </c>
      <c r="B6653" s="0" t="s">
        <v>60</v>
      </c>
      <c r="C6653" s="0" t="n">
        <v>2013</v>
      </c>
      <c r="D6653" s="0" t="n">
        <v>1</v>
      </c>
      <c r="E6653" s="38" t="n">
        <v>1960772.72</v>
      </c>
    </row>
    <row r="6654" customFormat="false" ht="15" hidden="false" customHeight="false" outlineLevel="0" collapsed="false">
      <c r="A6654" s="0" t="n">
        <v>97</v>
      </c>
      <c r="B6654" s="0" t="s">
        <v>60</v>
      </c>
      <c r="C6654" s="0" t="n">
        <v>2013</v>
      </c>
      <c r="D6654" s="0" t="n">
        <v>2</v>
      </c>
      <c r="E6654" s="38" t="n">
        <v>2062901.6</v>
      </c>
    </row>
    <row r="6655" customFormat="false" ht="15" hidden="false" customHeight="false" outlineLevel="0" collapsed="false">
      <c r="A6655" s="0" t="n">
        <v>97</v>
      </c>
      <c r="B6655" s="0" t="s">
        <v>60</v>
      </c>
      <c r="C6655" s="0" t="n">
        <v>2013</v>
      </c>
      <c r="D6655" s="0" t="n">
        <v>3</v>
      </c>
      <c r="E6655" s="38" t="n">
        <v>2051093.14</v>
      </c>
    </row>
    <row r="6656" customFormat="false" ht="15" hidden="false" customHeight="false" outlineLevel="0" collapsed="false">
      <c r="A6656" s="0" t="n">
        <v>97</v>
      </c>
      <c r="B6656" s="0" t="s">
        <v>60</v>
      </c>
      <c r="C6656" s="0" t="n">
        <v>2013</v>
      </c>
      <c r="D6656" s="0" t="n">
        <v>4</v>
      </c>
      <c r="E6656" s="38" t="n">
        <v>2191148.26</v>
      </c>
    </row>
    <row r="6657" customFormat="false" ht="15" hidden="false" customHeight="false" outlineLevel="0" collapsed="false">
      <c r="A6657" s="0" t="n">
        <v>97</v>
      </c>
      <c r="B6657" s="0" t="s">
        <v>60</v>
      </c>
      <c r="C6657" s="0" t="n">
        <v>2013</v>
      </c>
      <c r="D6657" s="0" t="n">
        <v>5</v>
      </c>
      <c r="E6657" s="38" t="n">
        <v>2163036.61</v>
      </c>
    </row>
    <row r="6658" customFormat="false" ht="15" hidden="false" customHeight="false" outlineLevel="0" collapsed="false">
      <c r="A6658" s="0" t="n">
        <v>97</v>
      </c>
      <c r="B6658" s="0" t="s">
        <v>60</v>
      </c>
      <c r="C6658" s="0" t="n">
        <v>2013</v>
      </c>
      <c r="D6658" s="0" t="n">
        <v>6</v>
      </c>
      <c r="E6658" s="38" t="n">
        <v>2260136.44</v>
      </c>
    </row>
    <row r="6659" customFormat="false" ht="15" hidden="false" customHeight="false" outlineLevel="0" collapsed="false">
      <c r="A6659" s="0" t="n">
        <v>97</v>
      </c>
      <c r="B6659" s="0" t="s">
        <v>60</v>
      </c>
      <c r="C6659" s="0" t="n">
        <v>2013</v>
      </c>
      <c r="D6659" s="0" t="n">
        <v>7</v>
      </c>
      <c r="E6659" s="38" t="n">
        <v>2224476.14</v>
      </c>
    </row>
    <row r="6660" customFormat="false" ht="15" hidden="false" customHeight="false" outlineLevel="0" collapsed="false">
      <c r="A6660" s="0" t="n">
        <v>97</v>
      </c>
      <c r="B6660" s="0" t="s">
        <v>60</v>
      </c>
      <c r="C6660" s="0" t="n">
        <v>2013</v>
      </c>
      <c r="D6660" s="0" t="n">
        <v>8</v>
      </c>
      <c r="E6660" s="38" t="n">
        <v>2170088.21</v>
      </c>
    </row>
    <row r="6661" customFormat="false" ht="15" hidden="false" customHeight="false" outlineLevel="0" collapsed="false">
      <c r="A6661" s="0" t="n">
        <v>97</v>
      </c>
      <c r="B6661" s="0" t="s">
        <v>62</v>
      </c>
      <c r="C6661" s="0" t="n">
        <v>2011</v>
      </c>
      <c r="D6661" s="0" t="n">
        <v>1</v>
      </c>
      <c r="E6661" s="38" t="n">
        <v>216176.96</v>
      </c>
    </row>
    <row r="6662" customFormat="false" ht="15" hidden="false" customHeight="false" outlineLevel="0" collapsed="false">
      <c r="A6662" s="0" t="n">
        <v>97</v>
      </c>
      <c r="B6662" s="0" t="s">
        <v>62</v>
      </c>
      <c r="C6662" s="0" t="n">
        <v>2011</v>
      </c>
      <c r="D6662" s="0" t="n">
        <v>2</v>
      </c>
      <c r="E6662" s="38" t="n">
        <v>227013.48</v>
      </c>
    </row>
    <row r="6663" customFormat="false" ht="15" hidden="false" customHeight="false" outlineLevel="0" collapsed="false">
      <c r="A6663" s="0" t="n">
        <v>97</v>
      </c>
      <c r="B6663" s="0" t="s">
        <v>62</v>
      </c>
      <c r="C6663" s="0" t="n">
        <v>2011</v>
      </c>
      <c r="D6663" s="0" t="n">
        <v>3</v>
      </c>
      <c r="E6663" s="38" t="n">
        <v>210972.31</v>
      </c>
    </row>
    <row r="6664" customFormat="false" ht="15" hidden="false" customHeight="false" outlineLevel="0" collapsed="false">
      <c r="A6664" s="0" t="n">
        <v>97</v>
      </c>
      <c r="B6664" s="0" t="s">
        <v>62</v>
      </c>
      <c r="C6664" s="0" t="n">
        <v>2011</v>
      </c>
      <c r="D6664" s="0" t="n">
        <v>4</v>
      </c>
      <c r="E6664" s="38" t="n">
        <v>246421.96</v>
      </c>
    </row>
    <row r="6665" customFormat="false" ht="15" hidden="false" customHeight="false" outlineLevel="0" collapsed="false">
      <c r="A6665" s="0" t="n">
        <v>97</v>
      </c>
      <c r="B6665" s="0" t="s">
        <v>62</v>
      </c>
      <c r="C6665" s="0" t="n">
        <v>2011</v>
      </c>
      <c r="D6665" s="0" t="n">
        <v>5</v>
      </c>
      <c r="E6665" s="38" t="n">
        <v>253401.94</v>
      </c>
    </row>
    <row r="6666" customFormat="false" ht="15" hidden="false" customHeight="false" outlineLevel="0" collapsed="false">
      <c r="A6666" s="0" t="n">
        <v>97</v>
      </c>
      <c r="B6666" s="0" t="s">
        <v>62</v>
      </c>
      <c r="C6666" s="0" t="n">
        <v>2011</v>
      </c>
      <c r="D6666" s="0" t="n">
        <v>6</v>
      </c>
      <c r="E6666" s="38" t="n">
        <v>262890.5</v>
      </c>
    </row>
    <row r="6667" customFormat="false" ht="15" hidden="false" customHeight="false" outlineLevel="0" collapsed="false">
      <c r="A6667" s="0" t="n">
        <v>97</v>
      </c>
      <c r="B6667" s="0" t="s">
        <v>62</v>
      </c>
      <c r="C6667" s="0" t="n">
        <v>2011</v>
      </c>
      <c r="D6667" s="0" t="n">
        <v>7</v>
      </c>
      <c r="E6667" s="38" t="n">
        <v>255409.69</v>
      </c>
    </row>
    <row r="6668" customFormat="false" ht="15" hidden="false" customHeight="false" outlineLevel="0" collapsed="false">
      <c r="A6668" s="0" t="n">
        <v>97</v>
      </c>
      <c r="B6668" s="0" t="s">
        <v>62</v>
      </c>
      <c r="C6668" s="0" t="n">
        <v>2011</v>
      </c>
      <c r="D6668" s="0" t="n">
        <v>8</v>
      </c>
      <c r="E6668" s="38" t="n">
        <v>233202.66</v>
      </c>
    </row>
    <row r="6669" customFormat="false" ht="15" hidden="false" customHeight="false" outlineLevel="0" collapsed="false">
      <c r="A6669" s="0" t="n">
        <v>97</v>
      </c>
      <c r="B6669" s="0" t="s">
        <v>62</v>
      </c>
      <c r="C6669" s="0" t="n">
        <v>2011</v>
      </c>
      <c r="D6669" s="0" t="n">
        <v>9</v>
      </c>
      <c r="E6669" s="38" t="n">
        <v>220596.88</v>
      </c>
    </row>
    <row r="6670" customFormat="false" ht="15" hidden="false" customHeight="false" outlineLevel="0" collapsed="false">
      <c r="A6670" s="0" t="n">
        <v>97</v>
      </c>
      <c r="B6670" s="0" t="s">
        <v>62</v>
      </c>
      <c r="C6670" s="0" t="n">
        <v>2011</v>
      </c>
      <c r="D6670" s="0" t="n">
        <v>10</v>
      </c>
      <c r="E6670" s="38" t="n">
        <v>220838.38</v>
      </c>
    </row>
    <row r="6671" customFormat="false" ht="15" hidden="false" customHeight="false" outlineLevel="0" collapsed="false">
      <c r="A6671" s="0" t="n">
        <v>97</v>
      </c>
      <c r="B6671" s="0" t="s">
        <v>62</v>
      </c>
      <c r="C6671" s="0" t="n">
        <v>2011</v>
      </c>
      <c r="D6671" s="0" t="n">
        <v>11</v>
      </c>
      <c r="E6671" s="38" t="n">
        <v>243858.38</v>
      </c>
    </row>
    <row r="6672" customFormat="false" ht="15" hidden="false" customHeight="false" outlineLevel="0" collapsed="false">
      <c r="A6672" s="0" t="n">
        <v>97</v>
      </c>
      <c r="B6672" s="0" t="s">
        <v>62</v>
      </c>
      <c r="C6672" s="0" t="n">
        <v>2011</v>
      </c>
      <c r="D6672" s="0" t="n">
        <v>12</v>
      </c>
      <c r="E6672" s="38" t="n">
        <v>260942.05</v>
      </c>
    </row>
    <row r="6673" customFormat="false" ht="15" hidden="false" customHeight="false" outlineLevel="0" collapsed="false">
      <c r="A6673" s="0" t="n">
        <v>97</v>
      </c>
      <c r="B6673" s="0" t="s">
        <v>62</v>
      </c>
      <c r="C6673" s="0" t="n">
        <v>2012</v>
      </c>
      <c r="D6673" s="0" t="n">
        <v>1</v>
      </c>
      <c r="E6673" s="38" t="n">
        <v>226560.49</v>
      </c>
    </row>
    <row r="6674" customFormat="false" ht="15" hidden="false" customHeight="false" outlineLevel="0" collapsed="false">
      <c r="A6674" s="0" t="n">
        <v>97</v>
      </c>
      <c r="B6674" s="0" t="s">
        <v>62</v>
      </c>
      <c r="C6674" s="0" t="n">
        <v>2012</v>
      </c>
      <c r="D6674" s="0" t="n">
        <v>2</v>
      </c>
      <c r="E6674" s="38" t="n">
        <v>244373.73</v>
      </c>
    </row>
    <row r="6675" customFormat="false" ht="15" hidden="false" customHeight="false" outlineLevel="0" collapsed="false">
      <c r="A6675" s="0" t="n">
        <v>97</v>
      </c>
      <c r="B6675" s="0" t="s">
        <v>62</v>
      </c>
      <c r="C6675" s="0" t="n">
        <v>2012</v>
      </c>
      <c r="D6675" s="0" t="n">
        <v>3</v>
      </c>
      <c r="E6675" s="38" t="n">
        <v>229927.37</v>
      </c>
    </row>
    <row r="6676" customFormat="false" ht="15" hidden="false" customHeight="false" outlineLevel="0" collapsed="false">
      <c r="A6676" s="0" t="n">
        <v>97</v>
      </c>
      <c r="B6676" s="0" t="s">
        <v>62</v>
      </c>
      <c r="C6676" s="0" t="n">
        <v>2012</v>
      </c>
      <c r="D6676" s="0" t="n">
        <v>4</v>
      </c>
      <c r="E6676" s="38" t="n">
        <v>258275.75</v>
      </c>
    </row>
    <row r="6677" customFormat="false" ht="15" hidden="false" customHeight="false" outlineLevel="0" collapsed="false">
      <c r="A6677" s="0" t="n">
        <v>97</v>
      </c>
      <c r="B6677" s="0" t="s">
        <v>62</v>
      </c>
      <c r="C6677" s="0" t="n">
        <v>2012</v>
      </c>
      <c r="D6677" s="0" t="n">
        <v>5</v>
      </c>
      <c r="E6677" s="38" t="n">
        <v>273519.19</v>
      </c>
    </row>
    <row r="6678" customFormat="false" ht="15" hidden="false" customHeight="false" outlineLevel="0" collapsed="false">
      <c r="A6678" s="0" t="n">
        <v>97</v>
      </c>
      <c r="B6678" s="0" t="s">
        <v>62</v>
      </c>
      <c r="C6678" s="0" t="n">
        <v>2012</v>
      </c>
      <c r="D6678" s="0" t="n">
        <v>6</v>
      </c>
      <c r="E6678" s="38" t="n">
        <v>281621.17</v>
      </c>
    </row>
    <row r="6679" customFormat="false" ht="15" hidden="false" customHeight="false" outlineLevel="0" collapsed="false">
      <c r="A6679" s="0" t="n">
        <v>97</v>
      </c>
      <c r="B6679" s="0" t="s">
        <v>62</v>
      </c>
      <c r="C6679" s="0" t="n">
        <v>2012</v>
      </c>
      <c r="D6679" s="0" t="n">
        <v>7</v>
      </c>
      <c r="E6679" s="38" t="n">
        <v>265971.5</v>
      </c>
    </row>
    <row r="6680" customFormat="false" ht="15" hidden="false" customHeight="false" outlineLevel="0" collapsed="false">
      <c r="A6680" s="0" t="n">
        <v>97</v>
      </c>
      <c r="B6680" s="0" t="s">
        <v>62</v>
      </c>
      <c r="C6680" s="0" t="n">
        <v>2012</v>
      </c>
      <c r="D6680" s="0" t="n">
        <v>8</v>
      </c>
      <c r="E6680" s="38" t="n">
        <v>237987.19</v>
      </c>
    </row>
    <row r="6681" customFormat="false" ht="15" hidden="false" customHeight="false" outlineLevel="0" collapsed="false">
      <c r="A6681" s="0" t="n">
        <v>97</v>
      </c>
      <c r="B6681" s="0" t="s">
        <v>62</v>
      </c>
      <c r="C6681" s="0" t="n">
        <v>2012</v>
      </c>
      <c r="D6681" s="0" t="n">
        <v>9</v>
      </c>
      <c r="E6681" s="38" t="n">
        <v>265815.88</v>
      </c>
    </row>
    <row r="6682" customFormat="false" ht="15" hidden="false" customHeight="false" outlineLevel="0" collapsed="false">
      <c r="A6682" s="0" t="n">
        <v>97</v>
      </c>
      <c r="B6682" s="0" t="s">
        <v>62</v>
      </c>
      <c r="C6682" s="0" t="n">
        <v>2012</v>
      </c>
      <c r="D6682" s="0" t="n">
        <v>10</v>
      </c>
      <c r="E6682" s="38" t="n">
        <v>250879.17</v>
      </c>
    </row>
    <row r="6683" customFormat="false" ht="15" hidden="false" customHeight="false" outlineLevel="0" collapsed="false">
      <c r="A6683" s="0" t="n">
        <v>97</v>
      </c>
      <c r="B6683" s="0" t="s">
        <v>62</v>
      </c>
      <c r="C6683" s="0" t="n">
        <v>2012</v>
      </c>
      <c r="D6683" s="0" t="n">
        <v>11</v>
      </c>
      <c r="E6683" s="38" t="n">
        <v>271957.58</v>
      </c>
    </row>
    <row r="6684" customFormat="false" ht="15" hidden="false" customHeight="false" outlineLevel="0" collapsed="false">
      <c r="A6684" s="0" t="n">
        <v>97</v>
      </c>
      <c r="B6684" s="0" t="s">
        <v>62</v>
      </c>
      <c r="C6684" s="0" t="n">
        <v>2012</v>
      </c>
      <c r="D6684" s="0" t="n">
        <v>12</v>
      </c>
      <c r="E6684" s="38" t="n">
        <v>284180.43</v>
      </c>
    </row>
    <row r="6685" customFormat="false" ht="15" hidden="false" customHeight="false" outlineLevel="0" collapsed="false">
      <c r="A6685" s="0" t="n">
        <v>97</v>
      </c>
      <c r="B6685" s="0" t="s">
        <v>62</v>
      </c>
      <c r="C6685" s="0" t="n">
        <v>2013</v>
      </c>
      <c r="D6685" s="0" t="n">
        <v>1</v>
      </c>
      <c r="E6685" s="38" t="n">
        <v>263113.11</v>
      </c>
    </row>
    <row r="6686" customFormat="false" ht="15" hidden="false" customHeight="false" outlineLevel="0" collapsed="false">
      <c r="A6686" s="0" t="n">
        <v>97</v>
      </c>
      <c r="B6686" s="0" t="s">
        <v>62</v>
      </c>
      <c r="C6686" s="0" t="n">
        <v>2013</v>
      </c>
      <c r="D6686" s="0" t="n">
        <v>2</v>
      </c>
      <c r="E6686" s="38" t="n">
        <v>277183.35</v>
      </c>
    </row>
    <row r="6687" customFormat="false" ht="15" hidden="false" customHeight="false" outlineLevel="0" collapsed="false">
      <c r="A6687" s="0" t="n">
        <v>97</v>
      </c>
      <c r="B6687" s="0" t="s">
        <v>62</v>
      </c>
      <c r="C6687" s="0" t="n">
        <v>2013</v>
      </c>
      <c r="D6687" s="0" t="n">
        <v>3</v>
      </c>
      <c r="E6687" s="38" t="n">
        <v>262558.58</v>
      </c>
    </row>
    <row r="6688" customFormat="false" ht="15" hidden="false" customHeight="false" outlineLevel="0" collapsed="false">
      <c r="A6688" s="0" t="n">
        <v>97</v>
      </c>
      <c r="B6688" s="0" t="s">
        <v>62</v>
      </c>
      <c r="C6688" s="0" t="n">
        <v>2013</v>
      </c>
      <c r="D6688" s="0" t="n">
        <v>4</v>
      </c>
      <c r="E6688" s="38" t="n">
        <v>287476.36</v>
      </c>
    </row>
    <row r="6689" customFormat="false" ht="15" hidden="false" customHeight="false" outlineLevel="0" collapsed="false">
      <c r="A6689" s="0" t="n">
        <v>97</v>
      </c>
      <c r="B6689" s="0" t="s">
        <v>62</v>
      </c>
      <c r="C6689" s="0" t="n">
        <v>2013</v>
      </c>
      <c r="D6689" s="0" t="n">
        <v>5</v>
      </c>
      <c r="E6689" s="38" t="n">
        <v>298932.51</v>
      </c>
    </row>
    <row r="6690" customFormat="false" ht="15" hidden="false" customHeight="false" outlineLevel="0" collapsed="false">
      <c r="A6690" s="0" t="n">
        <v>97</v>
      </c>
      <c r="B6690" s="0" t="s">
        <v>62</v>
      </c>
      <c r="C6690" s="0" t="n">
        <v>2013</v>
      </c>
      <c r="D6690" s="0" t="n">
        <v>6</v>
      </c>
      <c r="E6690" s="38" t="n">
        <v>309919.45</v>
      </c>
    </row>
    <row r="6691" customFormat="false" ht="15" hidden="false" customHeight="false" outlineLevel="0" collapsed="false">
      <c r="A6691" s="0" t="n">
        <v>97</v>
      </c>
      <c r="B6691" s="0" t="s">
        <v>62</v>
      </c>
      <c r="C6691" s="0" t="n">
        <v>2013</v>
      </c>
      <c r="D6691" s="0" t="n">
        <v>7</v>
      </c>
      <c r="E6691" s="38" t="n">
        <v>291525.44</v>
      </c>
    </row>
    <row r="6692" customFormat="false" ht="15" hidden="false" customHeight="false" outlineLevel="0" collapsed="false">
      <c r="A6692" s="0" t="n">
        <v>97</v>
      </c>
      <c r="B6692" s="0" t="s">
        <v>62</v>
      </c>
      <c r="C6692" s="0" t="n">
        <v>2013</v>
      </c>
      <c r="D6692" s="0" t="n">
        <v>8</v>
      </c>
      <c r="E6692" s="38" t="n">
        <v>284849.56</v>
      </c>
    </row>
    <row r="6693" customFormat="false" ht="15" hidden="false" customHeight="false" outlineLevel="0" collapsed="false">
      <c r="A6693" s="0" t="n">
        <v>97</v>
      </c>
      <c r="B6693" s="0" t="s">
        <v>64</v>
      </c>
      <c r="C6693" s="0" t="n">
        <v>2011</v>
      </c>
      <c r="D6693" s="0" t="n">
        <v>1</v>
      </c>
      <c r="E6693" s="38" t="n">
        <v>304368.04</v>
      </c>
    </row>
    <row r="6694" customFormat="false" ht="15" hidden="false" customHeight="false" outlineLevel="0" collapsed="false">
      <c r="A6694" s="0" t="n">
        <v>97</v>
      </c>
      <c r="B6694" s="0" t="s">
        <v>64</v>
      </c>
      <c r="C6694" s="0" t="n">
        <v>2011</v>
      </c>
      <c r="D6694" s="0" t="n">
        <v>2</v>
      </c>
      <c r="E6694" s="38" t="n">
        <v>330019.95</v>
      </c>
    </row>
    <row r="6695" customFormat="false" ht="15" hidden="false" customHeight="false" outlineLevel="0" collapsed="false">
      <c r="A6695" s="0" t="n">
        <v>97</v>
      </c>
      <c r="B6695" s="0" t="s">
        <v>64</v>
      </c>
      <c r="C6695" s="0" t="n">
        <v>2011</v>
      </c>
      <c r="D6695" s="0" t="n">
        <v>3</v>
      </c>
      <c r="E6695" s="38" t="n">
        <v>326266.22</v>
      </c>
    </row>
    <row r="6696" customFormat="false" ht="15" hidden="false" customHeight="false" outlineLevel="0" collapsed="false">
      <c r="A6696" s="0" t="n">
        <v>97</v>
      </c>
      <c r="B6696" s="0" t="s">
        <v>64</v>
      </c>
      <c r="C6696" s="0" t="n">
        <v>2011</v>
      </c>
      <c r="D6696" s="0" t="n">
        <v>4</v>
      </c>
      <c r="E6696" s="38" t="n">
        <v>353955.97</v>
      </c>
    </row>
    <row r="6697" customFormat="false" ht="15" hidden="false" customHeight="false" outlineLevel="0" collapsed="false">
      <c r="A6697" s="0" t="n">
        <v>97</v>
      </c>
      <c r="B6697" s="0" t="s">
        <v>64</v>
      </c>
      <c r="C6697" s="0" t="n">
        <v>2011</v>
      </c>
      <c r="D6697" s="0" t="n">
        <v>5</v>
      </c>
      <c r="E6697" s="38" t="n">
        <v>349527.28</v>
      </c>
    </row>
    <row r="6698" customFormat="false" ht="15" hidden="false" customHeight="false" outlineLevel="0" collapsed="false">
      <c r="A6698" s="0" t="n">
        <v>97</v>
      </c>
      <c r="B6698" s="0" t="s">
        <v>64</v>
      </c>
      <c r="C6698" s="0" t="n">
        <v>2011</v>
      </c>
      <c r="D6698" s="0" t="n">
        <v>6</v>
      </c>
      <c r="E6698" s="38" t="n">
        <v>364307.43</v>
      </c>
    </row>
    <row r="6699" customFormat="false" ht="15" hidden="false" customHeight="false" outlineLevel="0" collapsed="false">
      <c r="A6699" s="0" t="n">
        <v>97</v>
      </c>
      <c r="B6699" s="0" t="s">
        <v>64</v>
      </c>
      <c r="C6699" s="0" t="n">
        <v>2011</v>
      </c>
      <c r="D6699" s="0" t="n">
        <v>7</v>
      </c>
      <c r="E6699" s="38" t="n">
        <v>377012.86</v>
      </c>
    </row>
    <row r="6700" customFormat="false" ht="15" hidden="false" customHeight="false" outlineLevel="0" collapsed="false">
      <c r="A6700" s="0" t="n">
        <v>97</v>
      </c>
      <c r="B6700" s="0" t="s">
        <v>64</v>
      </c>
      <c r="C6700" s="0" t="n">
        <v>2011</v>
      </c>
      <c r="D6700" s="0" t="n">
        <v>8</v>
      </c>
      <c r="E6700" s="38" t="n">
        <v>366574.91</v>
      </c>
    </row>
    <row r="6701" customFormat="false" ht="15" hidden="false" customHeight="false" outlineLevel="0" collapsed="false">
      <c r="A6701" s="0" t="n">
        <v>97</v>
      </c>
      <c r="B6701" s="0" t="s">
        <v>64</v>
      </c>
      <c r="C6701" s="0" t="n">
        <v>2011</v>
      </c>
      <c r="D6701" s="0" t="n">
        <v>9</v>
      </c>
      <c r="E6701" s="38" t="n">
        <v>371246.24</v>
      </c>
    </row>
    <row r="6702" customFormat="false" ht="15" hidden="false" customHeight="false" outlineLevel="0" collapsed="false">
      <c r="A6702" s="0" t="n">
        <v>97</v>
      </c>
      <c r="B6702" s="0" t="s">
        <v>64</v>
      </c>
      <c r="C6702" s="0" t="n">
        <v>2011</v>
      </c>
      <c r="D6702" s="0" t="n">
        <v>10</v>
      </c>
      <c r="E6702" s="38" t="n">
        <v>329110.96</v>
      </c>
    </row>
    <row r="6703" customFormat="false" ht="15" hidden="false" customHeight="false" outlineLevel="0" collapsed="false">
      <c r="A6703" s="0" t="n">
        <v>97</v>
      </c>
      <c r="B6703" s="0" t="s">
        <v>64</v>
      </c>
      <c r="C6703" s="0" t="n">
        <v>2011</v>
      </c>
      <c r="D6703" s="0" t="n">
        <v>11</v>
      </c>
      <c r="E6703" s="38" t="n">
        <v>328684.59</v>
      </c>
    </row>
    <row r="6704" customFormat="false" ht="15" hidden="false" customHeight="false" outlineLevel="0" collapsed="false">
      <c r="A6704" s="0" t="n">
        <v>97</v>
      </c>
      <c r="B6704" s="0" t="s">
        <v>64</v>
      </c>
      <c r="C6704" s="0" t="n">
        <v>2011</v>
      </c>
      <c r="D6704" s="0" t="n">
        <v>12</v>
      </c>
      <c r="E6704" s="38" t="n">
        <v>359189.83</v>
      </c>
    </row>
    <row r="6705" customFormat="false" ht="15" hidden="false" customHeight="false" outlineLevel="0" collapsed="false">
      <c r="A6705" s="0" t="n">
        <v>97</v>
      </c>
      <c r="B6705" s="0" t="s">
        <v>64</v>
      </c>
      <c r="C6705" s="0" t="n">
        <v>2012</v>
      </c>
      <c r="D6705" s="0" t="n">
        <v>1</v>
      </c>
      <c r="E6705" s="38" t="n">
        <v>316869.62</v>
      </c>
    </row>
    <row r="6706" customFormat="false" ht="15" hidden="false" customHeight="false" outlineLevel="0" collapsed="false">
      <c r="A6706" s="0" t="n">
        <v>97</v>
      </c>
      <c r="B6706" s="0" t="s">
        <v>64</v>
      </c>
      <c r="C6706" s="0" t="n">
        <v>2012</v>
      </c>
      <c r="D6706" s="0" t="n">
        <v>2</v>
      </c>
      <c r="E6706" s="38" t="n">
        <v>345595.17</v>
      </c>
    </row>
    <row r="6707" customFormat="false" ht="15" hidden="false" customHeight="false" outlineLevel="0" collapsed="false">
      <c r="A6707" s="0" t="n">
        <v>97</v>
      </c>
      <c r="B6707" s="0" t="s">
        <v>64</v>
      </c>
      <c r="C6707" s="0" t="n">
        <v>2012</v>
      </c>
      <c r="D6707" s="0" t="n">
        <v>3</v>
      </c>
      <c r="E6707" s="38" t="n">
        <v>338771.29</v>
      </c>
    </row>
    <row r="6708" customFormat="false" ht="15" hidden="false" customHeight="false" outlineLevel="0" collapsed="false">
      <c r="A6708" s="0" t="n">
        <v>97</v>
      </c>
      <c r="B6708" s="0" t="s">
        <v>64</v>
      </c>
      <c r="C6708" s="0" t="n">
        <v>2012</v>
      </c>
      <c r="D6708" s="0" t="n">
        <v>4</v>
      </c>
      <c r="E6708" s="38" t="n">
        <v>369270.05</v>
      </c>
    </row>
    <row r="6709" customFormat="false" ht="15" hidden="false" customHeight="false" outlineLevel="0" collapsed="false">
      <c r="A6709" s="0" t="n">
        <v>97</v>
      </c>
      <c r="B6709" s="0" t="s">
        <v>64</v>
      </c>
      <c r="C6709" s="0" t="n">
        <v>2012</v>
      </c>
      <c r="D6709" s="0" t="n">
        <v>5</v>
      </c>
      <c r="E6709" s="38" t="n">
        <v>356596.29</v>
      </c>
    </row>
    <row r="6710" customFormat="false" ht="15" hidden="false" customHeight="false" outlineLevel="0" collapsed="false">
      <c r="A6710" s="0" t="n">
        <v>97</v>
      </c>
      <c r="B6710" s="0" t="s">
        <v>64</v>
      </c>
      <c r="C6710" s="0" t="n">
        <v>2012</v>
      </c>
      <c r="D6710" s="0" t="n">
        <v>6</v>
      </c>
      <c r="E6710" s="38" t="n">
        <v>361740.66</v>
      </c>
    </row>
    <row r="6711" customFormat="false" ht="15" hidden="false" customHeight="false" outlineLevel="0" collapsed="false">
      <c r="A6711" s="0" t="n">
        <v>97</v>
      </c>
      <c r="B6711" s="0" t="s">
        <v>64</v>
      </c>
      <c r="C6711" s="0" t="n">
        <v>2012</v>
      </c>
      <c r="D6711" s="0" t="n">
        <v>7</v>
      </c>
      <c r="E6711" s="38" t="n">
        <v>353018.94</v>
      </c>
    </row>
    <row r="6712" customFormat="false" ht="15" hidden="false" customHeight="false" outlineLevel="0" collapsed="false">
      <c r="A6712" s="0" t="n">
        <v>97</v>
      </c>
      <c r="B6712" s="0" t="s">
        <v>64</v>
      </c>
      <c r="C6712" s="0" t="n">
        <v>2012</v>
      </c>
      <c r="D6712" s="0" t="n">
        <v>8</v>
      </c>
      <c r="E6712" s="38" t="n">
        <v>344851.54</v>
      </c>
    </row>
    <row r="6713" customFormat="false" ht="15" hidden="false" customHeight="false" outlineLevel="0" collapsed="false">
      <c r="A6713" s="0" t="n">
        <v>97</v>
      </c>
      <c r="B6713" s="0" t="s">
        <v>64</v>
      </c>
      <c r="C6713" s="0" t="n">
        <v>2012</v>
      </c>
      <c r="D6713" s="0" t="n">
        <v>9</v>
      </c>
      <c r="E6713" s="38" t="n">
        <v>366471.54</v>
      </c>
    </row>
    <row r="6714" customFormat="false" ht="15" hidden="false" customHeight="false" outlineLevel="0" collapsed="false">
      <c r="A6714" s="0" t="n">
        <v>97</v>
      </c>
      <c r="B6714" s="0" t="s">
        <v>64</v>
      </c>
      <c r="C6714" s="0" t="n">
        <v>2012</v>
      </c>
      <c r="D6714" s="0" t="n">
        <v>10</v>
      </c>
      <c r="E6714" s="38" t="n">
        <v>330296.91</v>
      </c>
    </row>
    <row r="6715" customFormat="false" ht="15" hidden="false" customHeight="false" outlineLevel="0" collapsed="false">
      <c r="A6715" s="0" t="n">
        <v>97</v>
      </c>
      <c r="B6715" s="0" t="s">
        <v>64</v>
      </c>
      <c r="C6715" s="0" t="n">
        <v>2012</v>
      </c>
      <c r="D6715" s="0" t="n">
        <v>11</v>
      </c>
      <c r="E6715" s="38" t="n">
        <v>336131.53</v>
      </c>
    </row>
    <row r="6716" customFormat="false" ht="15" hidden="false" customHeight="false" outlineLevel="0" collapsed="false">
      <c r="A6716" s="0" t="n">
        <v>97</v>
      </c>
      <c r="B6716" s="0" t="s">
        <v>64</v>
      </c>
      <c r="C6716" s="0" t="n">
        <v>2012</v>
      </c>
      <c r="D6716" s="0" t="n">
        <v>12</v>
      </c>
      <c r="E6716" s="38" t="n">
        <v>368258.56</v>
      </c>
    </row>
    <row r="6717" customFormat="false" ht="15" hidden="false" customHeight="false" outlineLevel="0" collapsed="false">
      <c r="A6717" s="0" t="n">
        <v>97</v>
      </c>
      <c r="B6717" s="0" t="s">
        <v>64</v>
      </c>
      <c r="C6717" s="0" t="n">
        <v>2013</v>
      </c>
      <c r="D6717" s="0" t="n">
        <v>1</v>
      </c>
      <c r="E6717" s="38" t="n">
        <v>330089.52</v>
      </c>
    </row>
    <row r="6718" customFormat="false" ht="15" hidden="false" customHeight="false" outlineLevel="0" collapsed="false">
      <c r="A6718" s="0" t="n">
        <v>97</v>
      </c>
      <c r="B6718" s="0" t="s">
        <v>64</v>
      </c>
      <c r="C6718" s="0" t="n">
        <v>2013</v>
      </c>
      <c r="D6718" s="0" t="n">
        <v>2</v>
      </c>
      <c r="E6718" s="38" t="n">
        <v>349277.24</v>
      </c>
    </row>
    <row r="6719" customFormat="false" ht="15" hidden="false" customHeight="false" outlineLevel="0" collapsed="false">
      <c r="A6719" s="0" t="n">
        <v>97</v>
      </c>
      <c r="B6719" s="0" t="s">
        <v>64</v>
      </c>
      <c r="C6719" s="0" t="n">
        <v>2013</v>
      </c>
      <c r="D6719" s="0" t="n">
        <v>3</v>
      </c>
      <c r="E6719" s="38" t="n">
        <v>348333.34</v>
      </c>
    </row>
    <row r="6720" customFormat="false" ht="15" hidden="false" customHeight="false" outlineLevel="0" collapsed="false">
      <c r="A6720" s="0" t="n">
        <v>97</v>
      </c>
      <c r="B6720" s="0" t="s">
        <v>64</v>
      </c>
      <c r="C6720" s="0" t="n">
        <v>2013</v>
      </c>
      <c r="D6720" s="0" t="n">
        <v>4</v>
      </c>
      <c r="E6720" s="38" t="n">
        <v>361069.18</v>
      </c>
    </row>
    <row r="6721" customFormat="false" ht="15" hidden="false" customHeight="false" outlineLevel="0" collapsed="false">
      <c r="A6721" s="0" t="n">
        <v>97</v>
      </c>
      <c r="B6721" s="0" t="s">
        <v>64</v>
      </c>
      <c r="C6721" s="0" t="n">
        <v>2013</v>
      </c>
      <c r="D6721" s="0" t="n">
        <v>5</v>
      </c>
      <c r="E6721" s="38" t="n">
        <v>349133.93</v>
      </c>
    </row>
    <row r="6722" customFormat="false" ht="15" hidden="false" customHeight="false" outlineLevel="0" collapsed="false">
      <c r="A6722" s="0" t="n">
        <v>97</v>
      </c>
      <c r="B6722" s="0" t="s">
        <v>64</v>
      </c>
      <c r="C6722" s="0" t="n">
        <v>2013</v>
      </c>
      <c r="D6722" s="0" t="n">
        <v>6</v>
      </c>
      <c r="E6722" s="38" t="n">
        <v>364311.32</v>
      </c>
    </row>
    <row r="6723" customFormat="false" ht="15" hidden="false" customHeight="false" outlineLevel="0" collapsed="false">
      <c r="A6723" s="0" t="n">
        <v>97</v>
      </c>
      <c r="B6723" s="0" t="s">
        <v>64</v>
      </c>
      <c r="C6723" s="0" t="n">
        <v>2013</v>
      </c>
      <c r="D6723" s="0" t="n">
        <v>7</v>
      </c>
      <c r="E6723" s="38" t="n">
        <v>365649.27</v>
      </c>
    </row>
    <row r="6724" customFormat="false" ht="15" hidden="false" customHeight="false" outlineLevel="0" collapsed="false">
      <c r="A6724" s="0" t="n">
        <v>97</v>
      </c>
      <c r="B6724" s="0" t="s">
        <v>64</v>
      </c>
      <c r="C6724" s="0" t="n">
        <v>2013</v>
      </c>
      <c r="D6724" s="0" t="n">
        <v>8</v>
      </c>
      <c r="E6724" s="38" t="n">
        <v>364503.25</v>
      </c>
    </row>
    <row r="6725" customFormat="false" ht="15" hidden="false" customHeight="false" outlineLevel="0" collapsed="false">
      <c r="A6725" s="0" t="n">
        <v>98</v>
      </c>
      <c r="B6725" s="0" t="s">
        <v>60</v>
      </c>
      <c r="C6725" s="0" t="n">
        <v>2011</v>
      </c>
      <c r="D6725" s="0" t="n">
        <v>1</v>
      </c>
      <c r="E6725" s="38" t="n">
        <v>1076167.11</v>
      </c>
    </row>
    <row r="6726" customFormat="false" ht="15" hidden="false" customHeight="false" outlineLevel="0" collapsed="false">
      <c r="A6726" s="0" t="n">
        <v>98</v>
      </c>
      <c r="B6726" s="0" t="s">
        <v>60</v>
      </c>
      <c r="C6726" s="0" t="n">
        <v>2011</v>
      </c>
      <c r="D6726" s="0" t="n">
        <v>2</v>
      </c>
      <c r="E6726" s="38" t="n">
        <v>1082993.7</v>
      </c>
    </row>
    <row r="6727" customFormat="false" ht="15" hidden="false" customHeight="false" outlineLevel="0" collapsed="false">
      <c r="A6727" s="0" t="n">
        <v>98</v>
      </c>
      <c r="B6727" s="0" t="s">
        <v>60</v>
      </c>
      <c r="C6727" s="0" t="n">
        <v>2011</v>
      </c>
      <c r="D6727" s="0" t="n">
        <v>3</v>
      </c>
      <c r="E6727" s="38" t="n">
        <v>1034511.28</v>
      </c>
    </row>
    <row r="6728" customFormat="false" ht="15" hidden="false" customHeight="false" outlineLevel="0" collapsed="false">
      <c r="A6728" s="0" t="n">
        <v>98</v>
      </c>
      <c r="B6728" s="0" t="s">
        <v>60</v>
      </c>
      <c r="C6728" s="0" t="n">
        <v>2011</v>
      </c>
      <c r="D6728" s="0" t="n">
        <v>4</v>
      </c>
      <c r="E6728" s="38" t="n">
        <v>1110001.86</v>
      </c>
    </row>
    <row r="6729" customFormat="false" ht="15" hidden="false" customHeight="false" outlineLevel="0" collapsed="false">
      <c r="A6729" s="0" t="n">
        <v>98</v>
      </c>
      <c r="B6729" s="0" t="s">
        <v>60</v>
      </c>
      <c r="C6729" s="0" t="n">
        <v>2011</v>
      </c>
      <c r="D6729" s="0" t="n">
        <v>5</v>
      </c>
      <c r="E6729" s="38" t="n">
        <v>1034843.96</v>
      </c>
    </row>
    <row r="6730" customFormat="false" ht="15" hidden="false" customHeight="false" outlineLevel="0" collapsed="false">
      <c r="A6730" s="0" t="n">
        <v>98</v>
      </c>
      <c r="B6730" s="0" t="s">
        <v>60</v>
      </c>
      <c r="C6730" s="0" t="n">
        <v>2011</v>
      </c>
      <c r="D6730" s="0" t="n">
        <v>6</v>
      </c>
      <c r="E6730" s="38" t="n">
        <v>1029544.33</v>
      </c>
    </row>
    <row r="6731" customFormat="false" ht="15" hidden="false" customHeight="false" outlineLevel="0" collapsed="false">
      <c r="A6731" s="0" t="n">
        <v>98</v>
      </c>
      <c r="B6731" s="0" t="s">
        <v>60</v>
      </c>
      <c r="C6731" s="0" t="n">
        <v>2011</v>
      </c>
      <c r="D6731" s="0" t="n">
        <v>7</v>
      </c>
      <c r="E6731" s="38" t="n">
        <v>996411.75</v>
      </c>
    </row>
    <row r="6732" customFormat="false" ht="15" hidden="false" customHeight="false" outlineLevel="0" collapsed="false">
      <c r="A6732" s="0" t="n">
        <v>98</v>
      </c>
      <c r="B6732" s="0" t="s">
        <v>60</v>
      </c>
      <c r="C6732" s="0" t="n">
        <v>2011</v>
      </c>
      <c r="D6732" s="0" t="n">
        <v>8</v>
      </c>
      <c r="E6732" s="38" t="n">
        <v>967570.35</v>
      </c>
    </row>
    <row r="6733" customFormat="false" ht="15" hidden="false" customHeight="false" outlineLevel="0" collapsed="false">
      <c r="A6733" s="0" t="n">
        <v>98</v>
      </c>
      <c r="B6733" s="0" t="s">
        <v>60</v>
      </c>
      <c r="C6733" s="0" t="n">
        <v>2011</v>
      </c>
      <c r="D6733" s="0" t="n">
        <v>9</v>
      </c>
      <c r="E6733" s="38" t="n">
        <v>1103861.32</v>
      </c>
    </row>
    <row r="6734" customFormat="false" ht="15" hidden="false" customHeight="false" outlineLevel="0" collapsed="false">
      <c r="A6734" s="0" t="n">
        <v>98</v>
      </c>
      <c r="B6734" s="0" t="s">
        <v>60</v>
      </c>
      <c r="C6734" s="0" t="n">
        <v>2011</v>
      </c>
      <c r="D6734" s="0" t="n">
        <v>10</v>
      </c>
      <c r="E6734" s="38" t="n">
        <v>1175270.93</v>
      </c>
    </row>
    <row r="6735" customFormat="false" ht="15" hidden="false" customHeight="false" outlineLevel="0" collapsed="false">
      <c r="A6735" s="0" t="n">
        <v>98</v>
      </c>
      <c r="B6735" s="0" t="s">
        <v>60</v>
      </c>
      <c r="C6735" s="0" t="n">
        <v>2011</v>
      </c>
      <c r="D6735" s="0" t="n">
        <v>11</v>
      </c>
      <c r="E6735" s="38" t="n">
        <v>1300008.78</v>
      </c>
    </row>
    <row r="6736" customFormat="false" ht="15" hidden="false" customHeight="false" outlineLevel="0" collapsed="false">
      <c r="A6736" s="0" t="n">
        <v>98</v>
      </c>
      <c r="B6736" s="0" t="s">
        <v>60</v>
      </c>
      <c r="C6736" s="0" t="n">
        <v>2011</v>
      </c>
      <c r="D6736" s="0" t="n">
        <v>12</v>
      </c>
      <c r="E6736" s="38" t="n">
        <v>934933.94</v>
      </c>
    </row>
    <row r="6737" customFormat="false" ht="15" hidden="false" customHeight="false" outlineLevel="0" collapsed="false">
      <c r="A6737" s="0" t="n">
        <v>98</v>
      </c>
      <c r="B6737" s="0" t="s">
        <v>60</v>
      </c>
      <c r="C6737" s="0" t="n">
        <v>2012</v>
      </c>
      <c r="D6737" s="0" t="n">
        <v>1</v>
      </c>
      <c r="E6737" s="38" t="n">
        <v>1034298.29</v>
      </c>
    </row>
    <row r="6738" customFormat="false" ht="15" hidden="false" customHeight="false" outlineLevel="0" collapsed="false">
      <c r="A6738" s="0" t="n">
        <v>98</v>
      </c>
      <c r="B6738" s="0" t="s">
        <v>60</v>
      </c>
      <c r="C6738" s="0" t="n">
        <v>2012</v>
      </c>
      <c r="D6738" s="0" t="n">
        <v>2</v>
      </c>
      <c r="E6738" s="38" t="n">
        <v>1018620.71</v>
      </c>
    </row>
    <row r="6739" customFormat="false" ht="15" hidden="false" customHeight="false" outlineLevel="0" collapsed="false">
      <c r="A6739" s="0" t="n">
        <v>98</v>
      </c>
      <c r="B6739" s="0" t="s">
        <v>60</v>
      </c>
      <c r="C6739" s="0" t="n">
        <v>2012</v>
      </c>
      <c r="D6739" s="0" t="n">
        <v>3</v>
      </c>
      <c r="E6739" s="38" t="n">
        <v>1061898.48</v>
      </c>
    </row>
    <row r="6740" customFormat="false" ht="15" hidden="false" customHeight="false" outlineLevel="0" collapsed="false">
      <c r="A6740" s="0" t="n">
        <v>98</v>
      </c>
      <c r="B6740" s="0" t="s">
        <v>60</v>
      </c>
      <c r="C6740" s="0" t="n">
        <v>2012</v>
      </c>
      <c r="D6740" s="0" t="n">
        <v>4</v>
      </c>
      <c r="E6740" s="38" t="n">
        <v>1061009.78</v>
      </c>
    </row>
    <row r="6741" customFormat="false" ht="15" hidden="false" customHeight="false" outlineLevel="0" collapsed="false">
      <c r="A6741" s="0" t="n">
        <v>98</v>
      </c>
      <c r="B6741" s="0" t="s">
        <v>60</v>
      </c>
      <c r="C6741" s="0" t="n">
        <v>2012</v>
      </c>
      <c r="D6741" s="0" t="n">
        <v>5</v>
      </c>
      <c r="E6741" s="38" t="n">
        <v>1008634.67</v>
      </c>
    </row>
    <row r="6742" customFormat="false" ht="15" hidden="false" customHeight="false" outlineLevel="0" collapsed="false">
      <c r="A6742" s="0" t="n">
        <v>98</v>
      </c>
      <c r="B6742" s="0" t="s">
        <v>60</v>
      </c>
      <c r="C6742" s="0" t="n">
        <v>2012</v>
      </c>
      <c r="D6742" s="0" t="n">
        <v>6</v>
      </c>
      <c r="E6742" s="38" t="n">
        <v>1014998.49</v>
      </c>
    </row>
    <row r="6743" customFormat="false" ht="15" hidden="false" customHeight="false" outlineLevel="0" collapsed="false">
      <c r="A6743" s="0" t="n">
        <v>98</v>
      </c>
      <c r="B6743" s="0" t="s">
        <v>60</v>
      </c>
      <c r="C6743" s="0" t="n">
        <v>2012</v>
      </c>
      <c r="D6743" s="0" t="n">
        <v>7</v>
      </c>
      <c r="E6743" s="38" t="n">
        <v>998710.68</v>
      </c>
    </row>
    <row r="6744" customFormat="false" ht="15" hidden="false" customHeight="false" outlineLevel="0" collapsed="false">
      <c r="A6744" s="0" t="n">
        <v>98</v>
      </c>
      <c r="B6744" s="0" t="s">
        <v>60</v>
      </c>
      <c r="C6744" s="0" t="n">
        <v>2012</v>
      </c>
      <c r="D6744" s="0" t="n">
        <v>8</v>
      </c>
      <c r="E6744" s="38" t="n">
        <v>971446.25</v>
      </c>
    </row>
    <row r="6745" customFormat="false" ht="15" hidden="false" customHeight="false" outlineLevel="0" collapsed="false">
      <c r="A6745" s="0" t="n">
        <v>98</v>
      </c>
      <c r="B6745" s="0" t="s">
        <v>60</v>
      </c>
      <c r="C6745" s="0" t="n">
        <v>2012</v>
      </c>
      <c r="D6745" s="0" t="n">
        <v>9</v>
      </c>
      <c r="E6745" s="38" t="n">
        <v>1114938.92</v>
      </c>
    </row>
    <row r="6746" customFormat="false" ht="15" hidden="false" customHeight="false" outlineLevel="0" collapsed="false">
      <c r="A6746" s="0" t="n">
        <v>98</v>
      </c>
      <c r="B6746" s="0" t="s">
        <v>60</v>
      </c>
      <c r="C6746" s="0" t="n">
        <v>2012</v>
      </c>
      <c r="D6746" s="0" t="n">
        <v>10</v>
      </c>
      <c r="E6746" s="38" t="n">
        <v>1174879.58</v>
      </c>
    </row>
    <row r="6747" customFormat="false" ht="15" hidden="false" customHeight="false" outlineLevel="0" collapsed="false">
      <c r="A6747" s="0" t="n">
        <v>98</v>
      </c>
      <c r="B6747" s="0" t="s">
        <v>60</v>
      </c>
      <c r="C6747" s="0" t="n">
        <v>2012</v>
      </c>
      <c r="D6747" s="0" t="n">
        <v>11</v>
      </c>
      <c r="E6747" s="38" t="n">
        <v>1318650.72</v>
      </c>
    </row>
    <row r="6748" customFormat="false" ht="15" hidden="false" customHeight="false" outlineLevel="0" collapsed="false">
      <c r="A6748" s="0" t="n">
        <v>98</v>
      </c>
      <c r="B6748" s="0" t="s">
        <v>60</v>
      </c>
      <c r="C6748" s="0" t="n">
        <v>2012</v>
      </c>
      <c r="D6748" s="0" t="n">
        <v>12</v>
      </c>
      <c r="E6748" s="38" t="n">
        <v>968397.73</v>
      </c>
    </row>
    <row r="6749" customFormat="false" ht="15" hidden="false" customHeight="false" outlineLevel="0" collapsed="false">
      <c r="A6749" s="0" t="n">
        <v>98</v>
      </c>
      <c r="B6749" s="0" t="s">
        <v>60</v>
      </c>
      <c r="C6749" s="0" t="n">
        <v>2013</v>
      </c>
      <c r="D6749" s="0" t="n">
        <v>1</v>
      </c>
      <c r="E6749" s="38" t="n">
        <v>1041880.33</v>
      </c>
    </row>
    <row r="6750" customFormat="false" ht="15" hidden="false" customHeight="false" outlineLevel="0" collapsed="false">
      <c r="A6750" s="0" t="n">
        <v>98</v>
      </c>
      <c r="B6750" s="0" t="s">
        <v>60</v>
      </c>
      <c r="C6750" s="0" t="n">
        <v>2013</v>
      </c>
      <c r="D6750" s="0" t="n">
        <v>2</v>
      </c>
      <c r="E6750" s="38" t="n">
        <v>995414.56</v>
      </c>
    </row>
    <row r="6751" customFormat="false" ht="15" hidden="false" customHeight="false" outlineLevel="0" collapsed="false">
      <c r="A6751" s="0" t="n">
        <v>98</v>
      </c>
      <c r="B6751" s="0" t="s">
        <v>60</v>
      </c>
      <c r="C6751" s="0" t="n">
        <v>2013</v>
      </c>
      <c r="D6751" s="0" t="n">
        <v>3</v>
      </c>
      <c r="E6751" s="38" t="n">
        <v>994541.87</v>
      </c>
    </row>
    <row r="6752" customFormat="false" ht="15" hidden="false" customHeight="false" outlineLevel="0" collapsed="false">
      <c r="A6752" s="0" t="n">
        <v>98</v>
      </c>
      <c r="B6752" s="0" t="s">
        <v>60</v>
      </c>
      <c r="C6752" s="0" t="n">
        <v>2013</v>
      </c>
      <c r="D6752" s="0" t="n">
        <v>4</v>
      </c>
      <c r="E6752" s="38" t="n">
        <v>1054051.72</v>
      </c>
    </row>
    <row r="6753" customFormat="false" ht="15" hidden="false" customHeight="false" outlineLevel="0" collapsed="false">
      <c r="A6753" s="0" t="n">
        <v>98</v>
      </c>
      <c r="B6753" s="0" t="s">
        <v>60</v>
      </c>
      <c r="C6753" s="0" t="n">
        <v>2013</v>
      </c>
      <c r="D6753" s="0" t="n">
        <v>5</v>
      </c>
      <c r="E6753" s="38" t="n">
        <v>971472.31</v>
      </c>
    </row>
    <row r="6754" customFormat="false" ht="15" hidden="false" customHeight="false" outlineLevel="0" collapsed="false">
      <c r="A6754" s="0" t="n">
        <v>98</v>
      </c>
      <c r="B6754" s="0" t="s">
        <v>60</v>
      </c>
      <c r="C6754" s="0" t="n">
        <v>2013</v>
      </c>
      <c r="D6754" s="0" t="n">
        <v>6</v>
      </c>
      <c r="E6754" s="38" t="n">
        <v>976366.28</v>
      </c>
    </row>
    <row r="6755" customFormat="false" ht="15" hidden="false" customHeight="false" outlineLevel="0" collapsed="false">
      <c r="A6755" s="0" t="n">
        <v>98</v>
      </c>
      <c r="B6755" s="0" t="s">
        <v>60</v>
      </c>
      <c r="C6755" s="0" t="n">
        <v>2013</v>
      </c>
      <c r="D6755" s="0" t="n">
        <v>7</v>
      </c>
      <c r="E6755" s="38" t="n">
        <v>943394.77</v>
      </c>
    </row>
    <row r="6756" customFormat="false" ht="15" hidden="false" customHeight="false" outlineLevel="0" collapsed="false">
      <c r="A6756" s="0" t="n">
        <v>98</v>
      </c>
      <c r="B6756" s="0" t="s">
        <v>60</v>
      </c>
      <c r="C6756" s="0" t="n">
        <v>2013</v>
      </c>
      <c r="D6756" s="0" t="n">
        <v>8</v>
      </c>
      <c r="E6756" s="38" t="n">
        <v>964765.87</v>
      </c>
    </row>
    <row r="6757" customFormat="false" ht="15" hidden="false" customHeight="false" outlineLevel="0" collapsed="false">
      <c r="A6757" s="0" t="n">
        <v>98</v>
      </c>
      <c r="B6757" s="0" t="s">
        <v>62</v>
      </c>
      <c r="C6757" s="0" t="n">
        <v>2011</v>
      </c>
      <c r="D6757" s="0" t="n">
        <v>1</v>
      </c>
      <c r="E6757" s="38" t="n">
        <v>13458.24</v>
      </c>
    </row>
    <row r="6758" customFormat="false" ht="15" hidden="false" customHeight="false" outlineLevel="0" collapsed="false">
      <c r="A6758" s="0" t="n">
        <v>98</v>
      </c>
      <c r="B6758" s="0" t="s">
        <v>62</v>
      </c>
      <c r="C6758" s="0" t="n">
        <v>2011</v>
      </c>
      <c r="D6758" s="0" t="n">
        <v>2</v>
      </c>
      <c r="E6758" s="38" t="n">
        <v>8703.67</v>
      </c>
    </row>
    <row r="6759" customFormat="false" ht="15" hidden="false" customHeight="false" outlineLevel="0" collapsed="false">
      <c r="A6759" s="0" t="n">
        <v>98</v>
      </c>
      <c r="B6759" s="0" t="s">
        <v>62</v>
      </c>
      <c r="C6759" s="0" t="n">
        <v>2011</v>
      </c>
      <c r="D6759" s="0" t="n">
        <v>3</v>
      </c>
      <c r="E6759" s="38" t="n">
        <v>6118.05</v>
      </c>
    </row>
    <row r="6760" customFormat="false" ht="15" hidden="false" customHeight="false" outlineLevel="0" collapsed="false">
      <c r="A6760" s="0" t="n">
        <v>98</v>
      </c>
      <c r="B6760" s="0" t="s">
        <v>62</v>
      </c>
      <c r="C6760" s="0" t="n">
        <v>2011</v>
      </c>
      <c r="D6760" s="0" t="n">
        <v>4</v>
      </c>
      <c r="E6760" s="38" t="n">
        <v>6604.97</v>
      </c>
    </row>
    <row r="6761" customFormat="false" ht="15" hidden="false" customHeight="false" outlineLevel="0" collapsed="false">
      <c r="A6761" s="0" t="n">
        <v>98</v>
      </c>
      <c r="B6761" s="0" t="s">
        <v>62</v>
      </c>
      <c r="C6761" s="0" t="n">
        <v>2011</v>
      </c>
      <c r="D6761" s="0" t="n">
        <v>5</v>
      </c>
      <c r="E6761" s="38" t="n">
        <v>5674.75</v>
      </c>
    </row>
    <row r="6762" customFormat="false" ht="15" hidden="false" customHeight="false" outlineLevel="0" collapsed="false">
      <c r="A6762" s="0" t="n">
        <v>98</v>
      </c>
      <c r="B6762" s="0" t="s">
        <v>62</v>
      </c>
      <c r="C6762" s="0" t="n">
        <v>2011</v>
      </c>
      <c r="D6762" s="0" t="n">
        <v>6</v>
      </c>
      <c r="E6762" s="38" t="n">
        <v>6122.44</v>
      </c>
    </row>
    <row r="6763" customFormat="false" ht="15" hidden="false" customHeight="false" outlineLevel="0" collapsed="false">
      <c r="A6763" s="0" t="n">
        <v>98</v>
      </c>
      <c r="B6763" s="0" t="s">
        <v>62</v>
      </c>
      <c r="C6763" s="0" t="n">
        <v>2011</v>
      </c>
      <c r="D6763" s="0" t="n">
        <v>7</v>
      </c>
      <c r="E6763" s="38" t="n">
        <v>4696.27</v>
      </c>
    </row>
    <row r="6764" customFormat="false" ht="15" hidden="false" customHeight="false" outlineLevel="0" collapsed="false">
      <c r="A6764" s="0" t="n">
        <v>98</v>
      </c>
      <c r="B6764" s="0" t="s">
        <v>62</v>
      </c>
      <c r="C6764" s="0" t="n">
        <v>2011</v>
      </c>
      <c r="D6764" s="0" t="n">
        <v>8</v>
      </c>
      <c r="E6764" s="38" t="n">
        <v>4969.85</v>
      </c>
    </row>
    <row r="6765" customFormat="false" ht="15" hidden="false" customHeight="false" outlineLevel="0" collapsed="false">
      <c r="A6765" s="0" t="n">
        <v>98</v>
      </c>
      <c r="B6765" s="0" t="s">
        <v>62</v>
      </c>
      <c r="C6765" s="0" t="n">
        <v>2011</v>
      </c>
      <c r="D6765" s="0" t="n">
        <v>9</v>
      </c>
      <c r="E6765" s="38" t="n">
        <v>11790.92</v>
      </c>
    </row>
    <row r="6766" customFormat="false" ht="15" hidden="false" customHeight="false" outlineLevel="0" collapsed="false">
      <c r="A6766" s="0" t="n">
        <v>98</v>
      </c>
      <c r="B6766" s="0" t="s">
        <v>62</v>
      </c>
      <c r="C6766" s="0" t="n">
        <v>2011</v>
      </c>
      <c r="D6766" s="0" t="n">
        <v>10</v>
      </c>
      <c r="E6766" s="38" t="n">
        <v>15034.56</v>
      </c>
    </row>
    <row r="6767" customFormat="false" ht="15" hidden="false" customHeight="false" outlineLevel="0" collapsed="false">
      <c r="A6767" s="0" t="n">
        <v>98</v>
      </c>
      <c r="B6767" s="0" t="s">
        <v>62</v>
      </c>
      <c r="C6767" s="0" t="n">
        <v>2011</v>
      </c>
      <c r="D6767" s="0" t="n">
        <v>11</v>
      </c>
      <c r="E6767" s="38" t="n">
        <v>16443.11</v>
      </c>
    </row>
    <row r="6768" customFormat="false" ht="15" hidden="false" customHeight="false" outlineLevel="0" collapsed="false">
      <c r="A6768" s="0" t="n">
        <v>98</v>
      </c>
      <c r="B6768" s="0" t="s">
        <v>62</v>
      </c>
      <c r="C6768" s="0" t="n">
        <v>2011</v>
      </c>
      <c r="D6768" s="0" t="n">
        <v>12</v>
      </c>
      <c r="E6768" s="38" t="n">
        <v>5201.44</v>
      </c>
    </row>
    <row r="6769" customFormat="false" ht="15" hidden="false" customHeight="false" outlineLevel="0" collapsed="false">
      <c r="A6769" s="0" t="n">
        <v>98</v>
      </c>
      <c r="B6769" s="0" t="s">
        <v>62</v>
      </c>
      <c r="C6769" s="0" t="n">
        <v>2012</v>
      </c>
      <c r="D6769" s="0" t="n">
        <v>1</v>
      </c>
      <c r="E6769" s="38" t="n">
        <v>8050.86</v>
      </c>
    </row>
    <row r="6770" customFormat="false" ht="15" hidden="false" customHeight="false" outlineLevel="0" collapsed="false">
      <c r="A6770" s="0" t="n">
        <v>98</v>
      </c>
      <c r="B6770" s="0" t="s">
        <v>62</v>
      </c>
      <c r="C6770" s="0" t="n">
        <v>2012</v>
      </c>
      <c r="D6770" s="0" t="n">
        <v>2</v>
      </c>
      <c r="E6770" s="38" t="n">
        <v>11855.4</v>
      </c>
    </row>
    <row r="6771" customFormat="false" ht="15" hidden="false" customHeight="false" outlineLevel="0" collapsed="false">
      <c r="A6771" s="0" t="n">
        <v>98</v>
      </c>
      <c r="B6771" s="0" t="s">
        <v>62</v>
      </c>
      <c r="C6771" s="0" t="n">
        <v>2012</v>
      </c>
      <c r="D6771" s="0" t="n">
        <v>3</v>
      </c>
      <c r="E6771" s="38" t="n">
        <v>13399.34</v>
      </c>
    </row>
    <row r="6772" customFormat="false" ht="15" hidden="false" customHeight="false" outlineLevel="0" collapsed="false">
      <c r="A6772" s="0" t="n">
        <v>98</v>
      </c>
      <c r="B6772" s="0" t="s">
        <v>62</v>
      </c>
      <c r="C6772" s="0" t="n">
        <v>2012</v>
      </c>
      <c r="D6772" s="0" t="n">
        <v>4</v>
      </c>
      <c r="E6772" s="38" t="n">
        <v>15601.3</v>
      </c>
    </row>
    <row r="6773" customFormat="false" ht="15" hidden="false" customHeight="false" outlineLevel="0" collapsed="false">
      <c r="A6773" s="0" t="n">
        <v>98</v>
      </c>
      <c r="B6773" s="0" t="s">
        <v>62</v>
      </c>
      <c r="C6773" s="0" t="n">
        <v>2012</v>
      </c>
      <c r="D6773" s="0" t="n">
        <v>5</v>
      </c>
      <c r="E6773" s="38" t="n">
        <v>18594.48</v>
      </c>
    </row>
    <row r="6774" customFormat="false" ht="15" hidden="false" customHeight="false" outlineLevel="0" collapsed="false">
      <c r="A6774" s="0" t="n">
        <v>98</v>
      </c>
      <c r="B6774" s="0" t="s">
        <v>62</v>
      </c>
      <c r="C6774" s="0" t="n">
        <v>2012</v>
      </c>
      <c r="D6774" s="0" t="n">
        <v>6</v>
      </c>
      <c r="E6774" s="38" t="n">
        <v>14035.97</v>
      </c>
    </row>
    <row r="6775" customFormat="false" ht="15" hidden="false" customHeight="false" outlineLevel="0" collapsed="false">
      <c r="A6775" s="0" t="n">
        <v>98</v>
      </c>
      <c r="B6775" s="0" t="s">
        <v>62</v>
      </c>
      <c r="C6775" s="0" t="n">
        <v>2012</v>
      </c>
      <c r="D6775" s="0" t="n">
        <v>7</v>
      </c>
      <c r="E6775" s="38" t="n">
        <v>11674.94</v>
      </c>
    </row>
    <row r="6776" customFormat="false" ht="15" hidden="false" customHeight="false" outlineLevel="0" collapsed="false">
      <c r="A6776" s="0" t="n">
        <v>98</v>
      </c>
      <c r="B6776" s="0" t="s">
        <v>62</v>
      </c>
      <c r="C6776" s="0" t="n">
        <v>2012</v>
      </c>
      <c r="D6776" s="0" t="n">
        <v>8</v>
      </c>
      <c r="E6776" s="38" t="n">
        <v>13727.01</v>
      </c>
    </row>
    <row r="6777" customFormat="false" ht="15" hidden="false" customHeight="false" outlineLevel="0" collapsed="false">
      <c r="A6777" s="0" t="n">
        <v>98</v>
      </c>
      <c r="B6777" s="0" t="s">
        <v>62</v>
      </c>
      <c r="C6777" s="0" t="n">
        <v>2012</v>
      </c>
      <c r="D6777" s="0" t="n">
        <v>9</v>
      </c>
      <c r="E6777" s="38" t="n">
        <v>30413.08</v>
      </c>
    </row>
    <row r="6778" customFormat="false" ht="15" hidden="false" customHeight="false" outlineLevel="0" collapsed="false">
      <c r="A6778" s="0" t="n">
        <v>98</v>
      </c>
      <c r="B6778" s="0" t="s">
        <v>62</v>
      </c>
      <c r="C6778" s="0" t="n">
        <v>2012</v>
      </c>
      <c r="D6778" s="0" t="n">
        <v>10</v>
      </c>
      <c r="E6778" s="38" t="n">
        <v>34945.62</v>
      </c>
    </row>
    <row r="6779" customFormat="false" ht="15" hidden="false" customHeight="false" outlineLevel="0" collapsed="false">
      <c r="A6779" s="0" t="n">
        <v>98</v>
      </c>
      <c r="B6779" s="0" t="s">
        <v>62</v>
      </c>
      <c r="C6779" s="0" t="n">
        <v>2012</v>
      </c>
      <c r="D6779" s="0" t="n">
        <v>11</v>
      </c>
      <c r="E6779" s="38" t="n">
        <v>37821.24</v>
      </c>
    </row>
    <row r="6780" customFormat="false" ht="15" hidden="false" customHeight="false" outlineLevel="0" collapsed="false">
      <c r="A6780" s="0" t="n">
        <v>98</v>
      </c>
      <c r="B6780" s="0" t="s">
        <v>62</v>
      </c>
      <c r="C6780" s="0" t="n">
        <v>2012</v>
      </c>
      <c r="D6780" s="0" t="n">
        <v>12</v>
      </c>
      <c r="E6780" s="38" t="n">
        <v>24729.31</v>
      </c>
    </row>
    <row r="6781" customFormat="false" ht="15" hidden="false" customHeight="false" outlineLevel="0" collapsed="false">
      <c r="A6781" s="0" t="n">
        <v>98</v>
      </c>
      <c r="B6781" s="0" t="s">
        <v>62</v>
      </c>
      <c r="C6781" s="0" t="n">
        <v>2013</v>
      </c>
      <c r="D6781" s="0" t="n">
        <v>1</v>
      </c>
      <c r="E6781" s="38" t="n">
        <v>28138.09</v>
      </c>
    </row>
    <row r="6782" customFormat="false" ht="15" hidden="false" customHeight="false" outlineLevel="0" collapsed="false">
      <c r="A6782" s="0" t="n">
        <v>98</v>
      </c>
      <c r="B6782" s="0" t="s">
        <v>62</v>
      </c>
      <c r="C6782" s="0" t="n">
        <v>2013</v>
      </c>
      <c r="D6782" s="0" t="n">
        <v>2</v>
      </c>
      <c r="E6782" s="38" t="n">
        <v>29946.42</v>
      </c>
    </row>
    <row r="6783" customFormat="false" ht="15" hidden="false" customHeight="false" outlineLevel="0" collapsed="false">
      <c r="A6783" s="0" t="n">
        <v>98</v>
      </c>
      <c r="B6783" s="0" t="s">
        <v>62</v>
      </c>
      <c r="C6783" s="0" t="n">
        <v>2013</v>
      </c>
      <c r="D6783" s="0" t="n">
        <v>3</v>
      </c>
      <c r="E6783" s="38" t="n">
        <v>25873.38</v>
      </c>
    </row>
    <row r="6784" customFormat="false" ht="15" hidden="false" customHeight="false" outlineLevel="0" collapsed="false">
      <c r="A6784" s="0" t="n">
        <v>98</v>
      </c>
      <c r="B6784" s="0" t="s">
        <v>62</v>
      </c>
      <c r="C6784" s="0" t="n">
        <v>2013</v>
      </c>
      <c r="D6784" s="0" t="n">
        <v>4</v>
      </c>
      <c r="E6784" s="38" t="n">
        <v>28447.78</v>
      </c>
    </row>
    <row r="6785" customFormat="false" ht="15" hidden="false" customHeight="false" outlineLevel="0" collapsed="false">
      <c r="A6785" s="0" t="n">
        <v>98</v>
      </c>
      <c r="B6785" s="0" t="s">
        <v>62</v>
      </c>
      <c r="C6785" s="0" t="n">
        <v>2013</v>
      </c>
      <c r="D6785" s="0" t="n">
        <v>5</v>
      </c>
      <c r="E6785" s="38" t="n">
        <v>26408.2</v>
      </c>
    </row>
    <row r="6786" customFormat="false" ht="15" hidden="false" customHeight="false" outlineLevel="0" collapsed="false">
      <c r="A6786" s="0" t="n">
        <v>98</v>
      </c>
      <c r="B6786" s="0" t="s">
        <v>62</v>
      </c>
      <c r="C6786" s="0" t="n">
        <v>2013</v>
      </c>
      <c r="D6786" s="0" t="n">
        <v>6</v>
      </c>
      <c r="E6786" s="38" t="n">
        <v>28063.49</v>
      </c>
    </row>
    <row r="6787" customFormat="false" ht="15" hidden="false" customHeight="false" outlineLevel="0" collapsed="false">
      <c r="A6787" s="0" t="n">
        <v>98</v>
      </c>
      <c r="B6787" s="0" t="s">
        <v>62</v>
      </c>
      <c r="C6787" s="0" t="n">
        <v>2013</v>
      </c>
      <c r="D6787" s="0" t="n">
        <v>7</v>
      </c>
      <c r="E6787" s="38" t="n">
        <v>25269.01</v>
      </c>
    </row>
    <row r="6788" customFormat="false" ht="15" hidden="false" customHeight="false" outlineLevel="0" collapsed="false">
      <c r="A6788" s="0" t="n">
        <v>98</v>
      </c>
      <c r="B6788" s="0" t="s">
        <v>62</v>
      </c>
      <c r="C6788" s="0" t="n">
        <v>2013</v>
      </c>
      <c r="D6788" s="0" t="n">
        <v>8</v>
      </c>
      <c r="E6788" s="38" t="n">
        <v>24664.89</v>
      </c>
    </row>
    <row r="6789" customFormat="false" ht="15" hidden="false" customHeight="false" outlineLevel="0" collapsed="false">
      <c r="A6789" s="0" t="n">
        <v>98</v>
      </c>
      <c r="B6789" s="0" t="s">
        <v>64</v>
      </c>
      <c r="C6789" s="0" t="n">
        <v>2011</v>
      </c>
      <c r="D6789" s="0" t="n">
        <v>1</v>
      </c>
      <c r="E6789" s="38" t="n">
        <v>145501.37</v>
      </c>
    </row>
    <row r="6790" customFormat="false" ht="15" hidden="false" customHeight="false" outlineLevel="0" collapsed="false">
      <c r="A6790" s="0" t="n">
        <v>98</v>
      </c>
      <c r="B6790" s="0" t="s">
        <v>64</v>
      </c>
      <c r="C6790" s="0" t="n">
        <v>2011</v>
      </c>
      <c r="D6790" s="0" t="n">
        <v>2</v>
      </c>
      <c r="E6790" s="38" t="n">
        <v>149109.61</v>
      </c>
    </row>
    <row r="6791" customFormat="false" ht="15" hidden="false" customHeight="false" outlineLevel="0" collapsed="false">
      <c r="A6791" s="0" t="n">
        <v>98</v>
      </c>
      <c r="B6791" s="0" t="s">
        <v>64</v>
      </c>
      <c r="C6791" s="0" t="n">
        <v>2011</v>
      </c>
      <c r="D6791" s="0" t="n">
        <v>3</v>
      </c>
      <c r="E6791" s="38" t="n">
        <v>141820.62</v>
      </c>
    </row>
    <row r="6792" customFormat="false" ht="15" hidden="false" customHeight="false" outlineLevel="0" collapsed="false">
      <c r="A6792" s="0" t="n">
        <v>98</v>
      </c>
      <c r="B6792" s="0" t="s">
        <v>64</v>
      </c>
      <c r="C6792" s="0" t="n">
        <v>2011</v>
      </c>
      <c r="D6792" s="0" t="n">
        <v>4</v>
      </c>
      <c r="E6792" s="38" t="n">
        <v>147018.86</v>
      </c>
    </row>
    <row r="6793" customFormat="false" ht="15" hidden="false" customHeight="false" outlineLevel="0" collapsed="false">
      <c r="A6793" s="0" t="n">
        <v>98</v>
      </c>
      <c r="B6793" s="0" t="s">
        <v>64</v>
      </c>
      <c r="C6793" s="0" t="n">
        <v>2011</v>
      </c>
      <c r="D6793" s="0" t="n">
        <v>5</v>
      </c>
      <c r="E6793" s="38" t="n">
        <v>135480.69</v>
      </c>
    </row>
    <row r="6794" customFormat="false" ht="15" hidden="false" customHeight="false" outlineLevel="0" collapsed="false">
      <c r="A6794" s="0" t="n">
        <v>98</v>
      </c>
      <c r="B6794" s="0" t="s">
        <v>64</v>
      </c>
      <c r="C6794" s="0" t="n">
        <v>2011</v>
      </c>
      <c r="D6794" s="0" t="n">
        <v>6</v>
      </c>
      <c r="E6794" s="38" t="n">
        <v>138412.97</v>
      </c>
    </row>
    <row r="6795" customFormat="false" ht="15" hidden="false" customHeight="false" outlineLevel="0" collapsed="false">
      <c r="A6795" s="0" t="n">
        <v>98</v>
      </c>
      <c r="B6795" s="0" t="s">
        <v>64</v>
      </c>
      <c r="C6795" s="0" t="n">
        <v>2011</v>
      </c>
      <c r="D6795" s="0" t="n">
        <v>7</v>
      </c>
      <c r="E6795" s="38" t="n">
        <v>133582.19</v>
      </c>
    </row>
    <row r="6796" customFormat="false" ht="15" hidden="false" customHeight="false" outlineLevel="0" collapsed="false">
      <c r="A6796" s="0" t="n">
        <v>98</v>
      </c>
      <c r="B6796" s="0" t="s">
        <v>64</v>
      </c>
      <c r="C6796" s="0" t="n">
        <v>2011</v>
      </c>
      <c r="D6796" s="0" t="n">
        <v>8</v>
      </c>
      <c r="E6796" s="38" t="n">
        <v>135391.12</v>
      </c>
    </row>
    <row r="6797" customFormat="false" ht="15" hidden="false" customHeight="false" outlineLevel="0" collapsed="false">
      <c r="A6797" s="0" t="n">
        <v>98</v>
      </c>
      <c r="B6797" s="0" t="s">
        <v>64</v>
      </c>
      <c r="C6797" s="0" t="n">
        <v>2011</v>
      </c>
      <c r="D6797" s="0" t="n">
        <v>9</v>
      </c>
      <c r="E6797" s="38" t="n">
        <v>151852.23</v>
      </c>
    </row>
    <row r="6798" customFormat="false" ht="15" hidden="false" customHeight="false" outlineLevel="0" collapsed="false">
      <c r="A6798" s="0" t="n">
        <v>98</v>
      </c>
      <c r="B6798" s="0" t="s">
        <v>64</v>
      </c>
      <c r="C6798" s="0" t="n">
        <v>2011</v>
      </c>
      <c r="D6798" s="0" t="n">
        <v>10</v>
      </c>
      <c r="E6798" s="38" t="n">
        <v>179142.61</v>
      </c>
    </row>
    <row r="6799" customFormat="false" ht="15" hidden="false" customHeight="false" outlineLevel="0" collapsed="false">
      <c r="A6799" s="0" t="n">
        <v>98</v>
      </c>
      <c r="B6799" s="0" t="s">
        <v>64</v>
      </c>
      <c r="C6799" s="0" t="n">
        <v>2011</v>
      </c>
      <c r="D6799" s="0" t="n">
        <v>11</v>
      </c>
      <c r="E6799" s="38" t="n">
        <v>172500.54</v>
      </c>
    </row>
    <row r="6800" customFormat="false" ht="15" hidden="false" customHeight="false" outlineLevel="0" collapsed="false">
      <c r="A6800" s="0" t="n">
        <v>98</v>
      </c>
      <c r="B6800" s="0" t="s">
        <v>64</v>
      </c>
      <c r="C6800" s="0" t="n">
        <v>2011</v>
      </c>
      <c r="D6800" s="0" t="n">
        <v>12</v>
      </c>
      <c r="E6800" s="38" t="n">
        <v>138562.14</v>
      </c>
    </row>
    <row r="6801" customFormat="false" ht="15" hidden="false" customHeight="false" outlineLevel="0" collapsed="false">
      <c r="A6801" s="0" t="n">
        <v>98</v>
      </c>
      <c r="B6801" s="0" t="s">
        <v>64</v>
      </c>
      <c r="C6801" s="0" t="n">
        <v>2012</v>
      </c>
      <c r="D6801" s="0" t="n">
        <v>1</v>
      </c>
      <c r="E6801" s="38" t="n">
        <v>147994.07</v>
      </c>
    </row>
    <row r="6802" customFormat="false" ht="15" hidden="false" customHeight="false" outlineLevel="0" collapsed="false">
      <c r="A6802" s="0" t="n">
        <v>98</v>
      </c>
      <c r="B6802" s="0" t="s">
        <v>64</v>
      </c>
      <c r="C6802" s="0" t="n">
        <v>2012</v>
      </c>
      <c r="D6802" s="0" t="n">
        <v>2</v>
      </c>
      <c r="E6802" s="38" t="n">
        <v>140326.65</v>
      </c>
    </row>
    <row r="6803" customFormat="false" ht="15" hidden="false" customHeight="false" outlineLevel="0" collapsed="false">
      <c r="A6803" s="0" t="n">
        <v>98</v>
      </c>
      <c r="B6803" s="0" t="s">
        <v>64</v>
      </c>
      <c r="C6803" s="0" t="n">
        <v>2012</v>
      </c>
      <c r="D6803" s="0" t="n">
        <v>3</v>
      </c>
      <c r="E6803" s="38" t="n">
        <v>144537.52</v>
      </c>
    </row>
    <row r="6804" customFormat="false" ht="15" hidden="false" customHeight="false" outlineLevel="0" collapsed="false">
      <c r="A6804" s="0" t="n">
        <v>98</v>
      </c>
      <c r="B6804" s="0" t="s">
        <v>64</v>
      </c>
      <c r="C6804" s="0" t="n">
        <v>2012</v>
      </c>
      <c r="D6804" s="0" t="n">
        <v>4</v>
      </c>
      <c r="E6804" s="38" t="n">
        <v>139201.93</v>
      </c>
    </row>
    <row r="6805" customFormat="false" ht="15" hidden="false" customHeight="false" outlineLevel="0" collapsed="false">
      <c r="A6805" s="0" t="n">
        <v>98</v>
      </c>
      <c r="B6805" s="0" t="s">
        <v>64</v>
      </c>
      <c r="C6805" s="0" t="n">
        <v>2012</v>
      </c>
      <c r="D6805" s="0" t="n">
        <v>5</v>
      </c>
      <c r="E6805" s="38" t="n">
        <v>126645.57</v>
      </c>
    </row>
    <row r="6806" customFormat="false" ht="15" hidden="false" customHeight="false" outlineLevel="0" collapsed="false">
      <c r="A6806" s="0" t="n">
        <v>98</v>
      </c>
      <c r="B6806" s="0" t="s">
        <v>64</v>
      </c>
      <c r="C6806" s="0" t="n">
        <v>2012</v>
      </c>
      <c r="D6806" s="0" t="n">
        <v>6</v>
      </c>
      <c r="E6806" s="38" t="n">
        <v>125333.33</v>
      </c>
    </row>
    <row r="6807" customFormat="false" ht="15" hidden="false" customHeight="false" outlineLevel="0" collapsed="false">
      <c r="A6807" s="0" t="n">
        <v>98</v>
      </c>
      <c r="B6807" s="0" t="s">
        <v>64</v>
      </c>
      <c r="C6807" s="0" t="n">
        <v>2012</v>
      </c>
      <c r="D6807" s="0" t="n">
        <v>7</v>
      </c>
      <c r="E6807" s="38" t="n">
        <v>120212.02</v>
      </c>
    </row>
    <row r="6808" customFormat="false" ht="15" hidden="false" customHeight="false" outlineLevel="0" collapsed="false">
      <c r="A6808" s="0" t="n">
        <v>98</v>
      </c>
      <c r="B6808" s="0" t="s">
        <v>64</v>
      </c>
      <c r="C6808" s="0" t="n">
        <v>2012</v>
      </c>
      <c r="D6808" s="0" t="n">
        <v>8</v>
      </c>
      <c r="E6808" s="38" t="n">
        <v>126656.48</v>
      </c>
    </row>
    <row r="6809" customFormat="false" ht="15" hidden="false" customHeight="false" outlineLevel="0" collapsed="false">
      <c r="A6809" s="0" t="n">
        <v>98</v>
      </c>
      <c r="B6809" s="0" t="s">
        <v>64</v>
      </c>
      <c r="C6809" s="0" t="n">
        <v>2012</v>
      </c>
      <c r="D6809" s="0" t="n">
        <v>9</v>
      </c>
      <c r="E6809" s="38" t="n">
        <v>150362.37</v>
      </c>
    </row>
    <row r="6810" customFormat="false" ht="15" hidden="false" customHeight="false" outlineLevel="0" collapsed="false">
      <c r="A6810" s="0" t="n">
        <v>98</v>
      </c>
      <c r="B6810" s="0" t="s">
        <v>64</v>
      </c>
      <c r="C6810" s="0" t="n">
        <v>2012</v>
      </c>
      <c r="D6810" s="0" t="n">
        <v>10</v>
      </c>
      <c r="E6810" s="38" t="n">
        <v>167089.8</v>
      </c>
    </row>
    <row r="6811" customFormat="false" ht="15" hidden="false" customHeight="false" outlineLevel="0" collapsed="false">
      <c r="A6811" s="0" t="n">
        <v>98</v>
      </c>
      <c r="B6811" s="0" t="s">
        <v>64</v>
      </c>
      <c r="C6811" s="0" t="n">
        <v>2012</v>
      </c>
      <c r="D6811" s="0" t="n">
        <v>11</v>
      </c>
      <c r="E6811" s="38" t="n">
        <v>181990.25</v>
      </c>
    </row>
    <row r="6812" customFormat="false" ht="15" hidden="false" customHeight="false" outlineLevel="0" collapsed="false">
      <c r="A6812" s="0" t="n">
        <v>98</v>
      </c>
      <c r="B6812" s="0" t="s">
        <v>64</v>
      </c>
      <c r="C6812" s="0" t="n">
        <v>2012</v>
      </c>
      <c r="D6812" s="0" t="n">
        <v>12</v>
      </c>
      <c r="E6812" s="38" t="n">
        <v>141340.92</v>
      </c>
    </row>
    <row r="6813" customFormat="false" ht="15" hidden="false" customHeight="false" outlineLevel="0" collapsed="false">
      <c r="A6813" s="0" t="n">
        <v>98</v>
      </c>
      <c r="B6813" s="0" t="s">
        <v>64</v>
      </c>
      <c r="C6813" s="0" t="n">
        <v>2013</v>
      </c>
      <c r="D6813" s="0" t="n">
        <v>1</v>
      </c>
      <c r="E6813" s="38" t="n">
        <v>152627.12</v>
      </c>
    </row>
    <row r="6814" customFormat="false" ht="15" hidden="false" customHeight="false" outlineLevel="0" collapsed="false">
      <c r="A6814" s="0" t="n">
        <v>98</v>
      </c>
      <c r="B6814" s="0" t="s">
        <v>64</v>
      </c>
      <c r="C6814" s="0" t="n">
        <v>2013</v>
      </c>
      <c r="D6814" s="0" t="n">
        <v>2</v>
      </c>
      <c r="E6814" s="38" t="n">
        <v>139708.92</v>
      </c>
    </row>
    <row r="6815" customFormat="false" ht="15" hidden="false" customHeight="false" outlineLevel="0" collapsed="false">
      <c r="A6815" s="0" t="n">
        <v>98</v>
      </c>
      <c r="B6815" s="0" t="s">
        <v>64</v>
      </c>
      <c r="C6815" s="0" t="n">
        <v>2013</v>
      </c>
      <c r="D6815" s="0" t="n">
        <v>3</v>
      </c>
      <c r="E6815" s="38" t="n">
        <v>136626.08</v>
      </c>
    </row>
    <row r="6816" customFormat="false" ht="15" hidden="false" customHeight="false" outlineLevel="0" collapsed="false">
      <c r="A6816" s="0" t="n">
        <v>98</v>
      </c>
      <c r="B6816" s="0" t="s">
        <v>64</v>
      </c>
      <c r="C6816" s="0" t="n">
        <v>2013</v>
      </c>
      <c r="D6816" s="0" t="n">
        <v>4</v>
      </c>
      <c r="E6816" s="38" t="n">
        <v>144449.44</v>
      </c>
    </row>
    <row r="6817" customFormat="false" ht="15" hidden="false" customHeight="false" outlineLevel="0" collapsed="false">
      <c r="A6817" s="0" t="n">
        <v>98</v>
      </c>
      <c r="B6817" s="0" t="s">
        <v>64</v>
      </c>
      <c r="C6817" s="0" t="n">
        <v>2013</v>
      </c>
      <c r="D6817" s="0" t="n">
        <v>5</v>
      </c>
      <c r="E6817" s="38" t="n">
        <v>124338.67</v>
      </c>
    </row>
    <row r="6818" customFormat="false" ht="15" hidden="false" customHeight="false" outlineLevel="0" collapsed="false">
      <c r="A6818" s="0" t="n">
        <v>98</v>
      </c>
      <c r="B6818" s="0" t="s">
        <v>64</v>
      </c>
      <c r="C6818" s="0" t="n">
        <v>2013</v>
      </c>
      <c r="D6818" s="0" t="n">
        <v>6</v>
      </c>
      <c r="E6818" s="38" t="n">
        <v>126785.35</v>
      </c>
    </row>
    <row r="6819" customFormat="false" ht="15" hidden="false" customHeight="false" outlineLevel="0" collapsed="false">
      <c r="A6819" s="0" t="n">
        <v>98</v>
      </c>
      <c r="B6819" s="0" t="s">
        <v>64</v>
      </c>
      <c r="C6819" s="0" t="n">
        <v>2013</v>
      </c>
      <c r="D6819" s="0" t="n">
        <v>7</v>
      </c>
      <c r="E6819" s="38" t="n">
        <v>126196.76</v>
      </c>
    </row>
    <row r="6820" customFormat="false" ht="15" hidden="false" customHeight="false" outlineLevel="0" collapsed="false">
      <c r="A6820" s="0" t="n">
        <v>98</v>
      </c>
      <c r="B6820" s="0" t="s">
        <v>64</v>
      </c>
      <c r="C6820" s="0" t="n">
        <v>2013</v>
      </c>
      <c r="D6820" s="0" t="n">
        <v>8</v>
      </c>
      <c r="E6820" s="38" t="n">
        <v>132867.23</v>
      </c>
    </row>
    <row r="6821" customFormat="false" ht="15" hidden="false" customHeight="false" outlineLevel="0" collapsed="false">
      <c r="A6821" s="0" t="n">
        <v>99</v>
      </c>
      <c r="B6821" s="0" t="s">
        <v>60</v>
      </c>
      <c r="C6821" s="0" t="n">
        <v>2011</v>
      </c>
      <c r="D6821" s="0" t="n">
        <v>1</v>
      </c>
      <c r="E6821" s="38" t="n">
        <v>9.01</v>
      </c>
    </row>
    <row r="6822" customFormat="false" ht="15" hidden="false" customHeight="false" outlineLevel="0" collapsed="false">
      <c r="A6822" s="0" t="n">
        <v>99</v>
      </c>
      <c r="B6822" s="0" t="s">
        <v>60</v>
      </c>
      <c r="C6822" s="0" t="n">
        <v>2011</v>
      </c>
      <c r="D6822" s="0" t="n">
        <v>2</v>
      </c>
      <c r="E6822" s="38" t="n">
        <v>26.32</v>
      </c>
    </row>
    <row r="6823" customFormat="false" ht="15" hidden="false" customHeight="false" outlineLevel="0" collapsed="false">
      <c r="A6823" s="0" t="n">
        <v>99</v>
      </c>
      <c r="B6823" s="0" t="s">
        <v>60</v>
      </c>
      <c r="C6823" s="0" t="n">
        <v>2011</v>
      </c>
      <c r="D6823" s="0" t="n">
        <v>3</v>
      </c>
      <c r="E6823" s="38" t="n">
        <v>14.7</v>
      </c>
    </row>
    <row r="6824" customFormat="false" ht="15" hidden="false" customHeight="false" outlineLevel="0" collapsed="false">
      <c r="A6824" s="0" t="n">
        <v>99</v>
      </c>
      <c r="B6824" s="0" t="s">
        <v>60</v>
      </c>
      <c r="C6824" s="0" t="n">
        <v>2011</v>
      </c>
      <c r="D6824" s="0" t="n">
        <v>5</v>
      </c>
      <c r="E6824" s="38" t="n">
        <v>22.68</v>
      </c>
    </row>
    <row r="6825" customFormat="false" ht="15" hidden="false" customHeight="false" outlineLevel="0" collapsed="false">
      <c r="A6825" s="0" t="n">
        <v>99</v>
      </c>
      <c r="B6825" s="0" t="s">
        <v>60</v>
      </c>
      <c r="C6825" s="0" t="n">
        <v>2011</v>
      </c>
      <c r="D6825" s="0" t="n">
        <v>6</v>
      </c>
      <c r="E6825" s="38" t="n">
        <v>12.16</v>
      </c>
    </row>
    <row r="6826" customFormat="false" ht="15" hidden="false" customHeight="false" outlineLevel="0" collapsed="false">
      <c r="A6826" s="0" t="n">
        <v>99</v>
      </c>
      <c r="B6826" s="0" t="s">
        <v>60</v>
      </c>
      <c r="C6826" s="0" t="n">
        <v>2011</v>
      </c>
      <c r="D6826" s="0" t="n">
        <v>8</v>
      </c>
      <c r="E6826" s="38" t="n">
        <v>159.29</v>
      </c>
    </row>
    <row r="6827" customFormat="false" ht="15" hidden="false" customHeight="false" outlineLevel="0" collapsed="false">
      <c r="A6827" s="0" t="n">
        <v>99</v>
      </c>
      <c r="B6827" s="0" t="s">
        <v>60</v>
      </c>
      <c r="C6827" s="0" t="n">
        <v>2011</v>
      </c>
      <c r="D6827" s="0" t="n">
        <v>9</v>
      </c>
      <c r="E6827" s="38" t="n">
        <v>-1.28</v>
      </c>
    </row>
    <row r="6828" customFormat="false" ht="15" hidden="false" customHeight="false" outlineLevel="0" collapsed="false">
      <c r="A6828" s="0" t="n">
        <v>99</v>
      </c>
      <c r="B6828" s="0" t="s">
        <v>60</v>
      </c>
      <c r="C6828" s="0" t="n">
        <v>2011</v>
      </c>
      <c r="D6828" s="0" t="n">
        <v>11</v>
      </c>
      <c r="E6828" s="38" t="n">
        <v>-145.38</v>
      </c>
    </row>
    <row r="6829" customFormat="false" ht="15" hidden="false" customHeight="false" outlineLevel="0" collapsed="false">
      <c r="A6829" s="0" t="n">
        <v>99</v>
      </c>
      <c r="B6829" s="0" t="s">
        <v>60</v>
      </c>
      <c r="C6829" s="0" t="n">
        <v>2012</v>
      </c>
      <c r="D6829" s="0" t="n">
        <v>1</v>
      </c>
      <c r="E6829" s="38" t="n">
        <v>3578.57</v>
      </c>
    </row>
    <row r="6830" customFormat="false" ht="15" hidden="false" customHeight="false" outlineLevel="0" collapsed="false">
      <c r="A6830" s="0" t="n">
        <v>99</v>
      </c>
      <c r="B6830" s="0" t="s">
        <v>60</v>
      </c>
      <c r="C6830" s="0" t="n">
        <v>2012</v>
      </c>
      <c r="D6830" s="0" t="n">
        <v>2</v>
      </c>
      <c r="E6830" s="38" t="n">
        <v>6708.57</v>
      </c>
    </row>
    <row r="6831" customFormat="false" ht="15" hidden="false" customHeight="false" outlineLevel="0" collapsed="false">
      <c r="A6831" s="0" t="n">
        <v>99</v>
      </c>
      <c r="B6831" s="0" t="s">
        <v>60</v>
      </c>
      <c r="C6831" s="0" t="n">
        <v>2012</v>
      </c>
      <c r="D6831" s="0" t="n">
        <v>3</v>
      </c>
      <c r="E6831" s="38" t="n">
        <v>836</v>
      </c>
    </row>
    <row r="6832" customFormat="false" ht="15" hidden="false" customHeight="false" outlineLevel="0" collapsed="false">
      <c r="A6832" s="0" t="n">
        <v>99</v>
      </c>
      <c r="B6832" s="0" t="s">
        <v>60</v>
      </c>
      <c r="C6832" s="0" t="n">
        <v>2012</v>
      </c>
      <c r="D6832" s="0" t="n">
        <v>4</v>
      </c>
      <c r="E6832" s="38" t="n">
        <v>1957.8</v>
      </c>
    </row>
    <row r="6833" customFormat="false" ht="15" hidden="false" customHeight="false" outlineLevel="0" collapsed="false">
      <c r="A6833" s="0" t="n">
        <v>99</v>
      </c>
      <c r="B6833" s="0" t="s">
        <v>60</v>
      </c>
      <c r="C6833" s="0" t="n">
        <v>2012</v>
      </c>
      <c r="D6833" s="0" t="n">
        <v>5</v>
      </c>
      <c r="E6833" s="38" t="n">
        <v>2493.57</v>
      </c>
    </row>
    <row r="6834" customFormat="false" ht="15" hidden="false" customHeight="false" outlineLevel="0" collapsed="false">
      <c r="A6834" s="0" t="n">
        <v>99</v>
      </c>
      <c r="B6834" s="0" t="s">
        <v>60</v>
      </c>
      <c r="C6834" s="0" t="n">
        <v>2012</v>
      </c>
      <c r="D6834" s="0" t="n">
        <v>6</v>
      </c>
      <c r="E6834" s="38" t="n">
        <v>0.01</v>
      </c>
    </row>
    <row r="6835" customFormat="false" ht="15" hidden="false" customHeight="false" outlineLevel="0" collapsed="false">
      <c r="A6835" s="0" t="n">
        <v>99</v>
      </c>
      <c r="B6835" s="0" t="s">
        <v>60</v>
      </c>
      <c r="C6835" s="0" t="n">
        <v>2012</v>
      </c>
      <c r="D6835" s="0" t="n">
        <v>7</v>
      </c>
      <c r="E6835" s="38" t="n">
        <v>14214.93</v>
      </c>
    </row>
    <row r="6836" customFormat="false" ht="15" hidden="false" customHeight="false" outlineLevel="0" collapsed="false">
      <c r="A6836" s="0" t="n">
        <v>99</v>
      </c>
      <c r="B6836" s="0" t="s">
        <v>60</v>
      </c>
      <c r="C6836" s="0" t="n">
        <v>2012</v>
      </c>
      <c r="D6836" s="0" t="n">
        <v>8</v>
      </c>
      <c r="E6836" s="38" t="n">
        <v>2447.17</v>
      </c>
    </row>
    <row r="6837" customFormat="false" ht="15" hidden="false" customHeight="false" outlineLevel="0" collapsed="false">
      <c r="A6837" s="0" t="n">
        <v>99</v>
      </c>
      <c r="B6837" s="0" t="s">
        <v>60</v>
      </c>
      <c r="C6837" s="0" t="n">
        <v>2012</v>
      </c>
      <c r="D6837" s="0" t="n">
        <v>9</v>
      </c>
      <c r="E6837" s="38" t="n">
        <v>20.06</v>
      </c>
    </row>
    <row r="6838" customFormat="false" ht="15" hidden="false" customHeight="false" outlineLevel="0" collapsed="false">
      <c r="A6838" s="0" t="n">
        <v>99</v>
      </c>
      <c r="B6838" s="0" t="s">
        <v>60</v>
      </c>
      <c r="C6838" s="0" t="n">
        <v>2012</v>
      </c>
      <c r="D6838" s="0" t="n">
        <v>10</v>
      </c>
      <c r="E6838" s="38" t="n">
        <v>78240.25</v>
      </c>
    </row>
    <row r="6839" customFormat="false" ht="15" hidden="false" customHeight="false" outlineLevel="0" collapsed="false">
      <c r="A6839" s="0" t="n">
        <v>99</v>
      </c>
      <c r="B6839" s="0" t="s">
        <v>60</v>
      </c>
      <c r="C6839" s="0" t="n">
        <v>2012</v>
      </c>
      <c r="D6839" s="0" t="n">
        <v>11</v>
      </c>
      <c r="E6839" s="38" t="n">
        <v>152546.41</v>
      </c>
    </row>
    <row r="6840" customFormat="false" ht="15" hidden="false" customHeight="false" outlineLevel="0" collapsed="false">
      <c r="A6840" s="0" t="n">
        <v>99</v>
      </c>
      <c r="B6840" s="0" t="s">
        <v>60</v>
      </c>
      <c r="C6840" s="0" t="n">
        <v>2012</v>
      </c>
      <c r="D6840" s="0" t="n">
        <v>12</v>
      </c>
      <c r="E6840" s="38" t="n">
        <v>3488.03</v>
      </c>
    </row>
    <row r="6841" customFormat="false" ht="15" hidden="false" customHeight="false" outlineLevel="0" collapsed="false">
      <c r="A6841" s="0" t="n">
        <v>99</v>
      </c>
      <c r="B6841" s="0" t="s">
        <v>60</v>
      </c>
      <c r="C6841" s="0" t="n">
        <v>2013</v>
      </c>
      <c r="D6841" s="0" t="n">
        <v>1</v>
      </c>
      <c r="E6841" s="38" t="n">
        <v>51909.3</v>
      </c>
    </row>
    <row r="6842" customFormat="false" ht="15" hidden="false" customHeight="false" outlineLevel="0" collapsed="false">
      <c r="A6842" s="0" t="n">
        <v>99</v>
      </c>
      <c r="B6842" s="0" t="s">
        <v>60</v>
      </c>
      <c r="C6842" s="0" t="n">
        <v>2013</v>
      </c>
      <c r="D6842" s="0" t="n">
        <v>2</v>
      </c>
      <c r="E6842" s="38" t="n">
        <v>768.61</v>
      </c>
    </row>
    <row r="6843" customFormat="false" ht="15" hidden="false" customHeight="false" outlineLevel="0" collapsed="false">
      <c r="A6843" s="0" t="n">
        <v>99</v>
      </c>
      <c r="B6843" s="0" t="s">
        <v>60</v>
      </c>
      <c r="C6843" s="0" t="n">
        <v>2013</v>
      </c>
      <c r="D6843" s="0" t="n">
        <v>3</v>
      </c>
      <c r="E6843" s="38" t="n">
        <v>4890.7</v>
      </c>
    </row>
    <row r="6844" customFormat="false" ht="15" hidden="false" customHeight="false" outlineLevel="0" collapsed="false">
      <c r="A6844" s="0" t="n">
        <v>99</v>
      </c>
      <c r="B6844" s="0" t="s">
        <v>60</v>
      </c>
      <c r="C6844" s="0" t="n">
        <v>2013</v>
      </c>
      <c r="D6844" s="0" t="n">
        <v>4</v>
      </c>
      <c r="E6844" s="38" t="n">
        <v>5364.66</v>
      </c>
    </row>
    <row r="6845" customFormat="false" ht="15" hidden="false" customHeight="false" outlineLevel="0" collapsed="false">
      <c r="A6845" s="0" t="n">
        <v>99</v>
      </c>
      <c r="B6845" s="0" t="s">
        <v>60</v>
      </c>
      <c r="C6845" s="0" t="n">
        <v>2013</v>
      </c>
      <c r="D6845" s="0" t="n">
        <v>5</v>
      </c>
      <c r="E6845" s="38" t="n">
        <v>7350.3</v>
      </c>
    </row>
    <row r="6846" customFormat="false" ht="15" hidden="false" customHeight="false" outlineLevel="0" collapsed="false">
      <c r="A6846" s="0" t="n">
        <v>99</v>
      </c>
      <c r="B6846" s="0" t="s">
        <v>60</v>
      </c>
      <c r="C6846" s="0" t="n">
        <v>2013</v>
      </c>
      <c r="D6846" s="0" t="n">
        <v>6</v>
      </c>
      <c r="E6846" s="38" t="n">
        <v>1442.57</v>
      </c>
    </row>
    <row r="6847" customFormat="false" ht="15" hidden="false" customHeight="false" outlineLevel="0" collapsed="false">
      <c r="A6847" s="0" t="n">
        <v>99</v>
      </c>
      <c r="B6847" s="0" t="s">
        <v>60</v>
      </c>
      <c r="C6847" s="0" t="n">
        <v>2013</v>
      </c>
      <c r="D6847" s="0" t="n">
        <v>7</v>
      </c>
      <c r="E6847" s="38" t="n">
        <v>5344.3</v>
      </c>
    </row>
    <row r="6848" customFormat="false" ht="15" hidden="false" customHeight="false" outlineLevel="0" collapsed="false">
      <c r="A6848" s="0" t="n">
        <v>99</v>
      </c>
      <c r="B6848" s="0" t="s">
        <v>60</v>
      </c>
      <c r="C6848" s="0" t="n">
        <v>2013</v>
      </c>
      <c r="D6848" s="0" t="n">
        <v>8</v>
      </c>
      <c r="E6848" s="38" t="n">
        <v>3662.25</v>
      </c>
    </row>
    <row r="6849" customFormat="false" ht="15" hidden="false" customHeight="false" outlineLevel="0" collapsed="false">
      <c r="A6849" s="0" t="n">
        <v>99</v>
      </c>
      <c r="B6849" s="0" t="s">
        <v>62</v>
      </c>
      <c r="C6849" s="0" t="n">
        <v>2011</v>
      </c>
      <c r="D6849" s="0" t="n">
        <v>2</v>
      </c>
      <c r="E6849" s="38" t="n">
        <v>15.6</v>
      </c>
    </row>
    <row r="6850" customFormat="false" ht="15" hidden="false" customHeight="false" outlineLevel="0" collapsed="false">
      <c r="A6850" s="0" t="n">
        <v>99</v>
      </c>
      <c r="B6850" s="0" t="s">
        <v>62</v>
      </c>
      <c r="C6850" s="0" t="n">
        <v>2011</v>
      </c>
      <c r="D6850" s="0" t="n">
        <v>7</v>
      </c>
      <c r="E6850" s="38" t="n">
        <v>5.44</v>
      </c>
    </row>
    <row r="6851" customFormat="false" ht="15" hidden="false" customHeight="false" outlineLevel="0" collapsed="false">
      <c r="A6851" s="0" t="n">
        <v>99</v>
      </c>
      <c r="B6851" s="0" t="s">
        <v>62</v>
      </c>
      <c r="C6851" s="0" t="n">
        <v>2011</v>
      </c>
      <c r="D6851" s="0" t="n">
        <v>8</v>
      </c>
      <c r="E6851" s="38" t="n">
        <v>31.23</v>
      </c>
    </row>
    <row r="6852" customFormat="false" ht="15" hidden="false" customHeight="false" outlineLevel="0" collapsed="false">
      <c r="A6852" s="0" t="n">
        <v>99</v>
      </c>
      <c r="B6852" s="0" t="s">
        <v>62</v>
      </c>
      <c r="C6852" s="0" t="n">
        <v>2013</v>
      </c>
      <c r="D6852" s="0" t="n">
        <v>4</v>
      </c>
      <c r="E6852" s="38" t="n">
        <v>15</v>
      </c>
    </row>
    <row r="6853" customFormat="false" ht="15" hidden="false" customHeight="false" outlineLevel="0" collapsed="false">
      <c r="A6853" s="0" t="n">
        <v>99</v>
      </c>
      <c r="B6853" s="0" t="s">
        <v>62</v>
      </c>
      <c r="C6853" s="0" t="n">
        <v>2013</v>
      </c>
      <c r="D6853" s="0" t="n">
        <v>5</v>
      </c>
      <c r="E6853" s="38" t="n">
        <v>8.54</v>
      </c>
    </row>
    <row r="6854" customFormat="false" ht="15" hidden="false" customHeight="false" outlineLevel="0" collapsed="false">
      <c r="A6854" s="0" t="n">
        <v>99</v>
      </c>
      <c r="B6854" s="0" t="s">
        <v>62</v>
      </c>
      <c r="C6854" s="0" t="n">
        <v>2013</v>
      </c>
      <c r="D6854" s="0" t="n">
        <v>6</v>
      </c>
      <c r="E6854" s="38" t="n">
        <v>110.98</v>
      </c>
    </row>
    <row r="6855" customFormat="false" ht="15" hidden="false" customHeight="false" outlineLevel="0" collapsed="false">
      <c r="A6855" s="0" t="n">
        <v>99</v>
      </c>
      <c r="B6855" s="0" t="s">
        <v>62</v>
      </c>
      <c r="C6855" s="0" t="n">
        <v>2013</v>
      </c>
      <c r="D6855" s="0" t="n">
        <v>7</v>
      </c>
      <c r="E6855" s="38" t="n">
        <v>59.76</v>
      </c>
    </row>
    <row r="6856" customFormat="false" ht="15" hidden="false" customHeight="false" outlineLevel="0" collapsed="false">
      <c r="A6856" s="0" t="n">
        <v>99</v>
      </c>
      <c r="B6856" s="0" t="s">
        <v>62</v>
      </c>
      <c r="C6856" s="0" t="n">
        <v>2013</v>
      </c>
      <c r="D6856" s="0" t="n">
        <v>8</v>
      </c>
      <c r="E6856" s="38" t="n">
        <v>30.53</v>
      </c>
    </row>
    <row r="6857" customFormat="false" ht="15" hidden="false" customHeight="false" outlineLevel="0" collapsed="false">
      <c r="A6857" s="0" t="n">
        <v>99</v>
      </c>
      <c r="B6857" s="0" t="s">
        <v>64</v>
      </c>
      <c r="C6857" s="0" t="n">
        <v>2011</v>
      </c>
      <c r="D6857" s="0" t="n">
        <v>1</v>
      </c>
      <c r="E6857" s="38" t="n">
        <v>0.01</v>
      </c>
    </row>
    <row r="6858" customFormat="false" ht="15" hidden="false" customHeight="false" outlineLevel="0" collapsed="false">
      <c r="A6858" s="0" t="n">
        <v>99</v>
      </c>
      <c r="B6858" s="0" t="s">
        <v>64</v>
      </c>
      <c r="C6858" s="0" t="n">
        <v>2011</v>
      </c>
      <c r="D6858" s="0" t="n">
        <v>2</v>
      </c>
      <c r="E6858" s="38" t="n">
        <v>0.01</v>
      </c>
    </row>
    <row r="6859" customFormat="false" ht="15" hidden="false" customHeight="false" outlineLevel="0" collapsed="false">
      <c r="A6859" s="0" t="n">
        <v>99</v>
      </c>
      <c r="B6859" s="0" t="s">
        <v>64</v>
      </c>
      <c r="C6859" s="0" t="n">
        <v>2011</v>
      </c>
      <c r="D6859" s="0" t="n">
        <v>6</v>
      </c>
      <c r="E6859" s="38" t="n">
        <v>7</v>
      </c>
    </row>
    <row r="6860" customFormat="false" ht="15" hidden="false" customHeight="false" outlineLevel="0" collapsed="false">
      <c r="A6860" s="0" t="n">
        <v>99</v>
      </c>
      <c r="B6860" s="0" t="s">
        <v>64</v>
      </c>
      <c r="C6860" s="0" t="n">
        <v>2012</v>
      </c>
      <c r="D6860" s="0" t="n">
        <v>3</v>
      </c>
      <c r="E6860" s="38" t="n">
        <v>3.57</v>
      </c>
    </row>
    <row r="6861" customFormat="false" ht="15" hidden="false" customHeight="false" outlineLevel="0" collapsed="false">
      <c r="A6861" s="0" t="n">
        <v>99</v>
      </c>
      <c r="B6861" s="0" t="s">
        <v>64</v>
      </c>
      <c r="C6861" s="0" t="n">
        <v>2012</v>
      </c>
      <c r="D6861" s="0" t="n">
        <v>4</v>
      </c>
      <c r="E6861" s="38" t="n">
        <v>21.43</v>
      </c>
    </row>
    <row r="6862" customFormat="false" ht="15" hidden="false" customHeight="false" outlineLevel="0" collapsed="false">
      <c r="A6862" s="0" t="n">
        <v>99</v>
      </c>
      <c r="B6862" s="0" t="s">
        <v>64</v>
      </c>
      <c r="C6862" s="0" t="n">
        <v>2012</v>
      </c>
      <c r="D6862" s="0" t="n">
        <v>5</v>
      </c>
      <c r="E6862" s="38" t="n">
        <v>0.01</v>
      </c>
    </row>
    <row r="6863" customFormat="false" ht="15" hidden="false" customHeight="false" outlineLevel="0" collapsed="false">
      <c r="A6863" s="0" t="n">
        <v>99</v>
      </c>
      <c r="B6863" s="0" t="s">
        <v>64</v>
      </c>
      <c r="C6863" s="0" t="n">
        <v>2012</v>
      </c>
      <c r="D6863" s="0" t="n">
        <v>10</v>
      </c>
      <c r="E6863" s="38" t="n">
        <v>49.64</v>
      </c>
    </row>
    <row r="6864" customFormat="false" ht="15" hidden="false" customHeight="false" outlineLevel="0" collapsed="false">
      <c r="A6864" s="0" t="n">
        <v>99</v>
      </c>
      <c r="B6864" s="0" t="s">
        <v>64</v>
      </c>
      <c r="C6864" s="0" t="n">
        <v>2012</v>
      </c>
      <c r="D6864" s="0" t="n">
        <v>11</v>
      </c>
      <c r="E6864" s="38" t="n">
        <v>3.44</v>
      </c>
    </row>
    <row r="6865" customFormat="false" ht="15" hidden="false" customHeight="false" outlineLevel="0" collapsed="false">
      <c r="A6865" s="0" t="n">
        <v>99</v>
      </c>
      <c r="B6865" s="0" t="s">
        <v>64</v>
      </c>
      <c r="C6865" s="0" t="n">
        <v>2012</v>
      </c>
      <c r="D6865" s="0" t="n">
        <v>12</v>
      </c>
      <c r="E6865" s="38" t="n">
        <v>43.29</v>
      </c>
    </row>
    <row r="6866" customFormat="false" ht="15" hidden="false" customHeight="false" outlineLevel="0" collapsed="false">
      <c r="A6866" s="0" t="n">
        <v>99</v>
      </c>
      <c r="B6866" s="0" t="s">
        <v>64</v>
      </c>
      <c r="C6866" s="0" t="n">
        <v>2013</v>
      </c>
      <c r="D6866" s="0" t="n">
        <v>1</v>
      </c>
      <c r="E6866" s="38" t="n">
        <v>21.42</v>
      </c>
    </row>
    <row r="6867" customFormat="false" ht="15" hidden="false" customHeight="false" outlineLevel="0" collapsed="false">
      <c r="A6867" s="0" t="n">
        <v>99</v>
      </c>
      <c r="B6867" s="0" t="s">
        <v>64</v>
      </c>
      <c r="C6867" s="0" t="n">
        <v>2013</v>
      </c>
      <c r="D6867" s="0" t="n">
        <v>5</v>
      </c>
      <c r="E6867" s="38" t="n">
        <v>15</v>
      </c>
    </row>
    <row r="6868" customFormat="false" ht="15" hidden="false" customHeight="false" outlineLevel="0" collapsed="false">
      <c r="A6868" s="0" t="n">
        <v>99</v>
      </c>
      <c r="B6868" s="0" t="s">
        <v>64</v>
      </c>
      <c r="C6868" s="0" t="n">
        <v>2013</v>
      </c>
      <c r="D6868" s="0" t="n">
        <v>6</v>
      </c>
      <c r="E6868" s="38" t="n">
        <v>0.06</v>
      </c>
    </row>
    <row r="6869" customFormat="false" ht="15" hidden="false" customHeight="false" outlineLevel="0" collapsed="false">
      <c r="A6869" s="0" t="n">
        <v>99</v>
      </c>
      <c r="B6869" s="0" t="s">
        <v>64</v>
      </c>
      <c r="C6869" s="0" t="n">
        <v>2013</v>
      </c>
      <c r="D6869" s="0" t="n">
        <v>7</v>
      </c>
      <c r="E6869" s="38" t="n">
        <v>0.04</v>
      </c>
    </row>
    <row r="6870" customFormat="false" ht="15" hidden="false" customHeight="false" outlineLevel="0" collapsed="false">
      <c r="A6870" s="0" t="n">
        <v>99</v>
      </c>
      <c r="B6870" s="0" t="s">
        <v>64</v>
      </c>
      <c r="C6870" s="0" t="n">
        <v>2013</v>
      </c>
      <c r="D6870" s="0" t="n">
        <v>8</v>
      </c>
      <c r="E6870" s="38" t="n">
        <v>2.88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</cols>
  <sheetData>
    <row r="1" customFormat="false" ht="31.5" hidden="false" customHeight="true" outlineLevel="0" collapsed="false">
      <c r="A1" s="11" t="s">
        <v>179</v>
      </c>
      <c r="B1" s="11" t="s">
        <v>172</v>
      </c>
      <c r="C1" s="11" t="s">
        <v>171</v>
      </c>
      <c r="D1" s="11" t="s">
        <v>180</v>
      </c>
      <c r="E1" s="11" t="s">
        <v>181</v>
      </c>
      <c r="F1" s="11" t="s">
        <v>174</v>
      </c>
      <c r="G1" s="11" t="s">
        <v>182</v>
      </c>
      <c r="H1" s="11" t="s">
        <v>183</v>
      </c>
      <c r="I1" s="11" t="s">
        <v>184</v>
      </c>
    </row>
    <row r="2" customFormat="false" ht="15" hidden="false" customHeight="false" outlineLevel="0" collapsed="false">
      <c r="A2" s="0" t="s">
        <v>108</v>
      </c>
      <c r="D2" s="0" t="s">
        <v>185</v>
      </c>
      <c r="E2" s="0" t="s">
        <v>186</v>
      </c>
      <c r="F2" s="37" t="n">
        <v>40940</v>
      </c>
      <c r="G2" s="38" t="n">
        <v>193353323.38</v>
      </c>
    </row>
    <row r="3" customFormat="false" ht="15" hidden="false" customHeight="false" outlineLevel="0" collapsed="false">
      <c r="A3" s="0" t="s">
        <v>108</v>
      </c>
      <c r="D3" s="0" t="s">
        <v>185</v>
      </c>
      <c r="E3" s="0" t="s">
        <v>186</v>
      </c>
      <c r="F3" s="37" t="n">
        <v>40969</v>
      </c>
      <c r="G3" s="38" t="n">
        <v>196472467.69</v>
      </c>
    </row>
    <row r="4" customFormat="false" ht="15" hidden="false" customHeight="false" outlineLevel="0" collapsed="false">
      <c r="A4" s="0" t="s">
        <v>108</v>
      </c>
      <c r="D4" s="0" t="s">
        <v>185</v>
      </c>
      <c r="E4" s="0" t="s">
        <v>186</v>
      </c>
      <c r="F4" s="37" t="n">
        <v>41000</v>
      </c>
      <c r="G4" s="38" t="n">
        <v>195970512.43</v>
      </c>
    </row>
    <row r="5" customFormat="false" ht="15" hidden="false" customHeight="false" outlineLevel="0" collapsed="false">
      <c r="A5" s="0" t="s">
        <v>108</v>
      </c>
      <c r="D5" s="0" t="s">
        <v>185</v>
      </c>
      <c r="E5" s="0" t="s">
        <v>186</v>
      </c>
      <c r="F5" s="37" t="n">
        <v>41030</v>
      </c>
      <c r="G5" s="38" t="n">
        <v>202823303.77</v>
      </c>
    </row>
    <row r="6" customFormat="false" ht="15" hidden="false" customHeight="false" outlineLevel="0" collapsed="false">
      <c r="A6" s="0" t="s">
        <v>108</v>
      </c>
      <c r="D6" s="0" t="s">
        <v>185</v>
      </c>
      <c r="E6" s="0" t="s">
        <v>186</v>
      </c>
      <c r="F6" s="37" t="n">
        <v>41061</v>
      </c>
      <c r="G6" s="38" t="n">
        <v>202685262.56</v>
      </c>
    </row>
    <row r="7" customFormat="false" ht="15" hidden="false" customHeight="false" outlineLevel="0" collapsed="false">
      <c r="A7" s="0" t="s">
        <v>108</v>
      </c>
      <c r="D7" s="0" t="s">
        <v>185</v>
      </c>
      <c r="E7" s="0" t="s">
        <v>186</v>
      </c>
      <c r="F7" s="37" t="n">
        <v>41091</v>
      </c>
      <c r="G7" s="38" t="n">
        <v>202848515.5</v>
      </c>
    </row>
    <row r="8" customFormat="false" ht="15" hidden="false" customHeight="false" outlineLevel="0" collapsed="false">
      <c r="A8" s="0" t="s">
        <v>108</v>
      </c>
      <c r="D8" s="0" t="s">
        <v>185</v>
      </c>
      <c r="E8" s="0" t="s">
        <v>186</v>
      </c>
      <c r="F8" s="37" t="n">
        <v>41122</v>
      </c>
      <c r="G8" s="38" t="n">
        <v>207292501.01</v>
      </c>
    </row>
    <row r="9" customFormat="false" ht="15" hidden="false" customHeight="false" outlineLevel="0" collapsed="false">
      <c r="A9" s="0" t="s">
        <v>108</v>
      </c>
      <c r="D9" s="0" t="s">
        <v>185</v>
      </c>
      <c r="E9" s="0" t="s">
        <v>186</v>
      </c>
      <c r="F9" s="37" t="n">
        <v>41153</v>
      </c>
      <c r="G9" s="38" t="n">
        <v>188435864.71</v>
      </c>
    </row>
    <row r="10" customFormat="false" ht="15" hidden="false" customHeight="false" outlineLevel="0" collapsed="false">
      <c r="A10" s="0" t="s">
        <v>108</v>
      </c>
      <c r="D10" s="0" t="s">
        <v>187</v>
      </c>
      <c r="E10" s="0" t="s">
        <v>186</v>
      </c>
      <c r="F10" s="37" t="n">
        <v>40940</v>
      </c>
      <c r="G10" s="38" t="n">
        <v>193483042.07</v>
      </c>
    </row>
    <row r="11" customFormat="false" ht="15" hidden="false" customHeight="false" outlineLevel="0" collapsed="false">
      <c r="A11" s="0" t="s">
        <v>108</v>
      </c>
      <c r="D11" s="0" t="s">
        <v>187</v>
      </c>
      <c r="E11" s="0" t="s">
        <v>186</v>
      </c>
      <c r="F11" s="37" t="n">
        <v>40969</v>
      </c>
      <c r="G11" s="38" t="n">
        <v>196604278.98</v>
      </c>
    </row>
    <row r="12" customFormat="false" ht="15" hidden="false" customHeight="false" outlineLevel="0" collapsed="false">
      <c r="A12" s="0" t="s">
        <v>108</v>
      </c>
      <c r="D12" s="0" t="s">
        <v>187</v>
      </c>
      <c r="E12" s="0" t="s">
        <v>186</v>
      </c>
      <c r="F12" s="37" t="n">
        <v>41000</v>
      </c>
      <c r="G12" s="38" t="n">
        <v>196101986.97</v>
      </c>
    </row>
    <row r="13" customFormat="false" ht="15" hidden="false" customHeight="false" outlineLevel="0" collapsed="false">
      <c r="A13" s="0" t="s">
        <v>108</v>
      </c>
      <c r="D13" s="0" t="s">
        <v>187</v>
      </c>
      <c r="E13" s="0" t="s">
        <v>186</v>
      </c>
      <c r="F13" s="37" t="n">
        <v>41030</v>
      </c>
      <c r="G13" s="38" t="n">
        <v>202959375.77</v>
      </c>
    </row>
    <row r="14" customFormat="false" ht="15" hidden="false" customHeight="false" outlineLevel="0" collapsed="false">
      <c r="A14" s="0" t="s">
        <v>108</v>
      </c>
      <c r="D14" s="0" t="s">
        <v>187</v>
      </c>
      <c r="E14" s="0" t="s">
        <v>186</v>
      </c>
      <c r="F14" s="37" t="n">
        <v>41061</v>
      </c>
      <c r="G14" s="38" t="n">
        <v>202821241.95</v>
      </c>
    </row>
    <row r="15" customFormat="false" ht="15" hidden="false" customHeight="false" outlineLevel="0" collapsed="false">
      <c r="A15" s="0" t="s">
        <v>108</v>
      </c>
      <c r="D15" s="0" t="s">
        <v>187</v>
      </c>
      <c r="E15" s="0" t="s">
        <v>186</v>
      </c>
      <c r="F15" s="37" t="n">
        <v>41091</v>
      </c>
      <c r="G15" s="38" t="n">
        <v>202984604.42</v>
      </c>
    </row>
    <row r="16" customFormat="false" ht="15" hidden="false" customHeight="false" outlineLevel="0" collapsed="false">
      <c r="A16" s="0" t="s">
        <v>108</v>
      </c>
      <c r="D16" s="0" t="s">
        <v>187</v>
      </c>
      <c r="E16" s="0" t="s">
        <v>186</v>
      </c>
      <c r="F16" s="37" t="n">
        <v>41122</v>
      </c>
      <c r="G16" s="38" t="n">
        <v>207431571.35</v>
      </c>
    </row>
    <row r="17" customFormat="false" ht="15" hidden="false" customHeight="false" outlineLevel="0" collapsed="false">
      <c r="A17" s="0" t="s">
        <v>108</v>
      </c>
      <c r="D17" s="0" t="s">
        <v>187</v>
      </c>
      <c r="E17" s="0" t="s">
        <v>186</v>
      </c>
      <c r="F17" s="37" t="n">
        <v>41153</v>
      </c>
      <c r="G17" s="38" t="n">
        <v>188562284.33</v>
      </c>
    </row>
    <row r="18" customFormat="false" ht="15" hidden="false" customHeight="false" outlineLevel="0" collapsed="false">
      <c r="A18" s="0" t="s">
        <v>108</v>
      </c>
      <c r="D18" s="0" t="s">
        <v>188</v>
      </c>
      <c r="E18" s="0" t="s">
        <v>186</v>
      </c>
      <c r="F18" s="37" t="n">
        <v>40940</v>
      </c>
      <c r="G18" s="38" t="n">
        <v>196532932.09</v>
      </c>
    </row>
    <row r="19" customFormat="false" ht="15" hidden="false" customHeight="false" outlineLevel="0" collapsed="false">
      <c r="A19" s="0" t="s">
        <v>108</v>
      </c>
      <c r="D19" s="0" t="s">
        <v>188</v>
      </c>
      <c r="E19" s="0" t="s">
        <v>186</v>
      </c>
      <c r="F19" s="37" t="n">
        <v>40969</v>
      </c>
      <c r="G19" s="38" t="n">
        <v>202316774.96</v>
      </c>
    </row>
    <row r="20" customFormat="false" ht="15" hidden="false" customHeight="false" outlineLevel="0" collapsed="false">
      <c r="A20" s="0" t="s">
        <v>108</v>
      </c>
      <c r="D20" s="0" t="s">
        <v>188</v>
      </c>
      <c r="E20" s="0" t="s">
        <v>186</v>
      </c>
      <c r="F20" s="37" t="n">
        <v>41000</v>
      </c>
      <c r="G20" s="38" t="n">
        <v>197402731.48</v>
      </c>
    </row>
    <row r="21" customFormat="false" ht="15" hidden="false" customHeight="false" outlineLevel="0" collapsed="false">
      <c r="A21" s="0" t="s">
        <v>108</v>
      </c>
      <c r="D21" s="0" t="s">
        <v>188</v>
      </c>
      <c r="E21" s="0" t="s">
        <v>186</v>
      </c>
      <c r="F21" s="37" t="n">
        <v>41030</v>
      </c>
      <c r="G21" s="38" t="n">
        <v>207373661.87</v>
      </c>
    </row>
    <row r="22" customFormat="false" ht="15" hidden="false" customHeight="false" outlineLevel="0" collapsed="false">
      <c r="A22" s="0" t="s">
        <v>108</v>
      </c>
      <c r="D22" s="0" t="s">
        <v>188</v>
      </c>
      <c r="E22" s="0" t="s">
        <v>186</v>
      </c>
      <c r="F22" s="37" t="n">
        <v>41061</v>
      </c>
      <c r="G22" s="38" t="n">
        <v>206014954.54</v>
      </c>
    </row>
    <row r="23" customFormat="false" ht="15" hidden="false" customHeight="false" outlineLevel="0" collapsed="false">
      <c r="A23" s="0" t="s">
        <v>108</v>
      </c>
      <c r="D23" s="0" t="s">
        <v>188</v>
      </c>
      <c r="E23" s="0" t="s">
        <v>186</v>
      </c>
      <c r="F23" s="37" t="n">
        <v>41091</v>
      </c>
      <c r="G23" s="38" t="n">
        <v>205505519.1</v>
      </c>
    </row>
    <row r="24" customFormat="false" ht="15" hidden="false" customHeight="false" outlineLevel="0" collapsed="false">
      <c r="A24" s="0" t="s">
        <v>108</v>
      </c>
      <c r="D24" s="0" t="s">
        <v>188</v>
      </c>
      <c r="E24" s="0" t="s">
        <v>186</v>
      </c>
      <c r="F24" s="37" t="n">
        <v>41122</v>
      </c>
      <c r="G24" s="38" t="n">
        <v>209353578.73</v>
      </c>
    </row>
    <row r="25" customFormat="false" ht="15" hidden="false" customHeight="false" outlineLevel="0" collapsed="false">
      <c r="A25" s="0" t="s">
        <v>108</v>
      </c>
      <c r="D25" s="0" t="s">
        <v>188</v>
      </c>
      <c r="E25" s="0" t="s">
        <v>186</v>
      </c>
      <c r="F25" s="37" t="n">
        <v>41153</v>
      </c>
      <c r="G25" s="38" t="n">
        <v>189116732.9</v>
      </c>
    </row>
    <row r="26" customFormat="false" ht="15" hidden="false" customHeight="false" outlineLevel="0" collapsed="false">
      <c r="A26" s="0" t="s">
        <v>108</v>
      </c>
      <c r="D26" s="0" t="s">
        <v>189</v>
      </c>
      <c r="E26" s="0" t="s">
        <v>186</v>
      </c>
      <c r="F26" s="37" t="n">
        <v>40940</v>
      </c>
      <c r="G26" s="38" t="n">
        <v>195723709.4</v>
      </c>
    </row>
    <row r="27" customFormat="false" ht="15" hidden="false" customHeight="false" outlineLevel="0" collapsed="false">
      <c r="A27" s="0" t="s">
        <v>108</v>
      </c>
      <c r="D27" s="0" t="s">
        <v>189</v>
      </c>
      <c r="E27" s="0" t="s">
        <v>186</v>
      </c>
      <c r="F27" s="37" t="n">
        <v>40969</v>
      </c>
      <c r="G27" s="38" t="n">
        <v>197594800.21</v>
      </c>
    </row>
    <row r="28" customFormat="false" ht="15" hidden="false" customHeight="false" outlineLevel="0" collapsed="false">
      <c r="A28" s="0" t="s">
        <v>108</v>
      </c>
      <c r="D28" s="0" t="s">
        <v>189</v>
      </c>
      <c r="E28" s="0" t="s">
        <v>186</v>
      </c>
      <c r="F28" s="37" t="n">
        <v>41000</v>
      </c>
      <c r="G28" s="38" t="n">
        <v>196585057.42</v>
      </c>
    </row>
    <row r="29" customFormat="false" ht="15" hidden="false" customHeight="false" outlineLevel="0" collapsed="false">
      <c r="A29" s="0" t="s">
        <v>108</v>
      </c>
      <c r="D29" s="0" t="s">
        <v>189</v>
      </c>
      <c r="E29" s="0" t="s">
        <v>186</v>
      </c>
      <c r="F29" s="37" t="n">
        <v>41030</v>
      </c>
      <c r="G29" s="38" t="n">
        <v>203253117.32</v>
      </c>
    </row>
    <row r="30" customFormat="false" ht="15" hidden="false" customHeight="false" outlineLevel="0" collapsed="false">
      <c r="A30" s="0" t="s">
        <v>108</v>
      </c>
      <c r="D30" s="0" t="s">
        <v>189</v>
      </c>
      <c r="E30" s="0" t="s">
        <v>186</v>
      </c>
      <c r="F30" s="37" t="n">
        <v>41061</v>
      </c>
      <c r="G30" s="38" t="n">
        <v>203033371.1</v>
      </c>
    </row>
    <row r="31" customFormat="false" ht="15" hidden="false" customHeight="false" outlineLevel="0" collapsed="false">
      <c r="A31" s="0" t="s">
        <v>108</v>
      </c>
      <c r="D31" s="0" t="s">
        <v>189</v>
      </c>
      <c r="E31" s="0" t="s">
        <v>186</v>
      </c>
      <c r="F31" s="37" t="n">
        <v>41091</v>
      </c>
      <c r="G31" s="38" t="n">
        <v>203164702.65</v>
      </c>
    </row>
    <row r="32" customFormat="false" ht="15" hidden="false" customHeight="false" outlineLevel="0" collapsed="false">
      <c r="A32" s="0" t="s">
        <v>108</v>
      </c>
      <c r="D32" s="0" t="s">
        <v>189</v>
      </c>
      <c r="E32" s="0" t="s">
        <v>186</v>
      </c>
      <c r="F32" s="37" t="n">
        <v>41122</v>
      </c>
      <c r="G32" s="38" t="n">
        <v>207602607.35</v>
      </c>
    </row>
    <row r="33" customFormat="false" ht="15" hidden="false" customHeight="false" outlineLevel="0" collapsed="false">
      <c r="A33" s="0" t="s">
        <v>108</v>
      </c>
      <c r="D33" s="0" t="s">
        <v>189</v>
      </c>
      <c r="E33" s="0" t="s">
        <v>186</v>
      </c>
      <c r="F33" s="37" t="n">
        <v>41153</v>
      </c>
      <c r="G33" s="38" t="n">
        <v>188713087.41</v>
      </c>
    </row>
    <row r="34" customFormat="false" ht="15" hidden="false" customHeight="false" outlineLevel="0" collapsed="false">
      <c r="A34" s="0" t="s">
        <v>108</v>
      </c>
      <c r="D34" s="0" t="s">
        <v>190</v>
      </c>
      <c r="E34" s="0" t="s">
        <v>186</v>
      </c>
      <c r="F34" s="37" t="n">
        <v>40940</v>
      </c>
      <c r="G34" s="38" t="n">
        <v>195065661.73</v>
      </c>
    </row>
    <row r="35" customFormat="false" ht="15" hidden="false" customHeight="false" outlineLevel="0" collapsed="false">
      <c r="A35" s="0" t="s">
        <v>108</v>
      </c>
      <c r="D35" s="0" t="s">
        <v>190</v>
      </c>
      <c r="E35" s="0" t="s">
        <v>186</v>
      </c>
      <c r="F35" s="37" t="n">
        <v>40969</v>
      </c>
      <c r="G35" s="38" t="n">
        <v>200730714.82</v>
      </c>
    </row>
    <row r="36" customFormat="false" ht="15" hidden="false" customHeight="false" outlineLevel="0" collapsed="false">
      <c r="A36" s="0" t="s">
        <v>108</v>
      </c>
      <c r="D36" s="0" t="s">
        <v>190</v>
      </c>
      <c r="E36" s="0" t="s">
        <v>186</v>
      </c>
      <c r="F36" s="37" t="n">
        <v>41000</v>
      </c>
      <c r="G36" s="38" t="n">
        <v>195939070.69</v>
      </c>
    </row>
    <row r="37" customFormat="false" ht="15" hidden="false" customHeight="false" outlineLevel="0" collapsed="false">
      <c r="A37" s="0" t="s">
        <v>108</v>
      </c>
      <c r="D37" s="0" t="s">
        <v>190</v>
      </c>
      <c r="E37" s="0" t="s">
        <v>186</v>
      </c>
      <c r="F37" s="37" t="n">
        <v>41030</v>
      </c>
      <c r="G37" s="38" t="n">
        <v>205773309.78</v>
      </c>
    </row>
    <row r="38" customFormat="false" ht="15" hidden="false" customHeight="false" outlineLevel="0" collapsed="false">
      <c r="A38" s="0" t="s">
        <v>108</v>
      </c>
      <c r="D38" s="0" t="s">
        <v>190</v>
      </c>
      <c r="E38" s="0" t="s">
        <v>186</v>
      </c>
      <c r="F38" s="37" t="n">
        <v>41061</v>
      </c>
      <c r="G38" s="38" t="n">
        <v>204443556.7</v>
      </c>
    </row>
    <row r="39" customFormat="false" ht="15" hidden="false" customHeight="false" outlineLevel="0" collapsed="false">
      <c r="A39" s="0" t="s">
        <v>108</v>
      </c>
      <c r="D39" s="0" t="s">
        <v>190</v>
      </c>
      <c r="E39" s="0" t="s">
        <v>186</v>
      </c>
      <c r="F39" s="37" t="n">
        <v>41091</v>
      </c>
      <c r="G39" s="38" t="n">
        <v>203952115.5</v>
      </c>
    </row>
    <row r="40" customFormat="false" ht="15" hidden="false" customHeight="false" outlineLevel="0" collapsed="false">
      <c r="A40" s="0" t="s">
        <v>108</v>
      </c>
      <c r="D40" s="0" t="s">
        <v>190</v>
      </c>
      <c r="E40" s="0" t="s">
        <v>186</v>
      </c>
      <c r="F40" s="37" t="n">
        <v>41122</v>
      </c>
      <c r="G40" s="38" t="n">
        <v>207778897.65</v>
      </c>
    </row>
    <row r="41" customFormat="false" ht="15" hidden="false" customHeight="false" outlineLevel="0" collapsed="false">
      <c r="A41" s="0" t="s">
        <v>108</v>
      </c>
      <c r="D41" s="0" t="s">
        <v>190</v>
      </c>
      <c r="E41" s="0" t="s">
        <v>186</v>
      </c>
      <c r="F41" s="37" t="n">
        <v>41153</v>
      </c>
      <c r="G41" s="38" t="n">
        <v>187713717.42</v>
      </c>
    </row>
    <row r="42" customFormat="false" ht="15" hidden="false" customHeight="false" outlineLevel="0" collapsed="false">
      <c r="A42" s="0" t="s">
        <v>108</v>
      </c>
      <c r="D42" s="0" t="s">
        <v>188</v>
      </c>
      <c r="E42" s="0" t="s">
        <v>86</v>
      </c>
      <c r="F42" s="37" t="n">
        <v>41183</v>
      </c>
      <c r="G42" s="38" t="n">
        <v>203386860.38</v>
      </c>
      <c r="H42" s="38" t="n">
        <v>201197375.27</v>
      </c>
      <c r="I42" s="38" t="n">
        <v>205576345.49</v>
      </c>
    </row>
    <row r="43" customFormat="false" ht="15" hidden="false" customHeight="false" outlineLevel="0" collapsed="false">
      <c r="A43" s="0" t="s">
        <v>108</v>
      </c>
      <c r="D43" s="0" t="s">
        <v>188</v>
      </c>
      <c r="E43" s="0" t="s">
        <v>86</v>
      </c>
      <c r="F43" s="37" t="n">
        <v>41214</v>
      </c>
      <c r="G43" s="38" t="n">
        <v>226185387.84</v>
      </c>
      <c r="H43" s="38" t="n">
        <v>223750473.71</v>
      </c>
      <c r="I43" s="38" t="n">
        <v>228620301.96</v>
      </c>
    </row>
    <row r="44" customFormat="false" ht="15" hidden="false" customHeight="false" outlineLevel="0" collapsed="false">
      <c r="A44" s="0" t="s">
        <v>108</v>
      </c>
      <c r="D44" s="0" t="s">
        <v>188</v>
      </c>
      <c r="E44" s="0" t="s">
        <v>86</v>
      </c>
      <c r="F44" s="37" t="n">
        <v>41244</v>
      </c>
      <c r="G44" s="38" t="n">
        <v>265190327.77</v>
      </c>
      <c r="H44" s="38" t="n">
        <v>262335520.57</v>
      </c>
      <c r="I44" s="38" t="n">
        <v>268045134.98</v>
      </c>
    </row>
    <row r="45" customFormat="false" ht="15" hidden="false" customHeight="false" outlineLevel="0" collapsed="false">
      <c r="A45" s="0" t="s">
        <v>108</v>
      </c>
      <c r="D45" s="0" t="s">
        <v>188</v>
      </c>
      <c r="E45" s="0" t="s">
        <v>86</v>
      </c>
      <c r="F45" s="37" t="n">
        <v>41275</v>
      </c>
      <c r="G45" s="38" t="n">
        <v>189780874.6</v>
      </c>
      <c r="H45" s="38" t="n">
        <v>187737859.64</v>
      </c>
      <c r="I45" s="38" t="n">
        <v>191823889.56</v>
      </c>
    </row>
    <row r="46" customFormat="false" ht="15" hidden="false" customHeight="false" outlineLevel="0" collapsed="false">
      <c r="A46" s="0" t="s">
        <v>57</v>
      </c>
      <c r="B46" s="0" t="s">
        <v>60</v>
      </c>
      <c r="D46" s="0" t="s">
        <v>188</v>
      </c>
      <c r="E46" s="0" t="s">
        <v>86</v>
      </c>
      <c r="F46" s="37" t="n">
        <v>41183</v>
      </c>
      <c r="G46" s="38" t="n">
        <v>131169225.67</v>
      </c>
      <c r="H46" s="38" t="n">
        <v>129757172.47</v>
      </c>
      <c r="I46" s="38" t="n">
        <v>132581278.87</v>
      </c>
    </row>
    <row r="47" customFormat="false" ht="15" hidden="false" customHeight="false" outlineLevel="0" collapsed="false">
      <c r="A47" s="0" t="s">
        <v>57</v>
      </c>
      <c r="B47" s="0" t="s">
        <v>60</v>
      </c>
      <c r="D47" s="0" t="s">
        <v>188</v>
      </c>
      <c r="E47" s="0" t="s">
        <v>86</v>
      </c>
      <c r="F47" s="37" t="n">
        <v>41214</v>
      </c>
      <c r="G47" s="38" t="n">
        <v>144442663.55</v>
      </c>
      <c r="H47" s="38" t="n">
        <v>142887720.13</v>
      </c>
      <c r="I47" s="38" t="n">
        <v>145997606.98</v>
      </c>
    </row>
    <row r="48" customFormat="false" ht="15" hidden="false" customHeight="false" outlineLevel="0" collapsed="false">
      <c r="A48" s="0" t="s">
        <v>57</v>
      </c>
      <c r="B48" s="0" t="s">
        <v>60</v>
      </c>
      <c r="D48" s="0" t="s">
        <v>188</v>
      </c>
      <c r="E48" s="0" t="s">
        <v>86</v>
      </c>
      <c r="F48" s="37" t="n">
        <v>41244</v>
      </c>
      <c r="G48" s="38" t="n">
        <v>168997069.85</v>
      </c>
      <c r="H48" s="38" t="n">
        <v>167177795.15</v>
      </c>
      <c r="I48" s="38" t="n">
        <v>170816344.54</v>
      </c>
    </row>
    <row r="49" customFormat="false" ht="15" hidden="false" customHeight="false" outlineLevel="0" collapsed="false">
      <c r="A49" s="0" t="s">
        <v>57</v>
      </c>
      <c r="B49" s="0" t="s">
        <v>60</v>
      </c>
      <c r="D49" s="0" t="s">
        <v>188</v>
      </c>
      <c r="E49" s="0" t="s">
        <v>86</v>
      </c>
      <c r="F49" s="37" t="n">
        <v>41275</v>
      </c>
      <c r="G49" s="38" t="n">
        <v>122184944.8</v>
      </c>
      <c r="H49" s="38" t="n">
        <v>120869608.52</v>
      </c>
      <c r="I49" s="38" t="n">
        <v>123500281.09</v>
      </c>
    </row>
    <row r="50" customFormat="false" ht="15" hidden="false" customHeight="false" outlineLevel="0" collapsed="false">
      <c r="A50" s="0" t="s">
        <v>57</v>
      </c>
      <c r="B50" s="0" t="s">
        <v>62</v>
      </c>
      <c r="D50" s="0" t="s">
        <v>188</v>
      </c>
      <c r="E50" s="0" t="s">
        <v>86</v>
      </c>
      <c r="F50" s="37" t="n">
        <v>41183</v>
      </c>
      <c r="G50" s="38" t="n">
        <v>59232719.16</v>
      </c>
      <c r="H50" s="38" t="n">
        <v>58595071.49</v>
      </c>
      <c r="I50" s="38" t="n">
        <v>59870366.82</v>
      </c>
    </row>
    <row r="51" customFormat="false" ht="15" hidden="false" customHeight="false" outlineLevel="0" collapsed="false">
      <c r="A51" s="0" t="s">
        <v>57</v>
      </c>
      <c r="B51" s="0" t="s">
        <v>62</v>
      </c>
      <c r="D51" s="0" t="s">
        <v>188</v>
      </c>
      <c r="E51" s="0" t="s">
        <v>86</v>
      </c>
      <c r="F51" s="37" t="n">
        <v>41214</v>
      </c>
      <c r="G51" s="38" t="n">
        <v>69247385.87</v>
      </c>
      <c r="H51" s="38" t="n">
        <v>68501929.06</v>
      </c>
      <c r="I51" s="38" t="n">
        <v>69992842.68</v>
      </c>
    </row>
    <row r="52" customFormat="false" ht="15" hidden="false" customHeight="false" outlineLevel="0" collapsed="false">
      <c r="A52" s="0" t="s">
        <v>57</v>
      </c>
      <c r="B52" s="0" t="s">
        <v>62</v>
      </c>
      <c r="D52" s="0" t="s">
        <v>188</v>
      </c>
      <c r="E52" s="0" t="s">
        <v>86</v>
      </c>
      <c r="F52" s="37" t="n">
        <v>41244</v>
      </c>
      <c r="G52" s="38" t="n">
        <v>83409452.23</v>
      </c>
      <c r="H52" s="38" t="n">
        <v>82511539</v>
      </c>
      <c r="I52" s="38" t="n">
        <v>84307365.46</v>
      </c>
    </row>
    <row r="53" customFormat="false" ht="15" hidden="false" customHeight="false" outlineLevel="0" collapsed="false">
      <c r="A53" s="0" t="s">
        <v>57</v>
      </c>
      <c r="B53" s="0" t="s">
        <v>62</v>
      </c>
      <c r="D53" s="0" t="s">
        <v>188</v>
      </c>
      <c r="E53" s="0" t="s">
        <v>86</v>
      </c>
      <c r="F53" s="37" t="n">
        <v>41275</v>
      </c>
      <c r="G53" s="38" t="n">
        <v>54519265.07</v>
      </c>
      <c r="H53" s="38" t="n">
        <v>53932358.33</v>
      </c>
      <c r="I53" s="38" t="n">
        <v>55106171.81</v>
      </c>
    </row>
    <row r="54" customFormat="false" ht="15" hidden="false" customHeight="false" outlineLevel="0" collapsed="false">
      <c r="A54" s="0" t="s">
        <v>57</v>
      </c>
      <c r="B54" s="0" t="s">
        <v>64</v>
      </c>
      <c r="D54" s="0" t="s">
        <v>188</v>
      </c>
      <c r="E54" s="0" t="s">
        <v>86</v>
      </c>
      <c r="F54" s="37" t="n">
        <v>41183</v>
      </c>
      <c r="G54" s="38" t="n">
        <v>13110839.97</v>
      </c>
      <c r="H54" s="38" t="n">
        <v>12969700.13</v>
      </c>
      <c r="I54" s="38" t="n">
        <v>13251979.81</v>
      </c>
    </row>
    <row r="55" customFormat="false" ht="15" hidden="false" customHeight="false" outlineLevel="0" collapsed="false">
      <c r="A55" s="0" t="s">
        <v>57</v>
      </c>
      <c r="B55" s="0" t="s">
        <v>64</v>
      </c>
      <c r="D55" s="0" t="s">
        <v>188</v>
      </c>
      <c r="E55" s="0" t="s">
        <v>86</v>
      </c>
      <c r="F55" s="37" t="n">
        <v>41214</v>
      </c>
      <c r="G55" s="38" t="n">
        <v>12612565.68</v>
      </c>
      <c r="H55" s="38" t="n">
        <v>12476789.82</v>
      </c>
      <c r="I55" s="38" t="n">
        <v>12748341.53</v>
      </c>
    </row>
    <row r="56" customFormat="false" ht="15" hidden="false" customHeight="false" outlineLevel="0" collapsed="false">
      <c r="A56" s="0" t="s">
        <v>57</v>
      </c>
      <c r="B56" s="0" t="s">
        <v>64</v>
      </c>
      <c r="D56" s="0" t="s">
        <v>188</v>
      </c>
      <c r="E56" s="0" t="s">
        <v>86</v>
      </c>
      <c r="F56" s="37" t="n">
        <v>41244</v>
      </c>
      <c r="G56" s="38" t="n">
        <v>12907849.67</v>
      </c>
      <c r="H56" s="38" t="n">
        <v>12768895.05</v>
      </c>
      <c r="I56" s="38" t="n">
        <v>13046804.3</v>
      </c>
    </row>
    <row r="57" customFormat="false" ht="15" hidden="false" customHeight="false" outlineLevel="0" collapsed="false">
      <c r="A57" s="0" t="s">
        <v>57</v>
      </c>
      <c r="B57" s="0" t="s">
        <v>64</v>
      </c>
      <c r="D57" s="0" t="s">
        <v>188</v>
      </c>
      <c r="E57" s="0" t="s">
        <v>86</v>
      </c>
      <c r="F57" s="37" t="n">
        <v>41275</v>
      </c>
      <c r="G57" s="38" t="n">
        <v>13324118.02</v>
      </c>
      <c r="H57" s="38" t="n">
        <v>13180682.21</v>
      </c>
      <c r="I57" s="38" t="n">
        <v>13467553.82</v>
      </c>
    </row>
    <row r="58" customFormat="false" ht="15" hidden="false" customHeight="false" outlineLevel="0" collapsed="false">
      <c r="A58" s="0" t="s">
        <v>95</v>
      </c>
      <c r="C58" s="0" t="n">
        <v>1</v>
      </c>
      <c r="D58" s="0" t="s">
        <v>191</v>
      </c>
      <c r="E58" s="0" t="s">
        <v>86</v>
      </c>
      <c r="F58" s="37" t="n">
        <v>41183</v>
      </c>
      <c r="G58" s="38" t="n">
        <v>7185108.62</v>
      </c>
    </row>
    <row r="59" customFormat="false" ht="15" hidden="false" customHeight="false" outlineLevel="0" collapsed="false">
      <c r="A59" s="0" t="s">
        <v>95</v>
      </c>
      <c r="C59" s="0" t="n">
        <v>1</v>
      </c>
      <c r="D59" s="0" t="s">
        <v>191</v>
      </c>
      <c r="E59" s="0" t="s">
        <v>86</v>
      </c>
      <c r="F59" s="37" t="n">
        <v>41214</v>
      </c>
      <c r="G59" s="38" t="n">
        <v>7681076.89</v>
      </c>
    </row>
    <row r="60" customFormat="false" ht="15" hidden="false" customHeight="false" outlineLevel="0" collapsed="false">
      <c r="A60" s="0" t="s">
        <v>95</v>
      </c>
      <c r="C60" s="0" t="n">
        <v>1</v>
      </c>
      <c r="D60" s="0" t="s">
        <v>191</v>
      </c>
      <c r="E60" s="0" t="s">
        <v>86</v>
      </c>
      <c r="F60" s="37" t="n">
        <v>41244</v>
      </c>
      <c r="G60" s="38" t="n">
        <v>8582962.83</v>
      </c>
    </row>
    <row r="61" customFormat="false" ht="15" hidden="false" customHeight="false" outlineLevel="0" collapsed="false">
      <c r="A61" s="0" t="s">
        <v>95</v>
      </c>
      <c r="C61" s="0" t="n">
        <v>1</v>
      </c>
      <c r="D61" s="0" t="s">
        <v>191</v>
      </c>
      <c r="E61" s="0" t="s">
        <v>86</v>
      </c>
      <c r="F61" s="37" t="n">
        <v>41275</v>
      </c>
      <c r="G61" s="38" t="n">
        <v>6802113.94</v>
      </c>
    </row>
    <row r="62" customFormat="false" ht="15" hidden="false" customHeight="false" outlineLevel="0" collapsed="false">
      <c r="A62" s="0" t="s">
        <v>95</v>
      </c>
      <c r="C62" s="0" t="n">
        <v>2</v>
      </c>
      <c r="D62" s="0" t="s">
        <v>191</v>
      </c>
      <c r="E62" s="0" t="s">
        <v>86</v>
      </c>
      <c r="F62" s="37" t="n">
        <v>41183</v>
      </c>
      <c r="G62" s="38" t="n">
        <v>8403454.97</v>
      </c>
    </row>
    <row r="63" customFormat="false" ht="15" hidden="false" customHeight="false" outlineLevel="0" collapsed="false">
      <c r="A63" s="0" t="s">
        <v>95</v>
      </c>
      <c r="C63" s="0" t="n">
        <v>2</v>
      </c>
      <c r="D63" s="0" t="s">
        <v>191</v>
      </c>
      <c r="E63" s="0" t="s">
        <v>86</v>
      </c>
      <c r="F63" s="37" t="n">
        <v>41214</v>
      </c>
      <c r="G63" s="38" t="n">
        <v>9375844.39</v>
      </c>
    </row>
    <row r="64" customFormat="false" ht="15" hidden="false" customHeight="false" outlineLevel="0" collapsed="false">
      <c r="A64" s="0" t="s">
        <v>95</v>
      </c>
      <c r="C64" s="0" t="n">
        <v>2</v>
      </c>
      <c r="D64" s="0" t="s">
        <v>191</v>
      </c>
      <c r="E64" s="0" t="s">
        <v>86</v>
      </c>
      <c r="F64" s="37" t="n">
        <v>41244</v>
      </c>
      <c r="G64" s="38" t="n">
        <v>11138775.75</v>
      </c>
    </row>
    <row r="65" customFormat="false" ht="15" hidden="false" customHeight="false" outlineLevel="0" collapsed="false">
      <c r="A65" s="0" t="s">
        <v>95</v>
      </c>
      <c r="C65" s="0" t="n">
        <v>2</v>
      </c>
      <c r="D65" s="0" t="s">
        <v>191</v>
      </c>
      <c r="E65" s="0" t="s">
        <v>86</v>
      </c>
      <c r="F65" s="37" t="n">
        <v>41275</v>
      </c>
      <c r="G65" s="38" t="n">
        <v>8131669.53</v>
      </c>
    </row>
    <row r="66" customFormat="false" ht="15" hidden="false" customHeight="false" outlineLevel="0" collapsed="false">
      <c r="A66" s="0" t="s">
        <v>95</v>
      </c>
      <c r="C66" s="0" t="n">
        <v>3</v>
      </c>
      <c r="D66" s="0" t="s">
        <v>191</v>
      </c>
      <c r="E66" s="0" t="s">
        <v>86</v>
      </c>
      <c r="F66" s="37" t="n">
        <v>41183</v>
      </c>
      <c r="G66" s="38" t="n">
        <v>1934386.53</v>
      </c>
    </row>
    <row r="67" customFormat="false" ht="15" hidden="false" customHeight="false" outlineLevel="0" collapsed="false">
      <c r="A67" s="0" t="s">
        <v>95</v>
      </c>
      <c r="C67" s="0" t="n">
        <v>3</v>
      </c>
      <c r="D67" s="0" t="s">
        <v>191</v>
      </c>
      <c r="E67" s="0" t="s">
        <v>86</v>
      </c>
      <c r="F67" s="37" t="n">
        <v>41214</v>
      </c>
      <c r="G67" s="38" t="n">
        <v>2166693.61</v>
      </c>
    </row>
    <row r="68" customFormat="false" ht="15" hidden="false" customHeight="false" outlineLevel="0" collapsed="false">
      <c r="A68" s="0" t="s">
        <v>95</v>
      </c>
      <c r="C68" s="0" t="n">
        <v>3</v>
      </c>
      <c r="D68" s="0" t="s">
        <v>191</v>
      </c>
      <c r="E68" s="0" t="s">
        <v>86</v>
      </c>
      <c r="F68" s="37" t="n">
        <v>41244</v>
      </c>
      <c r="G68" s="38" t="n">
        <v>2353844.01</v>
      </c>
    </row>
    <row r="69" customFormat="false" ht="15" hidden="false" customHeight="false" outlineLevel="0" collapsed="false">
      <c r="A69" s="0" t="s">
        <v>95</v>
      </c>
      <c r="C69" s="0" t="n">
        <v>3</v>
      </c>
      <c r="D69" s="0" t="s">
        <v>191</v>
      </c>
      <c r="E69" s="0" t="s">
        <v>86</v>
      </c>
      <c r="F69" s="37" t="n">
        <v>41275</v>
      </c>
      <c r="G69" s="38" t="n">
        <v>1839335.28</v>
      </c>
    </row>
    <row r="70" customFormat="false" ht="15" hidden="false" customHeight="false" outlineLevel="0" collapsed="false">
      <c r="A70" s="0" t="s">
        <v>95</v>
      </c>
      <c r="C70" s="0" t="n">
        <v>4</v>
      </c>
      <c r="D70" s="0" t="s">
        <v>191</v>
      </c>
      <c r="E70" s="0" t="s">
        <v>86</v>
      </c>
      <c r="F70" s="37" t="n">
        <v>41183</v>
      </c>
      <c r="G70" s="38" t="n">
        <v>10165681.12</v>
      </c>
    </row>
    <row r="71" customFormat="false" ht="15" hidden="false" customHeight="false" outlineLevel="0" collapsed="false">
      <c r="A71" s="0" t="s">
        <v>95</v>
      </c>
      <c r="C71" s="0" t="n">
        <v>4</v>
      </c>
      <c r="D71" s="0" t="s">
        <v>191</v>
      </c>
      <c r="E71" s="0" t="s">
        <v>86</v>
      </c>
      <c r="F71" s="37" t="n">
        <v>41214</v>
      </c>
      <c r="G71" s="38" t="n">
        <v>10945468.24</v>
      </c>
    </row>
    <row r="72" customFormat="false" ht="15" hidden="false" customHeight="false" outlineLevel="0" collapsed="false">
      <c r="A72" s="0" t="s">
        <v>95</v>
      </c>
      <c r="C72" s="0" t="n">
        <v>4</v>
      </c>
      <c r="D72" s="0" t="s">
        <v>191</v>
      </c>
      <c r="E72" s="0" t="s">
        <v>86</v>
      </c>
      <c r="F72" s="37" t="n">
        <v>41244</v>
      </c>
      <c r="G72" s="38" t="n">
        <v>12607960.4</v>
      </c>
    </row>
    <row r="73" customFormat="false" ht="15" hidden="false" customHeight="false" outlineLevel="0" collapsed="false">
      <c r="A73" s="0" t="s">
        <v>95</v>
      </c>
      <c r="C73" s="0" t="n">
        <v>4</v>
      </c>
      <c r="D73" s="0" t="s">
        <v>191</v>
      </c>
      <c r="E73" s="0" t="s">
        <v>86</v>
      </c>
      <c r="F73" s="37" t="n">
        <v>41275</v>
      </c>
      <c r="G73" s="38" t="n">
        <v>9416706.73</v>
      </c>
    </row>
    <row r="74" customFormat="false" ht="15" hidden="false" customHeight="false" outlineLevel="0" collapsed="false">
      <c r="A74" s="0" t="s">
        <v>95</v>
      </c>
      <c r="C74" s="0" t="n">
        <v>5</v>
      </c>
      <c r="D74" s="0" t="s">
        <v>191</v>
      </c>
      <c r="E74" s="0" t="s">
        <v>86</v>
      </c>
      <c r="F74" s="37" t="n">
        <v>41183</v>
      </c>
      <c r="G74" s="38" t="n">
        <v>1485622.6</v>
      </c>
    </row>
    <row r="75" customFormat="false" ht="15" hidden="false" customHeight="false" outlineLevel="0" collapsed="false">
      <c r="A75" s="0" t="s">
        <v>95</v>
      </c>
      <c r="C75" s="0" t="n">
        <v>5</v>
      </c>
      <c r="D75" s="0" t="s">
        <v>191</v>
      </c>
      <c r="E75" s="0" t="s">
        <v>86</v>
      </c>
      <c r="F75" s="37" t="n">
        <v>41214</v>
      </c>
      <c r="G75" s="38" t="n">
        <v>1746360.06</v>
      </c>
    </row>
    <row r="76" customFormat="false" ht="15" hidden="false" customHeight="false" outlineLevel="0" collapsed="false">
      <c r="A76" s="0" t="s">
        <v>95</v>
      </c>
      <c r="C76" s="0" t="n">
        <v>5</v>
      </c>
      <c r="D76" s="0" t="s">
        <v>191</v>
      </c>
      <c r="E76" s="0" t="s">
        <v>86</v>
      </c>
      <c r="F76" s="37" t="n">
        <v>41244</v>
      </c>
      <c r="G76" s="38" t="n">
        <v>1865061.62</v>
      </c>
    </row>
    <row r="77" customFormat="false" ht="15" hidden="false" customHeight="false" outlineLevel="0" collapsed="false">
      <c r="A77" s="0" t="s">
        <v>95</v>
      </c>
      <c r="C77" s="0" t="n">
        <v>5</v>
      </c>
      <c r="D77" s="0" t="s">
        <v>191</v>
      </c>
      <c r="E77" s="0" t="s">
        <v>86</v>
      </c>
      <c r="F77" s="37" t="n">
        <v>41275</v>
      </c>
      <c r="G77" s="38" t="n">
        <v>1456538.83</v>
      </c>
    </row>
    <row r="78" customFormat="false" ht="15" hidden="false" customHeight="false" outlineLevel="0" collapsed="false">
      <c r="A78" s="0" t="s">
        <v>95</v>
      </c>
      <c r="C78" s="0" t="n">
        <v>6</v>
      </c>
      <c r="D78" s="0" t="s">
        <v>191</v>
      </c>
      <c r="E78" s="0" t="s">
        <v>86</v>
      </c>
      <c r="F78" s="37" t="n">
        <v>41183</v>
      </c>
      <c r="G78" s="38" t="n">
        <v>6650578.31</v>
      </c>
    </row>
    <row r="79" customFormat="false" ht="15" hidden="false" customHeight="false" outlineLevel="0" collapsed="false">
      <c r="A79" s="0" t="s">
        <v>95</v>
      </c>
      <c r="C79" s="0" t="n">
        <v>6</v>
      </c>
      <c r="D79" s="0" t="s">
        <v>191</v>
      </c>
      <c r="E79" s="0" t="s">
        <v>86</v>
      </c>
      <c r="F79" s="37" t="n">
        <v>41214</v>
      </c>
      <c r="G79" s="38" t="n">
        <v>7726293.46</v>
      </c>
    </row>
    <row r="80" customFormat="false" ht="15" hidden="false" customHeight="false" outlineLevel="0" collapsed="false">
      <c r="A80" s="0" t="s">
        <v>95</v>
      </c>
      <c r="C80" s="0" t="n">
        <v>6</v>
      </c>
      <c r="D80" s="0" t="s">
        <v>191</v>
      </c>
      <c r="E80" s="0" t="s">
        <v>86</v>
      </c>
      <c r="F80" s="37" t="n">
        <v>41244</v>
      </c>
      <c r="G80" s="38" t="n">
        <v>9269636.6</v>
      </c>
    </row>
    <row r="81" customFormat="false" ht="15" hidden="false" customHeight="false" outlineLevel="0" collapsed="false">
      <c r="A81" s="0" t="s">
        <v>95</v>
      </c>
      <c r="C81" s="0" t="n">
        <v>6</v>
      </c>
      <c r="D81" s="0" t="s">
        <v>191</v>
      </c>
      <c r="E81" s="0" t="s">
        <v>86</v>
      </c>
      <c r="F81" s="37" t="n">
        <v>41275</v>
      </c>
      <c r="G81" s="38" t="n">
        <v>6314441.83</v>
      </c>
    </row>
    <row r="82" customFormat="false" ht="15" hidden="false" customHeight="false" outlineLevel="0" collapsed="false">
      <c r="A82" s="0" t="s">
        <v>95</v>
      </c>
      <c r="C82" s="0" t="n">
        <v>7</v>
      </c>
      <c r="D82" s="0" t="s">
        <v>191</v>
      </c>
      <c r="E82" s="0" t="s">
        <v>86</v>
      </c>
      <c r="F82" s="37" t="n">
        <v>41183</v>
      </c>
      <c r="G82" s="38" t="n">
        <v>2490074.8</v>
      </c>
    </row>
    <row r="83" customFormat="false" ht="15" hidden="false" customHeight="false" outlineLevel="0" collapsed="false">
      <c r="A83" s="0" t="s">
        <v>95</v>
      </c>
      <c r="C83" s="0" t="n">
        <v>7</v>
      </c>
      <c r="D83" s="0" t="s">
        <v>191</v>
      </c>
      <c r="E83" s="0" t="s">
        <v>86</v>
      </c>
      <c r="F83" s="37" t="n">
        <v>41214</v>
      </c>
      <c r="G83" s="38" t="n">
        <v>2949340.99</v>
      </c>
    </row>
    <row r="84" customFormat="false" ht="15" hidden="false" customHeight="false" outlineLevel="0" collapsed="false">
      <c r="A84" s="0" t="s">
        <v>95</v>
      </c>
      <c r="C84" s="0" t="n">
        <v>7</v>
      </c>
      <c r="D84" s="0" t="s">
        <v>191</v>
      </c>
      <c r="E84" s="0" t="s">
        <v>86</v>
      </c>
      <c r="F84" s="37" t="n">
        <v>41244</v>
      </c>
      <c r="G84" s="38" t="n">
        <v>3721379.74</v>
      </c>
    </row>
    <row r="85" customFormat="false" ht="15" hidden="false" customHeight="false" outlineLevel="0" collapsed="false">
      <c r="A85" s="0" t="s">
        <v>95</v>
      </c>
      <c r="C85" s="0" t="n">
        <v>7</v>
      </c>
      <c r="D85" s="0" t="s">
        <v>191</v>
      </c>
      <c r="E85" s="0" t="s">
        <v>86</v>
      </c>
      <c r="F85" s="37" t="n">
        <v>41275</v>
      </c>
      <c r="G85" s="38" t="n">
        <v>2807223.73</v>
      </c>
    </row>
    <row r="86" customFormat="false" ht="15" hidden="false" customHeight="false" outlineLevel="0" collapsed="false">
      <c r="A86" s="0" t="s">
        <v>95</v>
      </c>
      <c r="C86" s="0" t="n">
        <v>8</v>
      </c>
      <c r="D86" s="0" t="s">
        <v>191</v>
      </c>
      <c r="E86" s="0" t="s">
        <v>86</v>
      </c>
      <c r="F86" s="37" t="n">
        <v>41183</v>
      </c>
      <c r="G86" s="38" t="n">
        <v>4141915.05</v>
      </c>
    </row>
    <row r="87" customFormat="false" ht="15" hidden="false" customHeight="false" outlineLevel="0" collapsed="false">
      <c r="A87" s="0" t="s">
        <v>95</v>
      </c>
      <c r="C87" s="0" t="n">
        <v>8</v>
      </c>
      <c r="D87" s="0" t="s">
        <v>191</v>
      </c>
      <c r="E87" s="0" t="s">
        <v>86</v>
      </c>
      <c r="F87" s="37" t="n">
        <v>41214</v>
      </c>
      <c r="G87" s="38" t="n">
        <v>4468041.47</v>
      </c>
    </row>
    <row r="88" customFormat="false" ht="15" hidden="false" customHeight="false" outlineLevel="0" collapsed="false">
      <c r="A88" s="0" t="s">
        <v>95</v>
      </c>
      <c r="C88" s="0" t="n">
        <v>8</v>
      </c>
      <c r="D88" s="0" t="s">
        <v>191</v>
      </c>
      <c r="E88" s="0" t="s">
        <v>86</v>
      </c>
      <c r="F88" s="37" t="n">
        <v>41244</v>
      </c>
      <c r="G88" s="38" t="n">
        <v>5093976.29</v>
      </c>
    </row>
    <row r="89" customFormat="false" ht="15" hidden="false" customHeight="false" outlineLevel="0" collapsed="false">
      <c r="A89" s="0" t="s">
        <v>95</v>
      </c>
      <c r="C89" s="0" t="n">
        <v>8</v>
      </c>
      <c r="D89" s="0" t="s">
        <v>191</v>
      </c>
      <c r="E89" s="0" t="s">
        <v>86</v>
      </c>
      <c r="F89" s="37" t="n">
        <v>41275</v>
      </c>
      <c r="G89" s="38" t="n">
        <v>3835401.87</v>
      </c>
    </row>
    <row r="90" customFormat="false" ht="15" hidden="false" customHeight="false" outlineLevel="0" collapsed="false">
      <c r="A90" s="0" t="s">
        <v>95</v>
      </c>
      <c r="C90" s="0" t="n">
        <v>9</v>
      </c>
      <c r="D90" s="0" t="s">
        <v>191</v>
      </c>
      <c r="E90" s="0" t="s">
        <v>86</v>
      </c>
      <c r="F90" s="37" t="n">
        <v>41183</v>
      </c>
      <c r="G90" s="38" t="n">
        <v>2601062.31</v>
      </c>
    </row>
    <row r="91" customFormat="false" ht="15" hidden="false" customHeight="false" outlineLevel="0" collapsed="false">
      <c r="A91" s="0" t="s">
        <v>95</v>
      </c>
      <c r="C91" s="0" t="n">
        <v>9</v>
      </c>
      <c r="D91" s="0" t="s">
        <v>191</v>
      </c>
      <c r="E91" s="0" t="s">
        <v>86</v>
      </c>
      <c r="F91" s="37" t="n">
        <v>41214</v>
      </c>
      <c r="G91" s="38" t="n">
        <v>2905437.58</v>
      </c>
    </row>
    <row r="92" customFormat="false" ht="15" hidden="false" customHeight="false" outlineLevel="0" collapsed="false">
      <c r="A92" s="0" t="s">
        <v>95</v>
      </c>
      <c r="C92" s="0" t="n">
        <v>9</v>
      </c>
      <c r="D92" s="0" t="s">
        <v>191</v>
      </c>
      <c r="E92" s="0" t="s">
        <v>86</v>
      </c>
      <c r="F92" s="37" t="n">
        <v>41244</v>
      </c>
      <c r="G92" s="38" t="n">
        <v>3234230.12</v>
      </c>
    </row>
    <row r="93" customFormat="false" ht="15" hidden="false" customHeight="false" outlineLevel="0" collapsed="false">
      <c r="A93" s="0" t="s">
        <v>95</v>
      </c>
      <c r="C93" s="0" t="n">
        <v>9</v>
      </c>
      <c r="D93" s="0" t="s">
        <v>191</v>
      </c>
      <c r="E93" s="0" t="s">
        <v>86</v>
      </c>
      <c r="F93" s="37" t="n">
        <v>41275</v>
      </c>
      <c r="G93" s="38" t="n">
        <v>2337245</v>
      </c>
    </row>
    <row r="94" customFormat="false" ht="15" hidden="false" customHeight="false" outlineLevel="0" collapsed="false">
      <c r="A94" s="0" t="s">
        <v>95</v>
      </c>
      <c r="C94" s="0" t="n">
        <v>10</v>
      </c>
      <c r="D94" s="0" t="s">
        <v>191</v>
      </c>
      <c r="E94" s="0" t="s">
        <v>86</v>
      </c>
      <c r="F94" s="37" t="n">
        <v>41183</v>
      </c>
      <c r="G94" s="38" t="n">
        <v>7955681.96</v>
      </c>
    </row>
    <row r="95" customFormat="false" ht="15" hidden="false" customHeight="false" outlineLevel="0" collapsed="false">
      <c r="A95" s="0" t="s">
        <v>95</v>
      </c>
      <c r="C95" s="0" t="n">
        <v>10</v>
      </c>
      <c r="D95" s="0" t="s">
        <v>191</v>
      </c>
      <c r="E95" s="0" t="s">
        <v>86</v>
      </c>
      <c r="F95" s="37" t="n">
        <v>41214</v>
      </c>
      <c r="G95" s="38" t="n">
        <v>9617006.64</v>
      </c>
    </row>
    <row r="96" customFormat="false" ht="15" hidden="false" customHeight="false" outlineLevel="0" collapsed="false">
      <c r="A96" s="0" t="s">
        <v>95</v>
      </c>
      <c r="C96" s="0" t="n">
        <v>10</v>
      </c>
      <c r="D96" s="0" t="s">
        <v>191</v>
      </c>
      <c r="E96" s="0" t="s">
        <v>86</v>
      </c>
      <c r="F96" s="37" t="n">
        <v>41244</v>
      </c>
      <c r="G96" s="38" t="n">
        <v>11419252.62</v>
      </c>
    </row>
    <row r="97" customFormat="false" ht="15" hidden="false" customHeight="false" outlineLevel="0" collapsed="false">
      <c r="A97" s="0" t="s">
        <v>95</v>
      </c>
      <c r="C97" s="0" t="n">
        <v>10</v>
      </c>
      <c r="D97" s="0" t="s">
        <v>191</v>
      </c>
      <c r="E97" s="0" t="s">
        <v>86</v>
      </c>
      <c r="F97" s="37" t="n">
        <v>41275</v>
      </c>
      <c r="G97" s="38" t="n">
        <v>7653433.75</v>
      </c>
    </row>
    <row r="98" customFormat="false" ht="15" hidden="false" customHeight="false" outlineLevel="0" collapsed="false">
      <c r="A98" s="0" t="s">
        <v>95</v>
      </c>
      <c r="C98" s="0" t="n">
        <v>11</v>
      </c>
      <c r="D98" s="0" t="s">
        <v>191</v>
      </c>
      <c r="E98" s="0" t="s">
        <v>86</v>
      </c>
      <c r="F98" s="37" t="n">
        <v>41183</v>
      </c>
      <c r="G98" s="38" t="n">
        <v>6167123.4</v>
      </c>
    </row>
    <row r="99" customFormat="false" ht="15" hidden="false" customHeight="false" outlineLevel="0" collapsed="false">
      <c r="A99" s="0" t="s">
        <v>95</v>
      </c>
      <c r="C99" s="0" t="n">
        <v>11</v>
      </c>
      <c r="D99" s="0" t="s">
        <v>191</v>
      </c>
      <c r="E99" s="0" t="s">
        <v>86</v>
      </c>
      <c r="F99" s="37" t="n">
        <v>41214</v>
      </c>
      <c r="G99" s="38" t="n">
        <v>6658416.58</v>
      </c>
    </row>
    <row r="100" customFormat="false" ht="15" hidden="false" customHeight="false" outlineLevel="0" collapsed="false">
      <c r="A100" s="0" t="s">
        <v>95</v>
      </c>
      <c r="C100" s="0" t="n">
        <v>11</v>
      </c>
      <c r="D100" s="0" t="s">
        <v>191</v>
      </c>
      <c r="E100" s="0" t="s">
        <v>86</v>
      </c>
      <c r="F100" s="37" t="n">
        <v>41244</v>
      </c>
      <c r="G100" s="38" t="n">
        <v>7931374.75</v>
      </c>
    </row>
    <row r="101" customFormat="false" ht="15" hidden="false" customHeight="false" outlineLevel="0" collapsed="false">
      <c r="A101" s="0" t="s">
        <v>95</v>
      </c>
      <c r="C101" s="0" t="n">
        <v>11</v>
      </c>
      <c r="D101" s="0" t="s">
        <v>191</v>
      </c>
      <c r="E101" s="0" t="s">
        <v>86</v>
      </c>
      <c r="F101" s="37" t="n">
        <v>41275</v>
      </c>
      <c r="G101" s="38" t="n">
        <v>5778330.33</v>
      </c>
    </row>
    <row r="102" customFormat="false" ht="15" hidden="false" customHeight="false" outlineLevel="0" collapsed="false">
      <c r="A102" s="0" t="s">
        <v>95</v>
      </c>
      <c r="C102" s="0" t="n">
        <v>12</v>
      </c>
      <c r="D102" s="0" t="s">
        <v>191</v>
      </c>
      <c r="E102" s="0" t="s">
        <v>86</v>
      </c>
      <c r="F102" s="37" t="n">
        <v>41183</v>
      </c>
      <c r="G102" s="38" t="n">
        <v>4468726.28</v>
      </c>
    </row>
    <row r="103" customFormat="false" ht="15" hidden="false" customHeight="false" outlineLevel="0" collapsed="false">
      <c r="A103" s="0" t="s">
        <v>95</v>
      </c>
      <c r="C103" s="0" t="n">
        <v>12</v>
      </c>
      <c r="D103" s="0" t="s">
        <v>191</v>
      </c>
      <c r="E103" s="0" t="s">
        <v>86</v>
      </c>
      <c r="F103" s="37" t="n">
        <v>41214</v>
      </c>
      <c r="G103" s="38" t="n">
        <v>5271178.51</v>
      </c>
    </row>
    <row r="104" customFormat="false" ht="15" hidden="false" customHeight="false" outlineLevel="0" collapsed="false">
      <c r="A104" s="0" t="s">
        <v>95</v>
      </c>
      <c r="C104" s="0" t="n">
        <v>12</v>
      </c>
      <c r="D104" s="0" t="s">
        <v>191</v>
      </c>
      <c r="E104" s="0" t="s">
        <v>86</v>
      </c>
      <c r="F104" s="37" t="n">
        <v>41244</v>
      </c>
      <c r="G104" s="38" t="n">
        <v>5931633.74</v>
      </c>
    </row>
    <row r="105" customFormat="false" ht="15" hidden="false" customHeight="false" outlineLevel="0" collapsed="false">
      <c r="A105" s="0" t="s">
        <v>95</v>
      </c>
      <c r="C105" s="0" t="n">
        <v>12</v>
      </c>
      <c r="D105" s="0" t="s">
        <v>191</v>
      </c>
      <c r="E105" s="0" t="s">
        <v>86</v>
      </c>
      <c r="F105" s="37" t="n">
        <v>41275</v>
      </c>
      <c r="G105" s="38" t="n">
        <v>4223321.74</v>
      </c>
    </row>
    <row r="106" customFormat="false" ht="15" hidden="false" customHeight="false" outlineLevel="0" collapsed="false">
      <c r="A106" s="0" t="s">
        <v>95</v>
      </c>
      <c r="C106" s="0" t="n">
        <v>13</v>
      </c>
      <c r="D106" s="0" t="s">
        <v>191</v>
      </c>
      <c r="E106" s="0" t="s">
        <v>86</v>
      </c>
      <c r="F106" s="37" t="n">
        <v>41183</v>
      </c>
      <c r="G106" s="38" t="n">
        <v>9279055.67</v>
      </c>
    </row>
    <row r="107" customFormat="false" ht="15" hidden="false" customHeight="false" outlineLevel="0" collapsed="false">
      <c r="A107" s="0" t="s">
        <v>95</v>
      </c>
      <c r="C107" s="0" t="n">
        <v>13</v>
      </c>
      <c r="D107" s="0" t="s">
        <v>191</v>
      </c>
      <c r="E107" s="0" t="s">
        <v>86</v>
      </c>
      <c r="F107" s="37" t="n">
        <v>41214</v>
      </c>
      <c r="G107" s="38" t="n">
        <v>10154039.42</v>
      </c>
    </row>
    <row r="108" customFormat="false" ht="15" hidden="false" customHeight="false" outlineLevel="0" collapsed="false">
      <c r="A108" s="0" t="s">
        <v>95</v>
      </c>
      <c r="C108" s="0" t="n">
        <v>13</v>
      </c>
      <c r="D108" s="0" t="s">
        <v>191</v>
      </c>
      <c r="E108" s="0" t="s">
        <v>86</v>
      </c>
      <c r="F108" s="37" t="n">
        <v>41244</v>
      </c>
      <c r="G108" s="38" t="n">
        <v>12244445.36</v>
      </c>
    </row>
    <row r="109" customFormat="false" ht="15" hidden="false" customHeight="false" outlineLevel="0" collapsed="false">
      <c r="A109" s="0" t="s">
        <v>95</v>
      </c>
      <c r="C109" s="0" t="n">
        <v>13</v>
      </c>
      <c r="D109" s="0" t="s">
        <v>191</v>
      </c>
      <c r="E109" s="0" t="s">
        <v>86</v>
      </c>
      <c r="F109" s="37" t="n">
        <v>41275</v>
      </c>
      <c r="G109" s="38" t="n">
        <v>8486947.97</v>
      </c>
    </row>
    <row r="110" customFormat="false" ht="15" hidden="false" customHeight="false" outlineLevel="0" collapsed="false">
      <c r="A110" s="0" t="s">
        <v>95</v>
      </c>
      <c r="C110" s="0" t="n">
        <v>14</v>
      </c>
      <c r="D110" s="0" t="s">
        <v>191</v>
      </c>
      <c r="E110" s="0" t="s">
        <v>86</v>
      </c>
      <c r="F110" s="37" t="n">
        <v>41183</v>
      </c>
      <c r="G110" s="38" t="n">
        <v>8239026.27</v>
      </c>
    </row>
    <row r="111" customFormat="false" ht="15" hidden="false" customHeight="false" outlineLevel="0" collapsed="false">
      <c r="A111" s="0" t="s">
        <v>95</v>
      </c>
      <c r="C111" s="0" t="n">
        <v>14</v>
      </c>
      <c r="D111" s="0" t="s">
        <v>191</v>
      </c>
      <c r="E111" s="0" t="s">
        <v>86</v>
      </c>
      <c r="F111" s="37" t="n">
        <v>41214</v>
      </c>
      <c r="G111" s="38" t="n">
        <v>8737084.23</v>
      </c>
    </row>
    <row r="112" customFormat="false" ht="15" hidden="false" customHeight="false" outlineLevel="0" collapsed="false">
      <c r="A112" s="0" t="s">
        <v>95</v>
      </c>
      <c r="C112" s="0" t="n">
        <v>14</v>
      </c>
      <c r="D112" s="0" t="s">
        <v>191</v>
      </c>
      <c r="E112" s="0" t="s">
        <v>86</v>
      </c>
      <c r="F112" s="37" t="n">
        <v>41244</v>
      </c>
      <c r="G112" s="38" t="n">
        <v>10314395.01</v>
      </c>
    </row>
    <row r="113" customFormat="false" ht="15" hidden="false" customHeight="false" outlineLevel="0" collapsed="false">
      <c r="A113" s="0" t="s">
        <v>95</v>
      </c>
      <c r="C113" s="0" t="n">
        <v>14</v>
      </c>
      <c r="D113" s="0" t="s">
        <v>191</v>
      </c>
      <c r="E113" s="0" t="s">
        <v>86</v>
      </c>
      <c r="F113" s="37" t="n">
        <v>41275</v>
      </c>
      <c r="G113" s="38" t="n">
        <v>7117942.37</v>
      </c>
    </row>
    <row r="114" customFormat="false" ht="15" hidden="false" customHeight="false" outlineLevel="0" collapsed="false">
      <c r="A114" s="0" t="s">
        <v>95</v>
      </c>
      <c r="C114" s="0" t="n">
        <v>15</v>
      </c>
      <c r="D114" s="0" t="s">
        <v>191</v>
      </c>
      <c r="E114" s="0" t="s">
        <v>86</v>
      </c>
      <c r="F114" s="37" t="n">
        <v>41183</v>
      </c>
      <c r="G114" s="38" t="n">
        <v>2544035.69</v>
      </c>
    </row>
    <row r="115" customFormat="false" ht="15" hidden="false" customHeight="false" outlineLevel="0" collapsed="false">
      <c r="A115" s="0" t="s">
        <v>95</v>
      </c>
      <c r="C115" s="0" t="n">
        <v>15</v>
      </c>
      <c r="D115" s="0" t="s">
        <v>191</v>
      </c>
      <c r="E115" s="0" t="s">
        <v>86</v>
      </c>
      <c r="F115" s="37" t="n">
        <v>41214</v>
      </c>
      <c r="G115" s="38" t="n">
        <v>3098621.59</v>
      </c>
    </row>
    <row r="116" customFormat="false" ht="15" hidden="false" customHeight="false" outlineLevel="0" collapsed="false">
      <c r="A116" s="0" t="s">
        <v>95</v>
      </c>
      <c r="C116" s="0" t="n">
        <v>15</v>
      </c>
      <c r="D116" s="0" t="s">
        <v>191</v>
      </c>
      <c r="E116" s="0" t="s">
        <v>86</v>
      </c>
      <c r="F116" s="37" t="n">
        <v>41244</v>
      </c>
      <c r="G116" s="38" t="n">
        <v>3652772.92</v>
      </c>
    </row>
    <row r="117" customFormat="false" ht="15" hidden="false" customHeight="false" outlineLevel="0" collapsed="false">
      <c r="A117" s="0" t="s">
        <v>95</v>
      </c>
      <c r="C117" s="0" t="n">
        <v>15</v>
      </c>
      <c r="D117" s="0" t="s">
        <v>191</v>
      </c>
      <c r="E117" s="0" t="s">
        <v>86</v>
      </c>
      <c r="F117" s="37" t="n">
        <v>41275</v>
      </c>
      <c r="G117" s="38" t="n">
        <v>2130260.86</v>
      </c>
    </row>
    <row r="118" customFormat="false" ht="15" hidden="false" customHeight="false" outlineLevel="0" collapsed="false">
      <c r="A118" s="0" t="s">
        <v>95</v>
      </c>
      <c r="C118" s="0" t="n">
        <v>16</v>
      </c>
      <c r="D118" s="0" t="s">
        <v>191</v>
      </c>
      <c r="E118" s="0" t="s">
        <v>86</v>
      </c>
      <c r="F118" s="37" t="n">
        <v>41183</v>
      </c>
      <c r="G118" s="38" t="n">
        <v>2311603.3</v>
      </c>
    </row>
    <row r="119" customFormat="false" ht="15" hidden="false" customHeight="false" outlineLevel="0" collapsed="false">
      <c r="A119" s="0" t="s">
        <v>95</v>
      </c>
      <c r="C119" s="0" t="n">
        <v>16</v>
      </c>
      <c r="D119" s="0" t="s">
        <v>191</v>
      </c>
      <c r="E119" s="0" t="s">
        <v>86</v>
      </c>
      <c r="F119" s="37" t="n">
        <v>41214</v>
      </c>
      <c r="G119" s="38" t="n">
        <v>2424519.36</v>
      </c>
    </row>
    <row r="120" customFormat="false" ht="15" hidden="false" customHeight="false" outlineLevel="0" collapsed="false">
      <c r="A120" s="0" t="s">
        <v>95</v>
      </c>
      <c r="C120" s="0" t="n">
        <v>16</v>
      </c>
      <c r="D120" s="0" t="s">
        <v>191</v>
      </c>
      <c r="E120" s="0" t="s">
        <v>86</v>
      </c>
      <c r="F120" s="37" t="n">
        <v>41244</v>
      </c>
      <c r="G120" s="38" t="n">
        <v>3165198.66</v>
      </c>
    </row>
    <row r="121" customFormat="false" ht="15" hidden="false" customHeight="false" outlineLevel="0" collapsed="false">
      <c r="A121" s="0" t="s">
        <v>95</v>
      </c>
      <c r="C121" s="0" t="n">
        <v>16</v>
      </c>
      <c r="D121" s="0" t="s">
        <v>191</v>
      </c>
      <c r="E121" s="0" t="s">
        <v>86</v>
      </c>
      <c r="F121" s="37" t="n">
        <v>41275</v>
      </c>
      <c r="G121" s="38" t="n">
        <v>2236639.92</v>
      </c>
    </row>
    <row r="122" customFormat="false" ht="15" hidden="false" customHeight="false" outlineLevel="0" collapsed="false">
      <c r="A122" s="0" t="s">
        <v>95</v>
      </c>
      <c r="C122" s="0" t="n">
        <v>17</v>
      </c>
      <c r="D122" s="0" t="s">
        <v>191</v>
      </c>
      <c r="E122" s="0" t="s">
        <v>86</v>
      </c>
      <c r="F122" s="37" t="n">
        <v>41183</v>
      </c>
      <c r="G122" s="38" t="n">
        <v>4353509.24</v>
      </c>
    </row>
    <row r="123" customFormat="false" ht="15" hidden="false" customHeight="false" outlineLevel="0" collapsed="false">
      <c r="A123" s="0" t="s">
        <v>95</v>
      </c>
      <c r="C123" s="0" t="n">
        <v>17</v>
      </c>
      <c r="D123" s="0" t="s">
        <v>191</v>
      </c>
      <c r="E123" s="0" t="s">
        <v>86</v>
      </c>
      <c r="F123" s="37" t="n">
        <v>41214</v>
      </c>
      <c r="G123" s="38" t="n">
        <v>4581255.24</v>
      </c>
    </row>
    <row r="124" customFormat="false" ht="15" hidden="false" customHeight="false" outlineLevel="0" collapsed="false">
      <c r="A124" s="0" t="s">
        <v>95</v>
      </c>
      <c r="C124" s="0" t="n">
        <v>17</v>
      </c>
      <c r="D124" s="0" t="s">
        <v>191</v>
      </c>
      <c r="E124" s="0" t="s">
        <v>86</v>
      </c>
      <c r="F124" s="37" t="n">
        <v>41244</v>
      </c>
      <c r="G124" s="38" t="n">
        <v>4937486.84</v>
      </c>
    </row>
    <row r="125" customFormat="false" ht="15" hidden="false" customHeight="false" outlineLevel="0" collapsed="false">
      <c r="A125" s="0" t="s">
        <v>95</v>
      </c>
      <c r="C125" s="0" t="n">
        <v>17</v>
      </c>
      <c r="D125" s="0" t="s">
        <v>191</v>
      </c>
      <c r="E125" s="0" t="s">
        <v>86</v>
      </c>
      <c r="F125" s="37" t="n">
        <v>41275</v>
      </c>
      <c r="G125" s="38" t="n">
        <v>4310136.13</v>
      </c>
    </row>
    <row r="126" customFormat="false" ht="15" hidden="false" customHeight="false" outlineLevel="0" collapsed="false">
      <c r="A126" s="0" t="s">
        <v>95</v>
      </c>
      <c r="C126" s="0" t="n">
        <v>18</v>
      </c>
      <c r="D126" s="0" t="s">
        <v>191</v>
      </c>
      <c r="E126" s="0" t="s">
        <v>86</v>
      </c>
      <c r="F126" s="37" t="n">
        <v>41183</v>
      </c>
      <c r="G126" s="38" t="n">
        <v>4907833.47</v>
      </c>
    </row>
    <row r="127" customFormat="false" ht="15" hidden="false" customHeight="false" outlineLevel="0" collapsed="false">
      <c r="A127" s="0" t="s">
        <v>95</v>
      </c>
      <c r="C127" s="0" t="n">
        <v>18</v>
      </c>
      <c r="D127" s="0" t="s">
        <v>191</v>
      </c>
      <c r="E127" s="0" t="s">
        <v>86</v>
      </c>
      <c r="F127" s="37" t="n">
        <v>41214</v>
      </c>
      <c r="G127" s="38" t="n">
        <v>5589410.06</v>
      </c>
    </row>
    <row r="128" customFormat="false" ht="15" hidden="false" customHeight="false" outlineLevel="0" collapsed="false">
      <c r="A128" s="0" t="s">
        <v>95</v>
      </c>
      <c r="C128" s="0" t="n">
        <v>18</v>
      </c>
      <c r="D128" s="0" t="s">
        <v>191</v>
      </c>
      <c r="E128" s="0" t="s">
        <v>86</v>
      </c>
      <c r="F128" s="37" t="n">
        <v>41244</v>
      </c>
      <c r="G128" s="38" t="n">
        <v>6676404.8</v>
      </c>
    </row>
    <row r="129" customFormat="false" ht="15" hidden="false" customHeight="false" outlineLevel="0" collapsed="false">
      <c r="A129" s="0" t="s">
        <v>95</v>
      </c>
      <c r="C129" s="0" t="n">
        <v>18</v>
      </c>
      <c r="D129" s="0" t="s">
        <v>191</v>
      </c>
      <c r="E129" s="0" t="s">
        <v>86</v>
      </c>
      <c r="F129" s="37" t="n">
        <v>41275</v>
      </c>
      <c r="G129" s="38" t="n">
        <v>4364701.51</v>
      </c>
    </row>
    <row r="130" customFormat="false" ht="15" hidden="false" customHeight="false" outlineLevel="0" collapsed="false">
      <c r="A130" s="0" t="s">
        <v>95</v>
      </c>
      <c r="C130" s="0" t="n">
        <v>19</v>
      </c>
      <c r="D130" s="0" t="s">
        <v>191</v>
      </c>
      <c r="E130" s="0" t="s">
        <v>86</v>
      </c>
      <c r="F130" s="37" t="n">
        <v>41183</v>
      </c>
      <c r="G130" s="38" t="n">
        <v>6184134.74</v>
      </c>
    </row>
    <row r="131" customFormat="false" ht="15" hidden="false" customHeight="false" outlineLevel="0" collapsed="false">
      <c r="A131" s="0" t="s">
        <v>95</v>
      </c>
      <c r="C131" s="0" t="n">
        <v>19</v>
      </c>
      <c r="D131" s="0" t="s">
        <v>191</v>
      </c>
      <c r="E131" s="0" t="s">
        <v>86</v>
      </c>
      <c r="F131" s="37" t="n">
        <v>41214</v>
      </c>
      <c r="G131" s="38" t="n">
        <v>6792338.61</v>
      </c>
    </row>
    <row r="132" customFormat="false" ht="15" hidden="false" customHeight="false" outlineLevel="0" collapsed="false">
      <c r="A132" s="0" t="s">
        <v>95</v>
      </c>
      <c r="C132" s="0" t="n">
        <v>19</v>
      </c>
      <c r="D132" s="0" t="s">
        <v>191</v>
      </c>
      <c r="E132" s="0" t="s">
        <v>86</v>
      </c>
      <c r="F132" s="37" t="n">
        <v>41244</v>
      </c>
      <c r="G132" s="38" t="n">
        <v>8053323.99</v>
      </c>
    </row>
    <row r="133" customFormat="false" ht="15" hidden="false" customHeight="false" outlineLevel="0" collapsed="false">
      <c r="A133" s="0" t="s">
        <v>95</v>
      </c>
      <c r="C133" s="0" t="n">
        <v>19</v>
      </c>
      <c r="D133" s="0" t="s">
        <v>191</v>
      </c>
      <c r="E133" s="0" t="s">
        <v>86</v>
      </c>
      <c r="F133" s="37" t="n">
        <v>41275</v>
      </c>
      <c r="G133" s="38" t="n">
        <v>5551176.11</v>
      </c>
    </row>
    <row r="134" customFormat="false" ht="15" hidden="false" customHeight="false" outlineLevel="0" collapsed="false">
      <c r="A134" s="0" t="s">
        <v>95</v>
      </c>
      <c r="C134" s="0" t="n">
        <v>20</v>
      </c>
      <c r="D134" s="0" t="s">
        <v>191</v>
      </c>
      <c r="E134" s="0" t="s">
        <v>86</v>
      </c>
      <c r="F134" s="37" t="n">
        <v>41183</v>
      </c>
      <c r="G134" s="38" t="n">
        <v>9668740.62</v>
      </c>
    </row>
    <row r="135" customFormat="false" ht="15" hidden="false" customHeight="false" outlineLevel="0" collapsed="false">
      <c r="A135" s="0" t="s">
        <v>95</v>
      </c>
      <c r="C135" s="0" t="n">
        <v>20</v>
      </c>
      <c r="D135" s="0" t="s">
        <v>191</v>
      </c>
      <c r="E135" s="0" t="s">
        <v>86</v>
      </c>
      <c r="F135" s="37" t="n">
        <v>41214</v>
      </c>
      <c r="G135" s="38" t="n">
        <v>10707607.92</v>
      </c>
    </row>
    <row r="136" customFormat="false" ht="15" hidden="false" customHeight="false" outlineLevel="0" collapsed="false">
      <c r="A136" s="0" t="s">
        <v>95</v>
      </c>
      <c r="C136" s="0" t="n">
        <v>20</v>
      </c>
      <c r="D136" s="0" t="s">
        <v>191</v>
      </c>
      <c r="E136" s="0" t="s">
        <v>86</v>
      </c>
      <c r="F136" s="37" t="n">
        <v>41244</v>
      </c>
      <c r="G136" s="38" t="n">
        <v>12321750.55</v>
      </c>
    </row>
    <row r="137" customFormat="false" ht="15" hidden="false" customHeight="false" outlineLevel="0" collapsed="false">
      <c r="A137" s="0" t="s">
        <v>95</v>
      </c>
      <c r="C137" s="0" t="n">
        <v>20</v>
      </c>
      <c r="D137" s="0" t="s">
        <v>191</v>
      </c>
      <c r="E137" s="0" t="s">
        <v>86</v>
      </c>
      <c r="F137" s="37" t="n">
        <v>41275</v>
      </c>
      <c r="G137" s="38" t="n">
        <v>8850932.37</v>
      </c>
    </row>
    <row r="138" customFormat="false" ht="15" hidden="false" customHeight="false" outlineLevel="0" collapsed="false">
      <c r="A138" s="0" t="s">
        <v>95</v>
      </c>
      <c r="C138" s="0" t="n">
        <v>21</v>
      </c>
      <c r="D138" s="0" t="s">
        <v>191</v>
      </c>
      <c r="E138" s="0" t="s">
        <v>86</v>
      </c>
      <c r="F138" s="37" t="n">
        <v>41183</v>
      </c>
      <c r="G138" s="38" t="n">
        <v>2976067.52</v>
      </c>
    </row>
    <row r="139" customFormat="false" ht="15" hidden="false" customHeight="false" outlineLevel="0" collapsed="false">
      <c r="A139" s="0" t="s">
        <v>95</v>
      </c>
      <c r="C139" s="0" t="n">
        <v>21</v>
      </c>
      <c r="D139" s="0" t="s">
        <v>191</v>
      </c>
      <c r="E139" s="0" t="s">
        <v>86</v>
      </c>
      <c r="F139" s="37" t="n">
        <v>41214</v>
      </c>
      <c r="G139" s="38" t="n">
        <v>3534065.91</v>
      </c>
    </row>
    <row r="140" customFormat="false" ht="15" hidden="false" customHeight="false" outlineLevel="0" collapsed="false">
      <c r="A140" s="0" t="s">
        <v>95</v>
      </c>
      <c r="C140" s="0" t="n">
        <v>21</v>
      </c>
      <c r="D140" s="0" t="s">
        <v>191</v>
      </c>
      <c r="E140" s="0" t="s">
        <v>86</v>
      </c>
      <c r="F140" s="37" t="n">
        <v>41244</v>
      </c>
      <c r="G140" s="38" t="n">
        <v>4212261.31</v>
      </c>
    </row>
    <row r="141" customFormat="false" ht="15" hidden="false" customHeight="false" outlineLevel="0" collapsed="false">
      <c r="A141" s="0" t="s">
        <v>95</v>
      </c>
      <c r="C141" s="0" t="n">
        <v>21</v>
      </c>
      <c r="D141" s="0" t="s">
        <v>191</v>
      </c>
      <c r="E141" s="0" t="s">
        <v>86</v>
      </c>
      <c r="F141" s="37" t="n">
        <v>41275</v>
      </c>
      <c r="G141" s="38" t="n">
        <v>2690756.79</v>
      </c>
    </row>
    <row r="142" customFormat="false" ht="15" hidden="false" customHeight="false" outlineLevel="0" collapsed="false">
      <c r="A142" s="0" t="s">
        <v>95</v>
      </c>
      <c r="C142" s="0" t="n">
        <v>22</v>
      </c>
      <c r="D142" s="0" t="s">
        <v>191</v>
      </c>
      <c r="E142" s="0" t="s">
        <v>86</v>
      </c>
      <c r="F142" s="37" t="n">
        <v>41183</v>
      </c>
      <c r="G142" s="38" t="n">
        <v>4566057.03</v>
      </c>
    </row>
    <row r="143" customFormat="false" ht="15" hidden="false" customHeight="false" outlineLevel="0" collapsed="false">
      <c r="A143" s="0" t="s">
        <v>95</v>
      </c>
      <c r="C143" s="0" t="n">
        <v>22</v>
      </c>
      <c r="D143" s="0" t="s">
        <v>191</v>
      </c>
      <c r="E143" s="0" t="s">
        <v>86</v>
      </c>
      <c r="F143" s="37" t="n">
        <v>41214</v>
      </c>
      <c r="G143" s="38" t="n">
        <v>5143891.73</v>
      </c>
    </row>
    <row r="144" customFormat="false" ht="15" hidden="false" customHeight="false" outlineLevel="0" collapsed="false">
      <c r="A144" s="0" t="s">
        <v>95</v>
      </c>
      <c r="C144" s="0" t="n">
        <v>22</v>
      </c>
      <c r="D144" s="0" t="s">
        <v>191</v>
      </c>
      <c r="E144" s="0" t="s">
        <v>86</v>
      </c>
      <c r="F144" s="37" t="n">
        <v>41244</v>
      </c>
      <c r="G144" s="38" t="n">
        <v>6168265.95</v>
      </c>
    </row>
    <row r="145" customFormat="false" ht="15" hidden="false" customHeight="false" outlineLevel="0" collapsed="false">
      <c r="A145" s="0" t="s">
        <v>95</v>
      </c>
      <c r="C145" s="0" t="n">
        <v>22</v>
      </c>
      <c r="D145" s="0" t="s">
        <v>191</v>
      </c>
      <c r="E145" s="0" t="s">
        <v>86</v>
      </c>
      <c r="F145" s="37" t="n">
        <v>41275</v>
      </c>
      <c r="G145" s="38" t="n">
        <v>3916802.15</v>
      </c>
    </row>
    <row r="146" customFormat="false" ht="15" hidden="false" customHeight="false" outlineLevel="0" collapsed="false">
      <c r="A146" s="0" t="s">
        <v>95</v>
      </c>
      <c r="C146" s="0" t="n">
        <v>23</v>
      </c>
      <c r="D146" s="0" t="s">
        <v>191</v>
      </c>
      <c r="E146" s="0" t="s">
        <v>86</v>
      </c>
      <c r="F146" s="37" t="n">
        <v>41183</v>
      </c>
      <c r="G146" s="38" t="n">
        <v>6485697.94</v>
      </c>
    </row>
    <row r="147" customFormat="false" ht="15" hidden="false" customHeight="false" outlineLevel="0" collapsed="false">
      <c r="A147" s="0" t="s">
        <v>95</v>
      </c>
      <c r="C147" s="0" t="n">
        <v>23</v>
      </c>
      <c r="D147" s="0" t="s">
        <v>191</v>
      </c>
      <c r="E147" s="0" t="s">
        <v>86</v>
      </c>
      <c r="F147" s="37" t="n">
        <v>41214</v>
      </c>
      <c r="G147" s="38" t="n">
        <v>7097782.84</v>
      </c>
    </row>
    <row r="148" customFormat="false" ht="15" hidden="false" customHeight="false" outlineLevel="0" collapsed="false">
      <c r="A148" s="0" t="s">
        <v>95</v>
      </c>
      <c r="C148" s="0" t="n">
        <v>23</v>
      </c>
      <c r="D148" s="0" t="s">
        <v>191</v>
      </c>
      <c r="E148" s="0" t="s">
        <v>86</v>
      </c>
      <c r="F148" s="37" t="n">
        <v>41244</v>
      </c>
      <c r="G148" s="38" t="n">
        <v>8838591.27</v>
      </c>
    </row>
    <row r="149" customFormat="false" ht="15" hidden="false" customHeight="false" outlineLevel="0" collapsed="false">
      <c r="A149" s="0" t="s">
        <v>95</v>
      </c>
      <c r="C149" s="0" t="n">
        <v>23</v>
      </c>
      <c r="D149" s="0" t="s">
        <v>191</v>
      </c>
      <c r="E149" s="0" t="s">
        <v>86</v>
      </c>
      <c r="F149" s="37" t="n">
        <v>41275</v>
      </c>
      <c r="G149" s="38" t="n">
        <v>5165391.07</v>
      </c>
    </row>
    <row r="150" customFormat="false" ht="15" hidden="false" customHeight="false" outlineLevel="0" collapsed="false">
      <c r="A150" s="0" t="s">
        <v>95</v>
      </c>
      <c r="C150" s="0" t="n">
        <v>24</v>
      </c>
      <c r="D150" s="0" t="s">
        <v>191</v>
      </c>
      <c r="E150" s="0" t="s">
        <v>86</v>
      </c>
      <c r="F150" s="37" t="n">
        <v>41183</v>
      </c>
      <c r="G150" s="38" t="n">
        <v>6086713.36</v>
      </c>
    </row>
    <row r="151" customFormat="false" ht="15" hidden="false" customHeight="false" outlineLevel="0" collapsed="false">
      <c r="A151" s="0" t="s">
        <v>95</v>
      </c>
      <c r="C151" s="0" t="n">
        <v>24</v>
      </c>
      <c r="D151" s="0" t="s">
        <v>191</v>
      </c>
      <c r="E151" s="0" t="s">
        <v>86</v>
      </c>
      <c r="F151" s="37" t="n">
        <v>41214</v>
      </c>
      <c r="G151" s="38" t="n">
        <v>6401050.84</v>
      </c>
    </row>
    <row r="152" customFormat="false" ht="15" hidden="false" customHeight="false" outlineLevel="0" collapsed="false">
      <c r="A152" s="0" t="s">
        <v>95</v>
      </c>
      <c r="C152" s="0" t="n">
        <v>24</v>
      </c>
      <c r="D152" s="0" t="s">
        <v>191</v>
      </c>
      <c r="E152" s="0" t="s">
        <v>86</v>
      </c>
      <c r="F152" s="37" t="n">
        <v>41244</v>
      </c>
      <c r="G152" s="38" t="n">
        <v>7446555.64</v>
      </c>
    </row>
    <row r="153" customFormat="false" ht="15" hidden="false" customHeight="false" outlineLevel="0" collapsed="false">
      <c r="A153" s="0" t="s">
        <v>95</v>
      </c>
      <c r="C153" s="0" t="n">
        <v>24</v>
      </c>
      <c r="D153" s="0" t="s">
        <v>191</v>
      </c>
      <c r="E153" s="0" t="s">
        <v>86</v>
      </c>
      <c r="F153" s="37" t="n">
        <v>41275</v>
      </c>
      <c r="G153" s="38" t="n">
        <v>5293389.32</v>
      </c>
    </row>
    <row r="154" customFormat="false" ht="15" hidden="false" customHeight="false" outlineLevel="0" collapsed="false">
      <c r="A154" s="0" t="s">
        <v>95</v>
      </c>
      <c r="C154" s="0" t="n">
        <v>25</v>
      </c>
      <c r="D154" s="0" t="s">
        <v>191</v>
      </c>
      <c r="E154" s="0" t="s">
        <v>86</v>
      </c>
      <c r="F154" s="37" t="n">
        <v>41183</v>
      </c>
      <c r="G154" s="38" t="n">
        <v>3178257.94</v>
      </c>
    </row>
    <row r="155" customFormat="false" ht="15" hidden="false" customHeight="false" outlineLevel="0" collapsed="false">
      <c r="A155" s="0" t="s">
        <v>95</v>
      </c>
      <c r="C155" s="0" t="n">
        <v>25</v>
      </c>
      <c r="D155" s="0" t="s">
        <v>191</v>
      </c>
      <c r="E155" s="0" t="s">
        <v>86</v>
      </c>
      <c r="F155" s="37" t="n">
        <v>41214</v>
      </c>
      <c r="G155" s="38" t="n">
        <v>3763877</v>
      </c>
    </row>
    <row r="156" customFormat="false" ht="15" hidden="false" customHeight="false" outlineLevel="0" collapsed="false">
      <c r="A156" s="0" t="s">
        <v>95</v>
      </c>
      <c r="C156" s="0" t="n">
        <v>25</v>
      </c>
      <c r="D156" s="0" t="s">
        <v>191</v>
      </c>
      <c r="E156" s="0" t="s">
        <v>86</v>
      </c>
      <c r="F156" s="37" t="n">
        <v>41244</v>
      </c>
      <c r="G156" s="38" t="n">
        <v>4420295.04</v>
      </c>
    </row>
    <row r="157" customFormat="false" ht="15" hidden="false" customHeight="false" outlineLevel="0" collapsed="false">
      <c r="A157" s="0" t="s">
        <v>95</v>
      </c>
      <c r="C157" s="0" t="n">
        <v>25</v>
      </c>
      <c r="D157" s="0" t="s">
        <v>191</v>
      </c>
      <c r="E157" s="0" t="s">
        <v>86</v>
      </c>
      <c r="F157" s="37" t="n">
        <v>41275</v>
      </c>
      <c r="G157" s="38" t="n">
        <v>2833857.8</v>
      </c>
    </row>
    <row r="158" customFormat="false" ht="15" hidden="false" customHeight="false" outlineLevel="0" collapsed="false">
      <c r="A158" s="0" t="s">
        <v>95</v>
      </c>
      <c r="C158" s="0" t="n">
        <v>26</v>
      </c>
      <c r="D158" s="0" t="s">
        <v>191</v>
      </c>
      <c r="E158" s="0" t="s">
        <v>86</v>
      </c>
      <c r="F158" s="37" t="n">
        <v>41183</v>
      </c>
      <c r="G158" s="38" t="n">
        <v>4639846.39</v>
      </c>
    </row>
    <row r="159" customFormat="false" ht="15" hidden="false" customHeight="false" outlineLevel="0" collapsed="false">
      <c r="A159" s="0" t="s">
        <v>95</v>
      </c>
      <c r="C159" s="0" t="n">
        <v>26</v>
      </c>
      <c r="D159" s="0" t="s">
        <v>191</v>
      </c>
      <c r="E159" s="0" t="s">
        <v>86</v>
      </c>
      <c r="F159" s="37" t="n">
        <v>41214</v>
      </c>
      <c r="G159" s="38" t="n">
        <v>4748863.26</v>
      </c>
    </row>
    <row r="160" customFormat="false" ht="15" hidden="false" customHeight="false" outlineLevel="0" collapsed="false">
      <c r="A160" s="0" t="s">
        <v>95</v>
      </c>
      <c r="C160" s="0" t="n">
        <v>26</v>
      </c>
      <c r="D160" s="0" t="s">
        <v>191</v>
      </c>
      <c r="E160" s="0" t="s">
        <v>86</v>
      </c>
      <c r="F160" s="37" t="n">
        <v>41244</v>
      </c>
      <c r="G160" s="38" t="n">
        <v>5447080.74</v>
      </c>
    </row>
    <row r="161" customFormat="false" ht="15" hidden="false" customHeight="false" outlineLevel="0" collapsed="false">
      <c r="A161" s="0" t="s">
        <v>95</v>
      </c>
      <c r="C161" s="0" t="n">
        <v>26</v>
      </c>
      <c r="D161" s="0" t="s">
        <v>191</v>
      </c>
      <c r="E161" s="0" t="s">
        <v>86</v>
      </c>
      <c r="F161" s="37" t="n">
        <v>41275</v>
      </c>
      <c r="G161" s="38" t="n">
        <v>3994485.58</v>
      </c>
    </row>
    <row r="162" customFormat="false" ht="15" hidden="false" customHeight="false" outlineLevel="0" collapsed="false">
      <c r="A162" s="0" t="s">
        <v>95</v>
      </c>
      <c r="C162" s="0" t="n">
        <v>27</v>
      </c>
      <c r="D162" s="0" t="s">
        <v>191</v>
      </c>
      <c r="E162" s="0" t="s">
        <v>86</v>
      </c>
      <c r="F162" s="37" t="n">
        <v>41183</v>
      </c>
      <c r="G162" s="38" t="n">
        <v>7290277.91</v>
      </c>
    </row>
    <row r="163" customFormat="false" ht="15" hidden="false" customHeight="false" outlineLevel="0" collapsed="false">
      <c r="A163" s="0" t="s">
        <v>95</v>
      </c>
      <c r="C163" s="0" t="n">
        <v>27</v>
      </c>
      <c r="D163" s="0" t="s">
        <v>191</v>
      </c>
      <c r="E163" s="0" t="s">
        <v>86</v>
      </c>
      <c r="F163" s="37" t="n">
        <v>41214</v>
      </c>
      <c r="G163" s="38" t="n">
        <v>8069398.73</v>
      </c>
    </row>
    <row r="164" customFormat="false" ht="15" hidden="false" customHeight="false" outlineLevel="0" collapsed="false">
      <c r="A164" s="0" t="s">
        <v>95</v>
      </c>
      <c r="C164" s="0" t="n">
        <v>27</v>
      </c>
      <c r="D164" s="0" t="s">
        <v>191</v>
      </c>
      <c r="E164" s="0" t="s">
        <v>86</v>
      </c>
      <c r="F164" s="37" t="n">
        <v>41244</v>
      </c>
      <c r="G164" s="38" t="n">
        <v>9145782.37</v>
      </c>
    </row>
    <row r="165" customFormat="false" ht="15" hidden="false" customHeight="false" outlineLevel="0" collapsed="false">
      <c r="A165" s="0" t="s">
        <v>95</v>
      </c>
      <c r="C165" s="0" t="n">
        <v>27</v>
      </c>
      <c r="D165" s="0" t="s">
        <v>191</v>
      </c>
      <c r="E165" s="0" t="s">
        <v>86</v>
      </c>
      <c r="F165" s="37" t="n">
        <v>41275</v>
      </c>
      <c r="G165" s="38" t="n">
        <v>6368598.92</v>
      </c>
    </row>
    <row r="166" customFormat="false" ht="15" hidden="false" customHeight="false" outlineLevel="0" collapsed="false">
      <c r="A166" s="0" t="s">
        <v>95</v>
      </c>
      <c r="C166" s="0" t="n">
        <v>28</v>
      </c>
      <c r="D166" s="0" t="s">
        <v>191</v>
      </c>
      <c r="E166" s="0" t="s">
        <v>86</v>
      </c>
      <c r="F166" s="37" t="n">
        <v>41183</v>
      </c>
      <c r="G166" s="38" t="n">
        <v>5886698.59</v>
      </c>
    </row>
    <row r="167" customFormat="false" ht="15" hidden="false" customHeight="false" outlineLevel="0" collapsed="false">
      <c r="A167" s="0" t="s">
        <v>95</v>
      </c>
      <c r="C167" s="0" t="n">
        <v>28</v>
      </c>
      <c r="D167" s="0" t="s">
        <v>191</v>
      </c>
      <c r="E167" s="0" t="s">
        <v>86</v>
      </c>
      <c r="F167" s="37" t="n">
        <v>41214</v>
      </c>
      <c r="G167" s="38" t="n">
        <v>6451159.27</v>
      </c>
    </row>
    <row r="168" customFormat="false" ht="15" hidden="false" customHeight="false" outlineLevel="0" collapsed="false">
      <c r="A168" s="0" t="s">
        <v>95</v>
      </c>
      <c r="C168" s="0" t="n">
        <v>28</v>
      </c>
      <c r="D168" s="0" t="s">
        <v>191</v>
      </c>
      <c r="E168" s="0" t="s">
        <v>86</v>
      </c>
      <c r="F168" s="37" t="n">
        <v>41244</v>
      </c>
      <c r="G168" s="38" t="n">
        <v>6548832.42</v>
      </c>
    </row>
    <row r="169" customFormat="false" ht="15" hidden="false" customHeight="false" outlineLevel="0" collapsed="false">
      <c r="A169" s="0" t="s">
        <v>95</v>
      </c>
      <c r="C169" s="0" t="n">
        <v>28</v>
      </c>
      <c r="D169" s="0" t="s">
        <v>191</v>
      </c>
      <c r="E169" s="0" t="s">
        <v>86</v>
      </c>
      <c r="F169" s="37" t="n">
        <v>41275</v>
      </c>
      <c r="G169" s="38" t="n">
        <v>5543033.91</v>
      </c>
    </row>
    <row r="170" customFormat="false" ht="15" hidden="false" customHeight="false" outlineLevel="0" collapsed="false">
      <c r="A170" s="0" t="s">
        <v>95</v>
      </c>
      <c r="C170" s="0" t="n">
        <v>29</v>
      </c>
      <c r="D170" s="0" t="s">
        <v>191</v>
      </c>
      <c r="E170" s="0" t="s">
        <v>86</v>
      </c>
      <c r="F170" s="37" t="n">
        <v>41183</v>
      </c>
      <c r="G170" s="38" t="n">
        <v>2324213.32</v>
      </c>
    </row>
    <row r="171" customFormat="false" ht="15" hidden="false" customHeight="false" outlineLevel="0" collapsed="false">
      <c r="A171" s="0" t="s">
        <v>95</v>
      </c>
      <c r="C171" s="0" t="n">
        <v>29</v>
      </c>
      <c r="D171" s="0" t="s">
        <v>191</v>
      </c>
      <c r="E171" s="0" t="s">
        <v>86</v>
      </c>
      <c r="F171" s="37" t="n">
        <v>41214</v>
      </c>
      <c r="G171" s="38" t="n">
        <v>2774648.01</v>
      </c>
    </row>
    <row r="172" customFormat="false" ht="15" hidden="false" customHeight="false" outlineLevel="0" collapsed="false">
      <c r="A172" s="0" t="s">
        <v>95</v>
      </c>
      <c r="C172" s="0" t="n">
        <v>29</v>
      </c>
      <c r="D172" s="0" t="s">
        <v>191</v>
      </c>
      <c r="E172" s="0" t="s">
        <v>86</v>
      </c>
      <c r="F172" s="37" t="n">
        <v>41244</v>
      </c>
      <c r="G172" s="38" t="n">
        <v>3236988.86</v>
      </c>
    </row>
    <row r="173" customFormat="false" ht="15" hidden="false" customHeight="false" outlineLevel="0" collapsed="false">
      <c r="A173" s="0" t="s">
        <v>95</v>
      </c>
      <c r="C173" s="0" t="n">
        <v>29</v>
      </c>
      <c r="D173" s="0" t="s">
        <v>191</v>
      </c>
      <c r="E173" s="0" t="s">
        <v>86</v>
      </c>
      <c r="F173" s="37" t="n">
        <v>41275</v>
      </c>
      <c r="G173" s="38" t="n">
        <v>2012977.85</v>
      </c>
    </row>
    <row r="174" customFormat="false" ht="15" hidden="false" customHeight="false" outlineLevel="0" collapsed="false">
      <c r="A174" s="0" t="s">
        <v>95</v>
      </c>
      <c r="C174" s="0" t="n">
        <v>30</v>
      </c>
      <c r="D174" s="0" t="s">
        <v>191</v>
      </c>
      <c r="E174" s="0" t="s">
        <v>86</v>
      </c>
      <c r="F174" s="37" t="n">
        <v>41183</v>
      </c>
      <c r="G174" s="38" t="n">
        <v>1935659.09</v>
      </c>
    </row>
    <row r="175" customFormat="false" ht="15" hidden="false" customHeight="false" outlineLevel="0" collapsed="false">
      <c r="A175" s="0" t="s">
        <v>95</v>
      </c>
      <c r="C175" s="0" t="n">
        <v>30</v>
      </c>
      <c r="D175" s="0" t="s">
        <v>191</v>
      </c>
      <c r="E175" s="0" t="s">
        <v>86</v>
      </c>
      <c r="F175" s="37" t="n">
        <v>41214</v>
      </c>
      <c r="G175" s="38" t="n">
        <v>1905918.87</v>
      </c>
    </row>
    <row r="176" customFormat="false" ht="15" hidden="false" customHeight="false" outlineLevel="0" collapsed="false">
      <c r="A176" s="0" t="s">
        <v>95</v>
      </c>
      <c r="C176" s="0" t="n">
        <v>30</v>
      </c>
      <c r="D176" s="0" t="s">
        <v>191</v>
      </c>
      <c r="E176" s="0" t="s">
        <v>86</v>
      </c>
      <c r="F176" s="37" t="n">
        <v>41244</v>
      </c>
      <c r="G176" s="38" t="n">
        <v>1999129.86</v>
      </c>
    </row>
    <row r="177" customFormat="false" ht="15" hidden="false" customHeight="false" outlineLevel="0" collapsed="false">
      <c r="A177" s="0" t="s">
        <v>95</v>
      </c>
      <c r="C177" s="0" t="n">
        <v>30</v>
      </c>
      <c r="D177" s="0" t="s">
        <v>191</v>
      </c>
      <c r="E177" s="0" t="s">
        <v>86</v>
      </c>
      <c r="F177" s="37" t="n">
        <v>41275</v>
      </c>
      <c r="G177" s="38" t="n">
        <v>2028846.87</v>
      </c>
    </row>
    <row r="178" customFormat="false" ht="15" hidden="false" customHeight="false" outlineLevel="0" collapsed="false">
      <c r="A178" s="0" t="s">
        <v>95</v>
      </c>
      <c r="C178" s="0" t="n">
        <v>31</v>
      </c>
      <c r="D178" s="0" t="s">
        <v>191</v>
      </c>
      <c r="E178" s="0" t="s">
        <v>86</v>
      </c>
      <c r="F178" s="37" t="n">
        <v>41183</v>
      </c>
      <c r="G178" s="38" t="n">
        <v>6179073.99</v>
      </c>
    </row>
    <row r="179" customFormat="false" ht="15" hidden="false" customHeight="false" outlineLevel="0" collapsed="false">
      <c r="A179" s="0" t="s">
        <v>95</v>
      </c>
      <c r="C179" s="0" t="n">
        <v>31</v>
      </c>
      <c r="D179" s="0" t="s">
        <v>191</v>
      </c>
      <c r="E179" s="0" t="s">
        <v>86</v>
      </c>
      <c r="F179" s="37" t="n">
        <v>41214</v>
      </c>
      <c r="G179" s="38" t="n">
        <v>6637449.2</v>
      </c>
    </row>
    <row r="180" customFormat="false" ht="15" hidden="false" customHeight="false" outlineLevel="0" collapsed="false">
      <c r="A180" s="0" t="s">
        <v>95</v>
      </c>
      <c r="C180" s="0" t="n">
        <v>31</v>
      </c>
      <c r="D180" s="0" t="s">
        <v>191</v>
      </c>
      <c r="E180" s="0" t="s">
        <v>86</v>
      </c>
      <c r="F180" s="37" t="n">
        <v>41244</v>
      </c>
      <c r="G180" s="38" t="n">
        <v>7153341.27</v>
      </c>
    </row>
    <row r="181" customFormat="false" ht="15" hidden="false" customHeight="false" outlineLevel="0" collapsed="false">
      <c r="A181" s="0" t="s">
        <v>95</v>
      </c>
      <c r="C181" s="0" t="n">
        <v>31</v>
      </c>
      <c r="D181" s="0" t="s">
        <v>191</v>
      </c>
      <c r="E181" s="0" t="s">
        <v>86</v>
      </c>
      <c r="F181" s="37" t="n">
        <v>41275</v>
      </c>
      <c r="G181" s="38" t="n">
        <v>6011821.49</v>
      </c>
    </row>
    <row r="182" customFormat="false" ht="15" hidden="false" customHeight="false" outlineLevel="0" collapsed="false">
      <c r="A182" s="0" t="s">
        <v>95</v>
      </c>
      <c r="C182" s="0" t="n">
        <v>32</v>
      </c>
      <c r="D182" s="0" t="s">
        <v>191</v>
      </c>
      <c r="E182" s="0" t="s">
        <v>86</v>
      </c>
      <c r="F182" s="37" t="n">
        <v>41183</v>
      </c>
      <c r="G182" s="38" t="n">
        <v>5342715.26</v>
      </c>
    </row>
    <row r="183" customFormat="false" ht="15" hidden="false" customHeight="false" outlineLevel="0" collapsed="false">
      <c r="A183" s="0" t="s">
        <v>95</v>
      </c>
      <c r="C183" s="0" t="n">
        <v>32</v>
      </c>
      <c r="D183" s="0" t="s">
        <v>191</v>
      </c>
      <c r="E183" s="0" t="s">
        <v>86</v>
      </c>
      <c r="F183" s="37" t="n">
        <v>41214</v>
      </c>
      <c r="G183" s="38" t="n">
        <v>5757643.48</v>
      </c>
    </row>
    <row r="184" customFormat="false" ht="15" hidden="false" customHeight="false" outlineLevel="0" collapsed="false">
      <c r="A184" s="0" t="s">
        <v>95</v>
      </c>
      <c r="C184" s="0" t="n">
        <v>32</v>
      </c>
      <c r="D184" s="0" t="s">
        <v>191</v>
      </c>
      <c r="E184" s="0" t="s">
        <v>86</v>
      </c>
      <c r="F184" s="37" t="n">
        <v>41244</v>
      </c>
      <c r="G184" s="38" t="n">
        <v>6735802.48</v>
      </c>
    </row>
    <row r="185" customFormat="false" ht="15" hidden="false" customHeight="false" outlineLevel="0" collapsed="false">
      <c r="A185" s="0" t="s">
        <v>95</v>
      </c>
      <c r="C185" s="0" t="n">
        <v>32</v>
      </c>
      <c r="D185" s="0" t="s">
        <v>191</v>
      </c>
      <c r="E185" s="0" t="s">
        <v>86</v>
      </c>
      <c r="F185" s="37" t="n">
        <v>41275</v>
      </c>
      <c r="G185" s="38" t="n">
        <v>4960448.55</v>
      </c>
    </row>
    <row r="186" customFormat="false" ht="15" hidden="false" customHeight="false" outlineLevel="0" collapsed="false">
      <c r="A186" s="0" t="s">
        <v>95</v>
      </c>
      <c r="C186" s="0" t="n">
        <v>33</v>
      </c>
      <c r="D186" s="0" t="s">
        <v>191</v>
      </c>
      <c r="E186" s="0" t="s">
        <v>86</v>
      </c>
      <c r="F186" s="37" t="n">
        <v>41183</v>
      </c>
      <c r="G186" s="38" t="n">
        <v>1180964.64</v>
      </c>
    </row>
    <row r="187" customFormat="false" ht="15" hidden="false" customHeight="false" outlineLevel="0" collapsed="false">
      <c r="A187" s="0" t="s">
        <v>95</v>
      </c>
      <c r="C187" s="0" t="n">
        <v>33</v>
      </c>
      <c r="D187" s="0" t="s">
        <v>191</v>
      </c>
      <c r="E187" s="0" t="s">
        <v>86</v>
      </c>
      <c r="F187" s="37" t="n">
        <v>41214</v>
      </c>
      <c r="G187" s="38" t="n">
        <v>1149491.25</v>
      </c>
    </row>
    <row r="188" customFormat="false" ht="15" hidden="false" customHeight="false" outlineLevel="0" collapsed="false">
      <c r="A188" s="0" t="s">
        <v>95</v>
      </c>
      <c r="C188" s="0" t="n">
        <v>33</v>
      </c>
      <c r="D188" s="0" t="s">
        <v>191</v>
      </c>
      <c r="E188" s="0" t="s">
        <v>86</v>
      </c>
      <c r="F188" s="37" t="n">
        <v>41244</v>
      </c>
      <c r="G188" s="38" t="n">
        <v>1183015.6</v>
      </c>
    </row>
    <row r="189" customFormat="false" ht="15" hidden="false" customHeight="false" outlineLevel="0" collapsed="false">
      <c r="A189" s="0" t="s">
        <v>95</v>
      </c>
      <c r="C189" s="0" t="n">
        <v>33</v>
      </c>
      <c r="D189" s="0" t="s">
        <v>191</v>
      </c>
      <c r="E189" s="0" t="s">
        <v>86</v>
      </c>
      <c r="F189" s="37" t="n">
        <v>41275</v>
      </c>
      <c r="G189" s="38" t="n">
        <v>1219365.97</v>
      </c>
    </row>
    <row r="190" customFormat="false" ht="15" hidden="false" customHeight="false" outlineLevel="0" collapsed="false">
      <c r="A190" s="0" t="s">
        <v>95</v>
      </c>
      <c r="C190" s="0" t="n">
        <v>34</v>
      </c>
      <c r="D190" s="0" t="s">
        <v>191</v>
      </c>
      <c r="E190" s="0" t="s">
        <v>86</v>
      </c>
      <c r="F190" s="37" t="n">
        <v>41183</v>
      </c>
      <c r="G190" s="38" t="n">
        <v>4385160.54</v>
      </c>
    </row>
    <row r="191" customFormat="false" ht="15" hidden="false" customHeight="false" outlineLevel="0" collapsed="false">
      <c r="A191" s="0" t="s">
        <v>95</v>
      </c>
      <c r="C191" s="0" t="n">
        <v>34</v>
      </c>
      <c r="D191" s="0" t="s">
        <v>191</v>
      </c>
      <c r="E191" s="0" t="s">
        <v>86</v>
      </c>
      <c r="F191" s="37" t="n">
        <v>41214</v>
      </c>
      <c r="G191" s="38" t="n">
        <v>4755701.22</v>
      </c>
    </row>
    <row r="192" customFormat="false" ht="15" hidden="false" customHeight="false" outlineLevel="0" collapsed="false">
      <c r="A192" s="0" t="s">
        <v>95</v>
      </c>
      <c r="C192" s="0" t="n">
        <v>34</v>
      </c>
      <c r="D192" s="0" t="s">
        <v>191</v>
      </c>
      <c r="E192" s="0" t="s">
        <v>86</v>
      </c>
      <c r="F192" s="37" t="n">
        <v>41244</v>
      </c>
      <c r="G192" s="38" t="n">
        <v>5439138.71</v>
      </c>
    </row>
    <row r="193" customFormat="false" ht="15" hidden="false" customHeight="false" outlineLevel="0" collapsed="false">
      <c r="A193" s="0" t="s">
        <v>95</v>
      </c>
      <c r="C193" s="0" t="n">
        <v>34</v>
      </c>
      <c r="D193" s="0" t="s">
        <v>191</v>
      </c>
      <c r="E193" s="0" t="s">
        <v>86</v>
      </c>
      <c r="F193" s="37" t="n">
        <v>41275</v>
      </c>
      <c r="G193" s="38" t="n">
        <v>4227035.17</v>
      </c>
    </row>
    <row r="194" customFormat="false" ht="15" hidden="false" customHeight="false" outlineLevel="0" collapsed="false">
      <c r="A194" s="0" t="s">
        <v>95</v>
      </c>
      <c r="C194" s="0" t="n">
        <v>35</v>
      </c>
      <c r="D194" s="0" t="s">
        <v>191</v>
      </c>
      <c r="E194" s="0" t="s">
        <v>86</v>
      </c>
      <c r="F194" s="37" t="n">
        <v>41183</v>
      </c>
      <c r="G194" s="38" t="n">
        <v>3541277.91</v>
      </c>
    </row>
    <row r="195" customFormat="false" ht="15" hidden="false" customHeight="false" outlineLevel="0" collapsed="false">
      <c r="A195" s="0" t="s">
        <v>95</v>
      </c>
      <c r="C195" s="0" t="n">
        <v>35</v>
      </c>
      <c r="D195" s="0" t="s">
        <v>191</v>
      </c>
      <c r="E195" s="0" t="s">
        <v>86</v>
      </c>
      <c r="F195" s="37" t="n">
        <v>41214</v>
      </c>
      <c r="G195" s="38" t="n">
        <v>4552648.46</v>
      </c>
    </row>
    <row r="196" customFormat="false" ht="15" hidden="false" customHeight="false" outlineLevel="0" collapsed="false">
      <c r="A196" s="0" t="s">
        <v>95</v>
      </c>
      <c r="C196" s="0" t="n">
        <v>35</v>
      </c>
      <c r="D196" s="0" t="s">
        <v>191</v>
      </c>
      <c r="E196" s="0" t="s">
        <v>86</v>
      </c>
      <c r="F196" s="37" t="n">
        <v>41244</v>
      </c>
      <c r="G196" s="38" t="n">
        <v>4980919.25</v>
      </c>
    </row>
    <row r="197" customFormat="false" ht="15" hidden="false" customHeight="false" outlineLevel="0" collapsed="false">
      <c r="A197" s="0" t="s">
        <v>95</v>
      </c>
      <c r="C197" s="0" t="n">
        <v>35</v>
      </c>
      <c r="D197" s="0" t="s">
        <v>191</v>
      </c>
      <c r="E197" s="0" t="s">
        <v>86</v>
      </c>
      <c r="F197" s="37" t="n">
        <v>41275</v>
      </c>
      <c r="G197" s="38" t="n">
        <v>2950047.49</v>
      </c>
    </row>
    <row r="198" customFormat="false" ht="15" hidden="false" customHeight="false" outlineLevel="0" collapsed="false">
      <c r="A198" s="0" t="s">
        <v>95</v>
      </c>
      <c r="C198" s="0" t="n">
        <v>36</v>
      </c>
      <c r="D198" s="0" t="s">
        <v>191</v>
      </c>
      <c r="E198" s="0" t="s">
        <v>86</v>
      </c>
      <c r="F198" s="37" t="n">
        <v>41183</v>
      </c>
      <c r="G198" s="38" t="n">
        <v>1203169.57</v>
      </c>
    </row>
    <row r="199" customFormat="false" ht="15" hidden="false" customHeight="false" outlineLevel="0" collapsed="false">
      <c r="A199" s="0" t="s">
        <v>95</v>
      </c>
      <c r="C199" s="0" t="n">
        <v>36</v>
      </c>
      <c r="D199" s="0" t="s">
        <v>191</v>
      </c>
      <c r="E199" s="0" t="s">
        <v>86</v>
      </c>
      <c r="F199" s="37" t="n">
        <v>41214</v>
      </c>
      <c r="G199" s="38" t="n">
        <v>1141643.6</v>
      </c>
    </row>
    <row r="200" customFormat="false" ht="15" hidden="false" customHeight="false" outlineLevel="0" collapsed="false">
      <c r="A200" s="0" t="s">
        <v>95</v>
      </c>
      <c r="C200" s="0" t="n">
        <v>36</v>
      </c>
      <c r="D200" s="0" t="s">
        <v>191</v>
      </c>
      <c r="E200" s="0" t="s">
        <v>86</v>
      </c>
      <c r="F200" s="37" t="n">
        <v>41244</v>
      </c>
      <c r="G200" s="38" t="n">
        <v>1153651.29</v>
      </c>
    </row>
    <row r="201" customFormat="false" ht="15" hidden="false" customHeight="false" outlineLevel="0" collapsed="false">
      <c r="A201" s="0" t="s">
        <v>95</v>
      </c>
      <c r="C201" s="0" t="n">
        <v>36</v>
      </c>
      <c r="D201" s="0" t="s">
        <v>191</v>
      </c>
      <c r="E201" s="0" t="s">
        <v>86</v>
      </c>
      <c r="F201" s="37" t="n">
        <v>41275</v>
      </c>
      <c r="G201" s="38" t="n">
        <v>1171056.91</v>
      </c>
    </row>
    <row r="202" customFormat="false" ht="15" hidden="false" customHeight="false" outlineLevel="0" collapsed="false">
      <c r="A202" s="0" t="s">
        <v>95</v>
      </c>
      <c r="C202" s="0" t="n">
        <v>37</v>
      </c>
      <c r="D202" s="0" t="s">
        <v>191</v>
      </c>
      <c r="E202" s="0" t="s">
        <v>86</v>
      </c>
      <c r="F202" s="37" t="n">
        <v>41183</v>
      </c>
      <c r="G202" s="38" t="n">
        <v>2347253.91</v>
      </c>
    </row>
    <row r="203" customFormat="false" ht="15" hidden="false" customHeight="false" outlineLevel="0" collapsed="false">
      <c r="A203" s="0" t="s">
        <v>95</v>
      </c>
      <c r="C203" s="0" t="n">
        <v>37</v>
      </c>
      <c r="D203" s="0" t="s">
        <v>191</v>
      </c>
      <c r="E203" s="0" t="s">
        <v>86</v>
      </c>
      <c r="F203" s="37" t="n">
        <v>41214</v>
      </c>
      <c r="G203" s="38" t="n">
        <v>2276939.04</v>
      </c>
    </row>
    <row r="204" customFormat="false" ht="15" hidden="false" customHeight="false" outlineLevel="0" collapsed="false">
      <c r="A204" s="0" t="s">
        <v>95</v>
      </c>
      <c r="C204" s="0" t="n">
        <v>37</v>
      </c>
      <c r="D204" s="0" t="s">
        <v>191</v>
      </c>
      <c r="E204" s="0" t="s">
        <v>86</v>
      </c>
      <c r="F204" s="37" t="n">
        <v>41244</v>
      </c>
      <c r="G204" s="38" t="n">
        <v>2391637.95</v>
      </c>
    </row>
    <row r="205" customFormat="false" ht="15" hidden="false" customHeight="false" outlineLevel="0" collapsed="false">
      <c r="A205" s="0" t="s">
        <v>95</v>
      </c>
      <c r="C205" s="0" t="n">
        <v>37</v>
      </c>
      <c r="D205" s="0" t="s">
        <v>191</v>
      </c>
      <c r="E205" s="0" t="s">
        <v>86</v>
      </c>
      <c r="F205" s="37" t="n">
        <v>41275</v>
      </c>
      <c r="G205" s="38" t="n">
        <v>2433799.89</v>
      </c>
    </row>
    <row r="206" customFormat="false" ht="15" hidden="false" customHeight="false" outlineLevel="0" collapsed="false">
      <c r="A206" s="0" t="s">
        <v>95</v>
      </c>
      <c r="C206" s="0" t="n">
        <v>38</v>
      </c>
      <c r="D206" s="0" t="s">
        <v>191</v>
      </c>
      <c r="E206" s="0" t="s">
        <v>86</v>
      </c>
      <c r="F206" s="37" t="n">
        <v>41183</v>
      </c>
      <c r="G206" s="38" t="n">
        <v>2095779.56</v>
      </c>
    </row>
    <row r="207" customFormat="false" ht="15" hidden="false" customHeight="false" outlineLevel="0" collapsed="false">
      <c r="A207" s="0" t="s">
        <v>95</v>
      </c>
      <c r="C207" s="0" t="n">
        <v>38</v>
      </c>
      <c r="D207" s="0" t="s">
        <v>191</v>
      </c>
      <c r="E207" s="0" t="s">
        <v>86</v>
      </c>
      <c r="F207" s="37" t="n">
        <v>41214</v>
      </c>
      <c r="G207" s="38" t="n">
        <v>2005672.92</v>
      </c>
    </row>
    <row r="208" customFormat="false" ht="15" hidden="false" customHeight="false" outlineLevel="0" collapsed="false">
      <c r="A208" s="0" t="s">
        <v>95</v>
      </c>
      <c r="C208" s="0" t="n">
        <v>38</v>
      </c>
      <c r="D208" s="0" t="s">
        <v>191</v>
      </c>
      <c r="E208" s="0" t="s">
        <v>86</v>
      </c>
      <c r="F208" s="37" t="n">
        <v>41244</v>
      </c>
      <c r="G208" s="38" t="n">
        <v>2060579.13</v>
      </c>
    </row>
    <row r="209" customFormat="false" ht="15" hidden="false" customHeight="false" outlineLevel="0" collapsed="false">
      <c r="A209" s="0" t="s">
        <v>95</v>
      </c>
      <c r="C209" s="0" t="n">
        <v>38</v>
      </c>
      <c r="D209" s="0" t="s">
        <v>191</v>
      </c>
      <c r="E209" s="0" t="s">
        <v>86</v>
      </c>
      <c r="F209" s="37" t="n">
        <v>41275</v>
      </c>
      <c r="G209" s="38" t="n">
        <v>2204769.75</v>
      </c>
    </row>
    <row r="210" customFormat="false" ht="15" hidden="false" customHeight="false" outlineLevel="0" collapsed="false">
      <c r="A210" s="0" t="s">
        <v>95</v>
      </c>
      <c r="C210" s="0" t="n">
        <v>39</v>
      </c>
      <c r="D210" s="0" t="s">
        <v>191</v>
      </c>
      <c r="E210" s="0" t="s">
        <v>86</v>
      </c>
      <c r="F210" s="37" t="n">
        <v>41183</v>
      </c>
      <c r="G210" s="38" t="n">
        <v>7165683.66</v>
      </c>
    </row>
    <row r="211" customFormat="false" ht="15" hidden="false" customHeight="false" outlineLevel="0" collapsed="false">
      <c r="A211" s="0" t="s">
        <v>95</v>
      </c>
      <c r="C211" s="0" t="n">
        <v>39</v>
      </c>
      <c r="D211" s="0" t="s">
        <v>191</v>
      </c>
      <c r="E211" s="0" t="s">
        <v>86</v>
      </c>
      <c r="F211" s="37" t="n">
        <v>41214</v>
      </c>
      <c r="G211" s="38" t="n">
        <v>8199402.59</v>
      </c>
    </row>
    <row r="212" customFormat="false" ht="15" hidden="false" customHeight="false" outlineLevel="0" collapsed="false">
      <c r="A212" s="0" t="s">
        <v>95</v>
      </c>
      <c r="C212" s="0" t="n">
        <v>39</v>
      </c>
      <c r="D212" s="0" t="s">
        <v>191</v>
      </c>
      <c r="E212" s="0" t="s">
        <v>86</v>
      </c>
      <c r="F212" s="37" t="n">
        <v>41244</v>
      </c>
      <c r="G212" s="38" t="n">
        <v>9516603.99</v>
      </c>
    </row>
    <row r="213" customFormat="false" ht="15" hidden="false" customHeight="false" outlineLevel="0" collapsed="false">
      <c r="A213" s="0" t="s">
        <v>95</v>
      </c>
      <c r="C213" s="0" t="n">
        <v>39</v>
      </c>
      <c r="D213" s="0" t="s">
        <v>191</v>
      </c>
      <c r="E213" s="0" t="s">
        <v>86</v>
      </c>
      <c r="F213" s="37" t="n">
        <v>41275</v>
      </c>
      <c r="G213" s="38" t="n">
        <v>6850413.34</v>
      </c>
    </row>
    <row r="214" customFormat="false" ht="15" hidden="false" customHeight="false" outlineLevel="0" collapsed="false">
      <c r="A214" s="0" t="s">
        <v>95</v>
      </c>
      <c r="C214" s="0" t="n">
        <v>40</v>
      </c>
      <c r="D214" s="0" t="s">
        <v>191</v>
      </c>
      <c r="E214" s="0" t="s">
        <v>86</v>
      </c>
      <c r="F214" s="37" t="n">
        <v>41183</v>
      </c>
      <c r="G214" s="38" t="n">
        <v>4452129.46</v>
      </c>
    </row>
    <row r="215" customFormat="false" ht="15" hidden="false" customHeight="false" outlineLevel="0" collapsed="false">
      <c r="A215" s="0" t="s">
        <v>95</v>
      </c>
      <c r="C215" s="0" t="n">
        <v>40</v>
      </c>
      <c r="D215" s="0" t="s">
        <v>191</v>
      </c>
      <c r="E215" s="0" t="s">
        <v>86</v>
      </c>
      <c r="F215" s="37" t="n">
        <v>41214</v>
      </c>
      <c r="G215" s="38" t="n">
        <v>4640886.03</v>
      </c>
    </row>
    <row r="216" customFormat="false" ht="15" hidden="false" customHeight="false" outlineLevel="0" collapsed="false">
      <c r="A216" s="0" t="s">
        <v>95</v>
      </c>
      <c r="C216" s="0" t="n">
        <v>40</v>
      </c>
      <c r="D216" s="0" t="s">
        <v>191</v>
      </c>
      <c r="E216" s="0" t="s">
        <v>86</v>
      </c>
      <c r="F216" s="37" t="n">
        <v>41244</v>
      </c>
      <c r="G216" s="38" t="n">
        <v>5463498.91</v>
      </c>
    </row>
    <row r="217" customFormat="false" ht="15" hidden="false" customHeight="false" outlineLevel="0" collapsed="false">
      <c r="A217" s="0" t="s">
        <v>95</v>
      </c>
      <c r="C217" s="0" t="n">
        <v>40</v>
      </c>
      <c r="D217" s="0" t="s">
        <v>191</v>
      </c>
      <c r="E217" s="0" t="s">
        <v>86</v>
      </c>
      <c r="F217" s="37" t="n">
        <v>41275</v>
      </c>
      <c r="G217" s="38" t="n">
        <v>3850410.67</v>
      </c>
    </row>
    <row r="218" customFormat="false" ht="15" hidden="false" customHeight="false" outlineLevel="0" collapsed="false">
      <c r="A218" s="0" t="s">
        <v>95</v>
      </c>
      <c r="C218" s="0" t="n">
        <v>41</v>
      </c>
      <c r="D218" s="0" t="s">
        <v>191</v>
      </c>
      <c r="E218" s="0" t="s">
        <v>86</v>
      </c>
      <c r="F218" s="37" t="n">
        <v>41183</v>
      </c>
      <c r="G218" s="38" t="n">
        <v>6036386.54</v>
      </c>
    </row>
    <row r="219" customFormat="false" ht="15" hidden="false" customHeight="false" outlineLevel="0" collapsed="false">
      <c r="A219" s="0" t="s">
        <v>95</v>
      </c>
      <c r="C219" s="0" t="n">
        <v>41</v>
      </c>
      <c r="D219" s="0" t="s">
        <v>191</v>
      </c>
      <c r="E219" s="0" t="s">
        <v>86</v>
      </c>
      <c r="F219" s="37" t="n">
        <v>41214</v>
      </c>
      <c r="G219" s="38" t="n">
        <v>6616440.9</v>
      </c>
    </row>
    <row r="220" customFormat="false" ht="15" hidden="false" customHeight="false" outlineLevel="0" collapsed="false">
      <c r="A220" s="0" t="s">
        <v>95</v>
      </c>
      <c r="C220" s="0" t="n">
        <v>41</v>
      </c>
      <c r="D220" s="0" t="s">
        <v>191</v>
      </c>
      <c r="E220" s="0" t="s">
        <v>86</v>
      </c>
      <c r="F220" s="37" t="n">
        <v>41244</v>
      </c>
      <c r="G220" s="38" t="n">
        <v>7900177.35</v>
      </c>
    </row>
    <row r="221" customFormat="false" ht="15" hidden="false" customHeight="false" outlineLevel="0" collapsed="false">
      <c r="A221" s="0" t="s">
        <v>95</v>
      </c>
      <c r="C221" s="0" t="n">
        <v>41</v>
      </c>
      <c r="D221" s="0" t="s">
        <v>191</v>
      </c>
      <c r="E221" s="0" t="s">
        <v>86</v>
      </c>
      <c r="F221" s="37" t="n">
        <v>41275</v>
      </c>
      <c r="G221" s="38" t="n">
        <v>5472088.36</v>
      </c>
    </row>
    <row r="222" customFormat="false" ht="15" hidden="false" customHeight="false" outlineLevel="0" collapsed="false">
      <c r="A222" s="0" t="s">
        <v>95</v>
      </c>
      <c r="C222" s="0" t="n">
        <v>42</v>
      </c>
      <c r="D222" s="0" t="s">
        <v>191</v>
      </c>
      <c r="E222" s="0" t="s">
        <v>86</v>
      </c>
      <c r="F222" s="37" t="n">
        <v>41183</v>
      </c>
      <c r="G222" s="38" t="n">
        <v>2697454.08</v>
      </c>
    </row>
    <row r="223" customFormat="false" ht="15" hidden="false" customHeight="false" outlineLevel="0" collapsed="false">
      <c r="A223" s="0" t="s">
        <v>95</v>
      </c>
      <c r="C223" s="0" t="n">
        <v>42</v>
      </c>
      <c r="D223" s="0" t="s">
        <v>191</v>
      </c>
      <c r="E223" s="0" t="s">
        <v>86</v>
      </c>
      <c r="F223" s="37" t="n">
        <v>41214</v>
      </c>
      <c r="G223" s="38" t="n">
        <v>2617727.15</v>
      </c>
    </row>
    <row r="224" customFormat="false" ht="15" hidden="false" customHeight="false" outlineLevel="0" collapsed="false">
      <c r="A224" s="0" t="s">
        <v>95</v>
      </c>
      <c r="C224" s="0" t="n">
        <v>42</v>
      </c>
      <c r="D224" s="0" t="s">
        <v>191</v>
      </c>
      <c r="E224" s="0" t="s">
        <v>86</v>
      </c>
      <c r="F224" s="37" t="n">
        <v>41244</v>
      </c>
      <c r="G224" s="38" t="n">
        <v>2606367.42</v>
      </c>
    </row>
    <row r="225" customFormat="false" ht="15" hidden="false" customHeight="false" outlineLevel="0" collapsed="false">
      <c r="A225" s="0" t="s">
        <v>95</v>
      </c>
      <c r="C225" s="0" t="n">
        <v>42</v>
      </c>
      <c r="D225" s="0" t="s">
        <v>191</v>
      </c>
      <c r="E225" s="0" t="s">
        <v>86</v>
      </c>
      <c r="F225" s="37" t="n">
        <v>41275</v>
      </c>
      <c r="G225" s="38" t="n">
        <v>2794880.77</v>
      </c>
    </row>
    <row r="226" customFormat="false" ht="15" hidden="false" customHeight="false" outlineLevel="0" collapsed="false">
      <c r="A226" s="0" t="s">
        <v>95</v>
      </c>
      <c r="C226" s="0" t="n">
        <v>43</v>
      </c>
      <c r="D226" s="0" t="s">
        <v>191</v>
      </c>
      <c r="E226" s="0" t="s">
        <v>86</v>
      </c>
      <c r="F226" s="37" t="n">
        <v>41183</v>
      </c>
      <c r="G226" s="38" t="n">
        <v>2727037.98</v>
      </c>
    </row>
    <row r="227" customFormat="false" ht="15" hidden="false" customHeight="false" outlineLevel="0" collapsed="false">
      <c r="A227" s="0" t="s">
        <v>95</v>
      </c>
      <c r="C227" s="0" t="n">
        <v>43</v>
      </c>
      <c r="D227" s="0" t="s">
        <v>191</v>
      </c>
      <c r="E227" s="0" t="s">
        <v>86</v>
      </c>
      <c r="F227" s="37" t="n">
        <v>41214</v>
      </c>
      <c r="G227" s="38" t="n">
        <v>2750148.71</v>
      </c>
    </row>
    <row r="228" customFormat="false" ht="15" hidden="false" customHeight="false" outlineLevel="0" collapsed="false">
      <c r="A228" s="0" t="s">
        <v>95</v>
      </c>
      <c r="C228" s="0" t="n">
        <v>43</v>
      </c>
      <c r="D228" s="0" t="s">
        <v>191</v>
      </c>
      <c r="E228" s="0" t="s">
        <v>86</v>
      </c>
      <c r="F228" s="37" t="n">
        <v>41244</v>
      </c>
      <c r="G228" s="38" t="n">
        <v>2779570.5</v>
      </c>
    </row>
    <row r="229" customFormat="false" ht="15" hidden="false" customHeight="false" outlineLevel="0" collapsed="false">
      <c r="A229" s="0" t="s">
        <v>95</v>
      </c>
      <c r="C229" s="0" t="n">
        <v>43</v>
      </c>
      <c r="D229" s="0" t="s">
        <v>191</v>
      </c>
      <c r="E229" s="0" t="s">
        <v>86</v>
      </c>
      <c r="F229" s="37" t="n">
        <v>41275</v>
      </c>
      <c r="G229" s="38" t="n">
        <v>2858545.47</v>
      </c>
    </row>
    <row r="230" customFormat="false" ht="15" hidden="false" customHeight="false" outlineLevel="0" collapsed="false">
      <c r="A230" s="0" t="s">
        <v>95</v>
      </c>
      <c r="C230" s="0" t="n">
        <v>44</v>
      </c>
      <c r="D230" s="0" t="s">
        <v>191</v>
      </c>
      <c r="E230" s="0" t="s">
        <v>86</v>
      </c>
      <c r="F230" s="37" t="n">
        <v>41183</v>
      </c>
      <c r="G230" s="38" t="n">
        <v>1511942.92</v>
      </c>
    </row>
    <row r="231" customFormat="false" ht="15" hidden="false" customHeight="false" outlineLevel="0" collapsed="false">
      <c r="A231" s="0" t="s">
        <v>95</v>
      </c>
      <c r="C231" s="0" t="n">
        <v>44</v>
      </c>
      <c r="D231" s="0" t="s">
        <v>191</v>
      </c>
      <c r="E231" s="0" t="s">
        <v>86</v>
      </c>
      <c r="F231" s="37" t="n">
        <v>41214</v>
      </c>
      <c r="G231" s="38" t="n">
        <v>1468173.39</v>
      </c>
    </row>
    <row r="232" customFormat="false" ht="15" hidden="false" customHeight="false" outlineLevel="0" collapsed="false">
      <c r="A232" s="0" t="s">
        <v>95</v>
      </c>
      <c r="C232" s="0" t="n">
        <v>44</v>
      </c>
      <c r="D232" s="0" t="s">
        <v>191</v>
      </c>
      <c r="E232" s="0" t="s">
        <v>86</v>
      </c>
      <c r="F232" s="37" t="n">
        <v>41244</v>
      </c>
      <c r="G232" s="38" t="n">
        <v>1549768.78</v>
      </c>
    </row>
    <row r="233" customFormat="false" ht="15" hidden="false" customHeight="false" outlineLevel="0" collapsed="false">
      <c r="A233" s="0" t="s">
        <v>95</v>
      </c>
      <c r="C233" s="0" t="n">
        <v>44</v>
      </c>
      <c r="D233" s="0" t="s">
        <v>191</v>
      </c>
      <c r="E233" s="0" t="s">
        <v>86</v>
      </c>
      <c r="F233" s="37" t="n">
        <v>41275</v>
      </c>
      <c r="G233" s="38" t="n">
        <v>1571539.73</v>
      </c>
    </row>
    <row r="234" customFormat="false" ht="15" hidden="false" customHeight="false" outlineLevel="0" collapsed="false">
      <c r="A234" s="0" t="s">
        <v>95</v>
      </c>
      <c r="C234" s="0" t="n">
        <v>45</v>
      </c>
      <c r="D234" s="0" t="s">
        <v>191</v>
      </c>
      <c r="E234" s="0" t="s">
        <v>86</v>
      </c>
      <c r="F234" s="37" t="n">
        <v>41183</v>
      </c>
      <c r="G234" s="38" t="n">
        <v>3454729.94</v>
      </c>
    </row>
    <row r="235" customFormat="false" ht="15" hidden="false" customHeight="false" outlineLevel="0" collapsed="false">
      <c r="A235" s="0" t="s">
        <v>95</v>
      </c>
      <c r="C235" s="0" t="n">
        <v>45</v>
      </c>
      <c r="D235" s="0" t="s">
        <v>191</v>
      </c>
      <c r="E235" s="0" t="s">
        <v>86</v>
      </c>
      <c r="F235" s="37" t="n">
        <v>41214</v>
      </c>
      <c r="G235" s="38" t="n">
        <v>3934098.84</v>
      </c>
    </row>
    <row r="236" customFormat="false" ht="15" hidden="false" customHeight="false" outlineLevel="0" collapsed="false">
      <c r="A236" s="0" t="s">
        <v>95</v>
      </c>
      <c r="C236" s="0" t="n">
        <v>45</v>
      </c>
      <c r="D236" s="0" t="s">
        <v>191</v>
      </c>
      <c r="E236" s="0" t="s">
        <v>86</v>
      </c>
      <c r="F236" s="37" t="n">
        <v>41244</v>
      </c>
      <c r="G236" s="38" t="n">
        <v>4878152.2</v>
      </c>
    </row>
    <row r="237" customFormat="false" ht="15" hidden="false" customHeight="false" outlineLevel="0" collapsed="false">
      <c r="A237" s="0" t="s">
        <v>95</v>
      </c>
      <c r="C237" s="0" t="n">
        <v>45</v>
      </c>
      <c r="D237" s="0" t="s">
        <v>191</v>
      </c>
      <c r="E237" s="0" t="s">
        <v>86</v>
      </c>
      <c r="F237" s="37" t="n">
        <v>41275</v>
      </c>
      <c r="G237" s="38" t="n">
        <v>3108702.06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3"/>
  </cols>
  <sheetData>
    <row r="1" customFormat="false" ht="31.5" hidden="false" customHeight="true" outlineLevel="0" collapsed="false">
      <c r="A1" s="11" t="s">
        <v>192</v>
      </c>
      <c r="B1" s="11" t="s">
        <v>193</v>
      </c>
      <c r="C1" s="11" t="s">
        <v>194</v>
      </c>
    </row>
    <row r="2" customFormat="false" ht="15" hidden="false" customHeight="false" outlineLevel="0" collapsed="false">
      <c r="A2" s="37" t="n">
        <v>40214</v>
      </c>
      <c r="B2" s="38" t="n">
        <v>49750740.5</v>
      </c>
      <c r="C2" s="0" t="n">
        <v>0</v>
      </c>
    </row>
    <row r="3" customFormat="false" ht="15" hidden="false" customHeight="false" outlineLevel="0" collapsed="false">
      <c r="A3" s="37" t="n">
        <v>40221</v>
      </c>
      <c r="B3" s="38" t="n">
        <v>48336677.63</v>
      </c>
      <c r="C3" s="0" t="n">
        <v>1</v>
      </c>
    </row>
    <row r="4" customFormat="false" ht="15" hidden="false" customHeight="false" outlineLevel="0" collapsed="false">
      <c r="A4" s="37" t="n">
        <v>40228</v>
      </c>
      <c r="B4" s="38" t="n">
        <v>48276993.78</v>
      </c>
      <c r="C4" s="0" t="n">
        <v>0</v>
      </c>
    </row>
    <row r="5" customFormat="false" ht="15" hidden="false" customHeight="false" outlineLevel="0" collapsed="false">
      <c r="A5" s="37" t="n">
        <v>40235</v>
      </c>
      <c r="B5" s="38" t="n">
        <v>43968571.13</v>
      </c>
      <c r="C5" s="0" t="n">
        <v>0</v>
      </c>
    </row>
    <row r="6" customFormat="false" ht="15" hidden="false" customHeight="false" outlineLevel="0" collapsed="false">
      <c r="A6" s="37" t="n">
        <v>40242</v>
      </c>
      <c r="B6" s="38" t="n">
        <v>46871470.3</v>
      </c>
      <c r="C6" s="0" t="n">
        <v>0</v>
      </c>
    </row>
    <row r="7" customFormat="false" ht="15" hidden="false" customHeight="false" outlineLevel="0" collapsed="false">
      <c r="A7" s="37" t="n">
        <v>40249</v>
      </c>
      <c r="B7" s="38" t="n">
        <v>45925396.51</v>
      </c>
      <c r="C7" s="0" t="n">
        <v>0</v>
      </c>
    </row>
    <row r="8" customFormat="false" ht="15" hidden="false" customHeight="false" outlineLevel="0" collapsed="false">
      <c r="A8" s="37" t="n">
        <v>40256</v>
      </c>
      <c r="B8" s="38" t="n">
        <v>44988974.64</v>
      </c>
      <c r="C8" s="0" t="n">
        <v>0</v>
      </c>
    </row>
    <row r="9" customFormat="false" ht="15" hidden="false" customHeight="false" outlineLevel="0" collapsed="false">
      <c r="A9" s="37" t="n">
        <v>40263</v>
      </c>
      <c r="B9" s="38" t="n">
        <v>44133961.05</v>
      </c>
      <c r="C9" s="0" t="n">
        <v>0</v>
      </c>
    </row>
    <row r="10" customFormat="false" ht="15" hidden="false" customHeight="false" outlineLevel="0" collapsed="false">
      <c r="A10" s="37" t="n">
        <v>40270</v>
      </c>
      <c r="B10" s="38" t="n">
        <v>50423831.26</v>
      </c>
      <c r="C10" s="0" t="n">
        <v>0</v>
      </c>
    </row>
    <row r="11" customFormat="false" ht="15" hidden="false" customHeight="false" outlineLevel="0" collapsed="false">
      <c r="A11" s="37" t="n">
        <v>40277</v>
      </c>
      <c r="B11" s="38" t="n">
        <v>47365290.44</v>
      </c>
      <c r="C11" s="0" t="n">
        <v>0</v>
      </c>
    </row>
    <row r="12" customFormat="false" ht="15" hidden="false" customHeight="false" outlineLevel="0" collapsed="false">
      <c r="A12" s="37" t="n">
        <v>40284</v>
      </c>
      <c r="B12" s="38" t="n">
        <v>45183667.08</v>
      </c>
      <c r="C12" s="0" t="n">
        <v>0</v>
      </c>
    </row>
    <row r="13" customFormat="false" ht="15" hidden="false" customHeight="false" outlineLevel="0" collapsed="false">
      <c r="A13" s="37" t="n">
        <v>40291</v>
      </c>
      <c r="B13" s="38" t="n">
        <v>44734452.56</v>
      </c>
      <c r="C13" s="0" t="n">
        <v>0</v>
      </c>
    </row>
    <row r="14" customFormat="false" ht="15" hidden="false" customHeight="false" outlineLevel="0" collapsed="false">
      <c r="A14" s="37" t="n">
        <v>40298</v>
      </c>
      <c r="B14" s="38" t="n">
        <v>43705126.71</v>
      </c>
      <c r="C14" s="0" t="n">
        <v>0</v>
      </c>
    </row>
    <row r="15" customFormat="false" ht="15" hidden="false" customHeight="false" outlineLevel="0" collapsed="false">
      <c r="A15" s="37" t="n">
        <v>40305</v>
      </c>
      <c r="B15" s="38" t="n">
        <v>48503243.52</v>
      </c>
      <c r="C15" s="0" t="n">
        <v>0</v>
      </c>
    </row>
    <row r="16" customFormat="false" ht="15" hidden="false" customHeight="false" outlineLevel="0" collapsed="false">
      <c r="A16" s="37" t="n">
        <v>40312</v>
      </c>
      <c r="B16" s="38" t="n">
        <v>45330080.2</v>
      </c>
      <c r="C16" s="0" t="n">
        <v>0</v>
      </c>
    </row>
    <row r="17" customFormat="false" ht="15" hidden="false" customHeight="false" outlineLevel="0" collapsed="false">
      <c r="A17" s="37" t="n">
        <v>40319</v>
      </c>
      <c r="B17" s="38" t="n">
        <v>45120108.06</v>
      </c>
      <c r="C17" s="0" t="n">
        <v>0</v>
      </c>
    </row>
    <row r="18" customFormat="false" ht="15" hidden="false" customHeight="false" outlineLevel="0" collapsed="false">
      <c r="A18" s="37" t="n">
        <v>40326</v>
      </c>
      <c r="B18" s="38" t="n">
        <v>47757502.56</v>
      </c>
      <c r="C18" s="0" t="n">
        <v>0</v>
      </c>
    </row>
    <row r="19" customFormat="false" ht="15" hidden="false" customHeight="false" outlineLevel="0" collapsed="false">
      <c r="A19" s="37" t="n">
        <v>40333</v>
      </c>
      <c r="B19" s="38" t="n">
        <v>50188543.12</v>
      </c>
      <c r="C19" s="0" t="n">
        <v>0</v>
      </c>
    </row>
    <row r="20" customFormat="false" ht="15" hidden="false" customHeight="false" outlineLevel="0" collapsed="false">
      <c r="A20" s="37" t="n">
        <v>40340</v>
      </c>
      <c r="B20" s="38" t="n">
        <v>47826546.72</v>
      </c>
      <c r="C20" s="0" t="n">
        <v>0</v>
      </c>
    </row>
    <row r="21" customFormat="false" ht="15" hidden="false" customHeight="false" outlineLevel="0" collapsed="false">
      <c r="A21" s="37" t="n">
        <v>40347</v>
      </c>
      <c r="B21" s="38" t="n">
        <v>47622046.23</v>
      </c>
      <c r="C21" s="0" t="n">
        <v>0</v>
      </c>
    </row>
    <row r="22" customFormat="false" ht="15" hidden="false" customHeight="false" outlineLevel="0" collapsed="false">
      <c r="A22" s="37" t="n">
        <v>40354</v>
      </c>
      <c r="B22" s="38" t="n">
        <v>46609036.29</v>
      </c>
      <c r="C22" s="0" t="n">
        <v>0</v>
      </c>
    </row>
    <row r="23" customFormat="false" ht="15" hidden="false" customHeight="false" outlineLevel="0" collapsed="false">
      <c r="A23" s="37" t="n">
        <v>40361</v>
      </c>
      <c r="B23" s="38" t="n">
        <v>48917484.5</v>
      </c>
      <c r="C23" s="0" t="n">
        <v>0</v>
      </c>
    </row>
    <row r="24" customFormat="false" ht="15" hidden="false" customHeight="false" outlineLevel="0" collapsed="false">
      <c r="A24" s="37" t="n">
        <v>40368</v>
      </c>
      <c r="B24" s="38" t="n">
        <v>47899529.37</v>
      </c>
      <c r="C24" s="0" t="n">
        <v>0</v>
      </c>
    </row>
    <row r="25" customFormat="false" ht="15" hidden="false" customHeight="false" outlineLevel="0" collapsed="false">
      <c r="A25" s="37" t="n">
        <v>40375</v>
      </c>
      <c r="B25" s="38" t="n">
        <v>46243899.58</v>
      </c>
      <c r="C25" s="0" t="n">
        <v>0</v>
      </c>
    </row>
    <row r="26" customFormat="false" ht="15" hidden="false" customHeight="false" outlineLevel="0" collapsed="false">
      <c r="A26" s="37" t="n">
        <v>40382</v>
      </c>
      <c r="B26" s="38" t="n">
        <v>44888849.11</v>
      </c>
      <c r="C26" s="0" t="n">
        <v>0</v>
      </c>
    </row>
    <row r="27" customFormat="false" ht="15" hidden="false" customHeight="false" outlineLevel="0" collapsed="false">
      <c r="A27" s="37" t="n">
        <v>40389</v>
      </c>
      <c r="B27" s="38" t="n">
        <v>44630363.42</v>
      </c>
      <c r="C27" s="0" t="n">
        <v>0</v>
      </c>
    </row>
    <row r="28" customFormat="false" ht="15" hidden="false" customHeight="false" outlineLevel="0" collapsed="false">
      <c r="A28" s="37" t="n">
        <v>40396</v>
      </c>
      <c r="B28" s="38" t="n">
        <v>48204999.12</v>
      </c>
      <c r="C28" s="0" t="n">
        <v>0</v>
      </c>
    </row>
    <row r="29" customFormat="false" ht="15" hidden="false" customHeight="false" outlineLevel="0" collapsed="false">
      <c r="A29" s="37" t="n">
        <v>40403</v>
      </c>
      <c r="B29" s="38" t="n">
        <v>46464418.41</v>
      </c>
      <c r="C29" s="0" t="n">
        <v>0</v>
      </c>
    </row>
    <row r="30" customFormat="false" ht="15" hidden="false" customHeight="false" outlineLevel="0" collapsed="false">
      <c r="A30" s="37" t="n">
        <v>40410</v>
      </c>
      <c r="B30" s="38" t="n">
        <v>47060952.92</v>
      </c>
      <c r="C30" s="0" t="n">
        <v>0</v>
      </c>
    </row>
    <row r="31" customFormat="false" ht="15" hidden="false" customHeight="false" outlineLevel="0" collapsed="false">
      <c r="A31" s="37" t="n">
        <v>40417</v>
      </c>
      <c r="B31" s="38" t="n">
        <v>45909740.44</v>
      </c>
      <c r="C31" s="0" t="n">
        <v>0</v>
      </c>
    </row>
    <row r="32" customFormat="false" ht="15" hidden="false" customHeight="false" outlineLevel="0" collapsed="false">
      <c r="A32" s="37" t="n">
        <v>40424</v>
      </c>
      <c r="B32" s="38" t="n">
        <v>47194257.61</v>
      </c>
      <c r="C32" s="0" t="n">
        <v>0</v>
      </c>
    </row>
    <row r="33" customFormat="false" ht="15" hidden="false" customHeight="false" outlineLevel="0" collapsed="false">
      <c r="A33" s="37" t="n">
        <v>40431</v>
      </c>
      <c r="B33" s="38" t="n">
        <v>45634397.84</v>
      </c>
      <c r="C33" s="0" t="n">
        <v>1</v>
      </c>
    </row>
    <row r="34" customFormat="false" ht="15" hidden="false" customHeight="false" outlineLevel="0" collapsed="false">
      <c r="A34" s="37" t="n">
        <v>40438</v>
      </c>
      <c r="B34" s="38" t="n">
        <v>43080726.51</v>
      </c>
      <c r="C34" s="0" t="n">
        <v>0</v>
      </c>
    </row>
    <row r="35" customFormat="false" ht="15" hidden="false" customHeight="false" outlineLevel="0" collapsed="false">
      <c r="A35" s="37" t="n">
        <v>40445</v>
      </c>
      <c r="B35" s="38" t="n">
        <v>41358514.41</v>
      </c>
      <c r="C35" s="0" t="n">
        <v>0</v>
      </c>
    </row>
    <row r="36" customFormat="false" ht="15" hidden="false" customHeight="false" outlineLevel="0" collapsed="false">
      <c r="A36" s="37" t="n">
        <v>40452</v>
      </c>
      <c r="B36" s="38" t="n">
        <v>42239875.87</v>
      </c>
      <c r="C36" s="0" t="n">
        <v>0</v>
      </c>
    </row>
    <row r="37" customFormat="false" ht="15" hidden="false" customHeight="false" outlineLevel="0" collapsed="false">
      <c r="A37" s="37" t="n">
        <v>40459</v>
      </c>
      <c r="B37" s="38" t="n">
        <v>45102974.23</v>
      </c>
      <c r="C37" s="0" t="n">
        <v>0</v>
      </c>
    </row>
    <row r="38" customFormat="false" ht="15" hidden="false" customHeight="false" outlineLevel="0" collapsed="false">
      <c r="A38" s="37" t="n">
        <v>40466</v>
      </c>
      <c r="B38" s="38" t="n">
        <v>43149473.45</v>
      </c>
      <c r="C38" s="0" t="n">
        <v>0</v>
      </c>
    </row>
    <row r="39" customFormat="false" ht="15" hidden="false" customHeight="false" outlineLevel="0" collapsed="false">
      <c r="A39" s="37" t="n">
        <v>40473</v>
      </c>
      <c r="B39" s="38" t="n">
        <v>43066669.52</v>
      </c>
      <c r="C39" s="0" t="n">
        <v>0</v>
      </c>
    </row>
    <row r="40" customFormat="false" ht="15" hidden="false" customHeight="false" outlineLevel="0" collapsed="false">
      <c r="A40" s="37" t="n">
        <v>40480</v>
      </c>
      <c r="B40" s="38" t="n">
        <v>43602830.95</v>
      </c>
      <c r="C40" s="0" t="n">
        <v>0</v>
      </c>
    </row>
    <row r="41" customFormat="false" ht="15" hidden="false" customHeight="false" outlineLevel="0" collapsed="false">
      <c r="A41" s="37" t="n">
        <v>40487</v>
      </c>
      <c r="B41" s="38" t="n">
        <v>45781981.89</v>
      </c>
      <c r="C41" s="0" t="n">
        <v>0</v>
      </c>
    </row>
    <row r="42" customFormat="false" ht="15" hidden="false" customHeight="false" outlineLevel="0" collapsed="false">
      <c r="A42" s="37" t="n">
        <v>40494</v>
      </c>
      <c r="B42" s="38" t="n">
        <v>46124800.83</v>
      </c>
      <c r="C42" s="0" t="n">
        <v>0</v>
      </c>
    </row>
    <row r="43" customFormat="false" ht="15" hidden="false" customHeight="false" outlineLevel="0" collapsed="false">
      <c r="A43" s="37" t="n">
        <v>40501</v>
      </c>
      <c r="B43" s="38" t="n">
        <v>45125584.18</v>
      </c>
      <c r="C43" s="0" t="n">
        <v>0</v>
      </c>
    </row>
    <row r="44" customFormat="false" ht="15" hidden="false" customHeight="false" outlineLevel="0" collapsed="false">
      <c r="A44" s="37" t="n">
        <v>40508</v>
      </c>
      <c r="B44" s="38" t="n">
        <v>65821003.24</v>
      </c>
      <c r="C44" s="0" t="n">
        <v>1</v>
      </c>
    </row>
    <row r="45" customFormat="false" ht="15" hidden="false" customHeight="false" outlineLevel="0" collapsed="false">
      <c r="A45" s="37" t="n">
        <v>40515</v>
      </c>
      <c r="B45" s="38" t="n">
        <v>49909027.88</v>
      </c>
      <c r="C45" s="0" t="n">
        <v>0</v>
      </c>
    </row>
    <row r="46" customFormat="false" ht="15" hidden="false" customHeight="false" outlineLevel="0" collapsed="false">
      <c r="A46" s="37" t="n">
        <v>40522</v>
      </c>
      <c r="B46" s="38" t="n">
        <v>55666770.39</v>
      </c>
      <c r="C46" s="0" t="n">
        <v>0</v>
      </c>
    </row>
    <row r="47" customFormat="false" ht="15" hidden="false" customHeight="false" outlineLevel="0" collapsed="false">
      <c r="A47" s="37" t="n">
        <v>40529</v>
      </c>
      <c r="B47" s="38" t="n">
        <v>61820799.85</v>
      </c>
      <c r="C47" s="0" t="n">
        <v>0</v>
      </c>
    </row>
    <row r="48" customFormat="false" ht="15" hidden="false" customHeight="false" outlineLevel="0" collapsed="false">
      <c r="A48" s="37" t="n">
        <v>40536</v>
      </c>
      <c r="B48" s="38" t="n">
        <v>80931415.6</v>
      </c>
      <c r="C48" s="0" t="n">
        <v>0</v>
      </c>
    </row>
    <row r="49" customFormat="false" ht="15" hidden="false" customHeight="false" outlineLevel="0" collapsed="false">
      <c r="A49" s="37" t="n">
        <v>40543</v>
      </c>
      <c r="B49" s="38" t="n">
        <v>40432519</v>
      </c>
      <c r="C49" s="0" t="n">
        <v>1</v>
      </c>
    </row>
    <row r="50" customFormat="false" ht="15" hidden="false" customHeight="false" outlineLevel="0" collapsed="false">
      <c r="A50" s="37" t="n">
        <v>40550</v>
      </c>
      <c r="B50" s="38" t="n">
        <v>42775787.77</v>
      </c>
      <c r="C50" s="0" t="n">
        <v>0</v>
      </c>
    </row>
    <row r="51" customFormat="false" ht="15" hidden="false" customHeight="false" outlineLevel="0" collapsed="false">
      <c r="A51" s="37" t="n">
        <v>40557</v>
      </c>
      <c r="B51" s="38" t="n">
        <v>40673678.04</v>
      </c>
      <c r="C51" s="0" t="n">
        <v>0</v>
      </c>
    </row>
    <row r="52" customFormat="false" ht="15" hidden="false" customHeight="false" outlineLevel="0" collapsed="false">
      <c r="A52" s="37" t="n">
        <v>40564</v>
      </c>
      <c r="B52" s="38" t="n">
        <v>40654648.03</v>
      </c>
      <c r="C52" s="0" t="n">
        <v>0</v>
      </c>
    </row>
    <row r="53" customFormat="false" ht="15" hidden="false" customHeight="false" outlineLevel="0" collapsed="false">
      <c r="A53" s="37" t="n">
        <v>40571</v>
      </c>
      <c r="B53" s="38" t="n">
        <v>39599852.99</v>
      </c>
      <c r="C53" s="0" t="n">
        <v>0</v>
      </c>
    </row>
    <row r="54" customFormat="false" ht="15" hidden="false" customHeight="false" outlineLevel="0" collapsed="false">
      <c r="A54" s="37" t="n">
        <v>40578</v>
      </c>
      <c r="B54" s="38" t="n">
        <v>46153111.12</v>
      </c>
      <c r="C54" s="0" t="n">
        <v>0</v>
      </c>
    </row>
    <row r="55" customFormat="false" ht="15" hidden="false" customHeight="false" outlineLevel="0" collapsed="false">
      <c r="A55" s="37" t="n">
        <v>40585</v>
      </c>
      <c r="B55" s="38" t="n">
        <v>47336192.79</v>
      </c>
      <c r="C55" s="0" t="n">
        <v>1</v>
      </c>
    </row>
    <row r="56" customFormat="false" ht="15" hidden="false" customHeight="false" outlineLevel="0" collapsed="false">
      <c r="A56" s="37" t="n">
        <v>40592</v>
      </c>
      <c r="B56" s="38" t="n">
        <v>48716164.12</v>
      </c>
      <c r="C56" s="0" t="n">
        <v>0</v>
      </c>
    </row>
    <row r="57" customFormat="false" ht="15" hidden="false" customHeight="false" outlineLevel="0" collapsed="false">
      <c r="A57" s="37" t="n">
        <v>40599</v>
      </c>
      <c r="B57" s="38" t="n">
        <v>44125859.84</v>
      </c>
      <c r="C57" s="0" t="n">
        <v>0</v>
      </c>
    </row>
    <row r="58" customFormat="false" ht="15" hidden="false" customHeight="false" outlineLevel="0" collapsed="false">
      <c r="A58" s="37" t="n">
        <v>40606</v>
      </c>
      <c r="B58" s="38" t="n">
        <v>46980603.74</v>
      </c>
      <c r="C58" s="0" t="n">
        <v>0</v>
      </c>
    </row>
    <row r="59" customFormat="false" ht="15" hidden="false" customHeight="false" outlineLevel="0" collapsed="false">
      <c r="A59" s="37" t="n">
        <v>40613</v>
      </c>
      <c r="B59" s="38" t="n">
        <v>44627319.4</v>
      </c>
      <c r="C59" s="0" t="n">
        <v>0</v>
      </c>
    </row>
    <row r="60" customFormat="false" ht="15" hidden="false" customHeight="false" outlineLevel="0" collapsed="false">
      <c r="A60" s="37" t="n">
        <v>40620</v>
      </c>
      <c r="B60" s="38" t="n">
        <v>44872325.97</v>
      </c>
      <c r="C60" s="0" t="n">
        <v>0</v>
      </c>
    </row>
    <row r="61" customFormat="false" ht="15" hidden="false" customHeight="false" outlineLevel="0" collapsed="false">
      <c r="A61" s="37" t="n">
        <v>40627</v>
      </c>
      <c r="B61" s="38" t="n">
        <v>42876199.18</v>
      </c>
      <c r="C61" s="0" t="n">
        <v>0</v>
      </c>
    </row>
    <row r="62" customFormat="false" ht="15" hidden="false" customHeight="false" outlineLevel="0" collapsed="false">
      <c r="A62" s="37" t="n">
        <v>40634</v>
      </c>
      <c r="B62" s="38" t="n">
        <v>43458991.19</v>
      </c>
      <c r="C62" s="0" t="n">
        <v>0</v>
      </c>
    </row>
    <row r="63" customFormat="false" ht="15" hidden="false" customHeight="false" outlineLevel="0" collapsed="false">
      <c r="A63" s="37" t="n">
        <v>40641</v>
      </c>
      <c r="B63" s="38" t="n">
        <v>45887466.8</v>
      </c>
      <c r="C63" s="0" t="n">
        <v>0</v>
      </c>
    </row>
    <row r="64" customFormat="false" ht="15" hidden="false" customHeight="false" outlineLevel="0" collapsed="false">
      <c r="A64" s="37" t="n">
        <v>40648</v>
      </c>
      <c r="B64" s="38" t="n">
        <v>44973328.14</v>
      </c>
      <c r="C64" s="0" t="n">
        <v>0</v>
      </c>
    </row>
    <row r="65" customFormat="false" ht="15" hidden="false" customHeight="false" outlineLevel="0" collapsed="false">
      <c r="A65" s="37" t="n">
        <v>40655</v>
      </c>
      <c r="B65" s="38" t="n">
        <v>48676692.06</v>
      </c>
      <c r="C65" s="0" t="n">
        <v>0</v>
      </c>
    </row>
    <row r="66" customFormat="false" ht="15" hidden="false" customHeight="false" outlineLevel="0" collapsed="false">
      <c r="A66" s="37" t="n">
        <v>40662</v>
      </c>
      <c r="B66" s="38" t="n">
        <v>43530032.78</v>
      </c>
      <c r="C66" s="0" t="n">
        <v>0</v>
      </c>
    </row>
    <row r="67" customFormat="false" ht="15" hidden="false" customHeight="false" outlineLevel="0" collapsed="false">
      <c r="A67" s="37" t="n">
        <v>40669</v>
      </c>
      <c r="B67" s="38" t="n">
        <v>46861958.29</v>
      </c>
      <c r="C67" s="0" t="n">
        <v>0</v>
      </c>
    </row>
    <row r="68" customFormat="false" ht="15" hidden="false" customHeight="false" outlineLevel="0" collapsed="false">
      <c r="A68" s="37" t="n">
        <v>40676</v>
      </c>
      <c r="B68" s="38" t="n">
        <v>45446144.82</v>
      </c>
      <c r="C68" s="0" t="n">
        <v>0</v>
      </c>
    </row>
    <row r="69" customFormat="false" ht="15" hidden="false" customHeight="false" outlineLevel="0" collapsed="false">
      <c r="A69" s="37" t="n">
        <v>40683</v>
      </c>
      <c r="B69" s="38" t="n">
        <v>44046598.01</v>
      </c>
      <c r="C69" s="0" t="n">
        <v>0</v>
      </c>
    </row>
    <row r="70" customFormat="false" ht="15" hidden="false" customHeight="false" outlineLevel="0" collapsed="false">
      <c r="A70" s="37" t="n">
        <v>40690</v>
      </c>
      <c r="B70" s="38" t="n">
        <v>45293457.04</v>
      </c>
      <c r="C70" s="0" t="n">
        <v>0</v>
      </c>
    </row>
    <row r="71" customFormat="false" ht="15" hidden="false" customHeight="false" outlineLevel="0" collapsed="false">
      <c r="A71" s="37" t="n">
        <v>40697</v>
      </c>
      <c r="B71" s="38" t="n">
        <v>48771994.18</v>
      </c>
      <c r="C71" s="0" t="n">
        <v>0</v>
      </c>
    </row>
    <row r="72" customFormat="false" ht="15" hidden="false" customHeight="false" outlineLevel="0" collapsed="false">
      <c r="A72" s="37" t="n">
        <v>40704</v>
      </c>
      <c r="B72" s="38" t="n">
        <v>47669734.66</v>
      </c>
      <c r="C72" s="0" t="n">
        <v>0</v>
      </c>
    </row>
    <row r="73" customFormat="false" ht="15" hidden="false" customHeight="false" outlineLevel="0" collapsed="false">
      <c r="A73" s="37" t="n">
        <v>40711</v>
      </c>
      <c r="B73" s="38" t="n">
        <v>47447561.77</v>
      </c>
      <c r="C73" s="0" t="n">
        <v>0</v>
      </c>
    </row>
    <row r="74" customFormat="false" ht="15" hidden="false" customHeight="false" outlineLevel="0" collapsed="false">
      <c r="A74" s="37" t="n">
        <v>40718</v>
      </c>
      <c r="B74" s="38" t="n">
        <v>45884094.58</v>
      </c>
      <c r="C74" s="0" t="n">
        <v>0</v>
      </c>
    </row>
    <row r="75" customFormat="false" ht="15" hidden="false" customHeight="false" outlineLevel="0" collapsed="false">
      <c r="A75" s="37" t="n">
        <v>40725</v>
      </c>
      <c r="B75" s="38" t="n">
        <v>47578519.5</v>
      </c>
      <c r="C75" s="0" t="n">
        <v>0</v>
      </c>
    </row>
    <row r="76" customFormat="false" ht="15" hidden="false" customHeight="false" outlineLevel="0" collapsed="false">
      <c r="A76" s="37" t="n">
        <v>40732</v>
      </c>
      <c r="B76" s="38" t="n">
        <v>47859263.78</v>
      </c>
      <c r="C76" s="0" t="n">
        <v>0</v>
      </c>
    </row>
    <row r="77" customFormat="false" ht="15" hidden="false" customHeight="false" outlineLevel="0" collapsed="false">
      <c r="A77" s="37" t="n">
        <v>40739</v>
      </c>
      <c r="B77" s="38" t="n">
        <v>45515929.92</v>
      </c>
      <c r="C77" s="0" t="n">
        <v>0</v>
      </c>
    </row>
    <row r="78" customFormat="false" ht="15" hidden="false" customHeight="false" outlineLevel="0" collapsed="false">
      <c r="A78" s="37" t="n">
        <v>40746</v>
      </c>
      <c r="B78" s="38" t="n">
        <v>45274411.39</v>
      </c>
      <c r="C78" s="0" t="n">
        <v>0</v>
      </c>
    </row>
    <row r="79" customFormat="false" ht="15" hidden="false" customHeight="false" outlineLevel="0" collapsed="false">
      <c r="A79" s="37" t="n">
        <v>40753</v>
      </c>
      <c r="B79" s="38" t="n">
        <v>43683274.28</v>
      </c>
      <c r="C79" s="0" t="n">
        <v>0</v>
      </c>
    </row>
    <row r="80" customFormat="false" ht="15" hidden="false" customHeight="false" outlineLevel="0" collapsed="false">
      <c r="A80" s="37" t="n">
        <v>40760</v>
      </c>
      <c r="B80" s="38" t="n">
        <v>48015466.97</v>
      </c>
      <c r="C80" s="0" t="n">
        <v>0</v>
      </c>
    </row>
    <row r="81" customFormat="false" ht="15" hidden="false" customHeight="false" outlineLevel="0" collapsed="false">
      <c r="A81" s="37" t="n">
        <v>40767</v>
      </c>
      <c r="B81" s="38" t="n">
        <v>46249569.21</v>
      </c>
      <c r="C81" s="0" t="n">
        <v>0</v>
      </c>
    </row>
    <row r="82" customFormat="false" ht="15" hidden="false" customHeight="false" outlineLevel="0" collapsed="false">
      <c r="A82" s="37" t="n">
        <v>40774</v>
      </c>
      <c r="B82" s="38" t="n">
        <v>46917347.62</v>
      </c>
      <c r="C82" s="0" t="n">
        <v>0</v>
      </c>
    </row>
    <row r="83" customFormat="false" ht="15" hidden="false" customHeight="false" outlineLevel="0" collapsed="false">
      <c r="A83" s="37" t="n">
        <v>40781</v>
      </c>
      <c r="B83" s="38" t="n">
        <v>47416948.45</v>
      </c>
      <c r="C83" s="0" t="n">
        <v>0</v>
      </c>
    </row>
    <row r="84" customFormat="false" ht="15" hidden="false" customHeight="false" outlineLevel="0" collapsed="false">
      <c r="A84" s="37" t="n">
        <v>40788</v>
      </c>
      <c r="B84" s="38" t="n">
        <v>45376623.27</v>
      </c>
      <c r="C84" s="0" t="n">
        <v>0</v>
      </c>
    </row>
    <row r="85" customFormat="false" ht="15" hidden="false" customHeight="false" outlineLevel="0" collapsed="false">
      <c r="A85" s="37" t="n">
        <v>40795</v>
      </c>
      <c r="B85" s="38" t="n">
        <v>46763227.53</v>
      </c>
      <c r="C85" s="0" t="n">
        <v>1</v>
      </c>
    </row>
    <row r="86" customFormat="false" ht="15" hidden="false" customHeight="false" outlineLevel="0" collapsed="false">
      <c r="A86" s="37" t="n">
        <v>40802</v>
      </c>
      <c r="B86" s="38" t="n">
        <v>43793960.08</v>
      </c>
      <c r="C86" s="0" t="n">
        <v>0</v>
      </c>
    </row>
    <row r="87" customFormat="false" ht="15" hidden="false" customHeight="false" outlineLevel="0" collapsed="false">
      <c r="A87" s="37" t="n">
        <v>40809</v>
      </c>
      <c r="B87" s="38" t="n">
        <v>42718096.73</v>
      </c>
      <c r="C87" s="0" t="n">
        <v>0</v>
      </c>
    </row>
    <row r="88" customFormat="false" ht="15" hidden="false" customHeight="false" outlineLevel="0" collapsed="false">
      <c r="A88" s="37" t="n">
        <v>40816</v>
      </c>
      <c r="B88" s="38" t="n">
        <v>42195830.81</v>
      </c>
      <c r="C88" s="0" t="n">
        <v>0</v>
      </c>
    </row>
    <row r="89" customFormat="false" ht="15" hidden="false" customHeight="false" outlineLevel="0" collapsed="false">
      <c r="A89" s="37" t="n">
        <v>40823</v>
      </c>
      <c r="B89" s="38" t="n">
        <v>47211688.36</v>
      </c>
      <c r="C89" s="0" t="n">
        <v>0</v>
      </c>
    </row>
    <row r="90" customFormat="false" ht="15" hidden="false" customHeight="false" outlineLevel="0" collapsed="false">
      <c r="A90" s="37" t="n">
        <v>40830</v>
      </c>
      <c r="B90" s="38" t="n">
        <v>44374820.3</v>
      </c>
      <c r="C90" s="0" t="n">
        <v>0</v>
      </c>
    </row>
    <row r="91" customFormat="false" ht="15" hidden="false" customHeight="false" outlineLevel="0" collapsed="false">
      <c r="A91" s="37" t="n">
        <v>40837</v>
      </c>
      <c r="B91" s="38" t="n">
        <v>45818953.44</v>
      </c>
      <c r="C91" s="0" t="n">
        <v>0</v>
      </c>
    </row>
    <row r="92" customFormat="false" ht="15" hidden="false" customHeight="false" outlineLevel="0" collapsed="false">
      <c r="A92" s="37" t="n">
        <v>40844</v>
      </c>
      <c r="B92" s="38" t="n">
        <v>45855821.05</v>
      </c>
      <c r="C92" s="0" t="n">
        <v>0</v>
      </c>
    </row>
    <row r="93" customFormat="false" ht="15" hidden="false" customHeight="false" outlineLevel="0" collapsed="false">
      <c r="A93" s="37" t="n">
        <v>40851</v>
      </c>
      <c r="B93" s="38" t="n">
        <v>48655544.3</v>
      </c>
      <c r="C93" s="0" t="n">
        <v>0</v>
      </c>
    </row>
    <row r="94" customFormat="false" ht="15" hidden="false" customHeight="false" outlineLevel="0" collapsed="false">
      <c r="A94" s="37" t="n">
        <v>40858</v>
      </c>
      <c r="B94" s="38" t="n">
        <v>48474224.75</v>
      </c>
      <c r="C94" s="0" t="n">
        <v>0</v>
      </c>
    </row>
    <row r="95" customFormat="false" ht="15" hidden="false" customHeight="false" outlineLevel="0" collapsed="false">
      <c r="A95" s="37" t="n">
        <v>40865</v>
      </c>
      <c r="B95" s="38" t="n">
        <v>46438980.56</v>
      </c>
      <c r="C95" s="0" t="n">
        <v>0</v>
      </c>
    </row>
    <row r="96" customFormat="false" ht="15" hidden="false" customHeight="false" outlineLevel="0" collapsed="false">
      <c r="A96" s="37" t="n">
        <v>40872</v>
      </c>
      <c r="B96" s="38" t="n">
        <v>66593605.26</v>
      </c>
      <c r="C96" s="0" t="n">
        <v>1</v>
      </c>
    </row>
    <row r="97" customFormat="false" ht="15" hidden="false" customHeight="false" outlineLevel="0" collapsed="false">
      <c r="A97" s="37" t="n">
        <v>40879</v>
      </c>
      <c r="B97" s="38" t="n">
        <v>49390556.49</v>
      </c>
      <c r="C97" s="0" t="n">
        <v>0</v>
      </c>
    </row>
    <row r="98" customFormat="false" ht="15" hidden="false" customHeight="false" outlineLevel="0" collapsed="false">
      <c r="A98" s="37" t="n">
        <v>40886</v>
      </c>
      <c r="B98" s="38" t="n">
        <v>55561147.7</v>
      </c>
      <c r="C98" s="0" t="n">
        <v>0</v>
      </c>
    </row>
    <row r="99" customFormat="false" ht="15" hidden="false" customHeight="false" outlineLevel="0" collapsed="false">
      <c r="A99" s="37" t="n">
        <v>40893</v>
      </c>
      <c r="B99" s="38" t="n">
        <v>60085695.94</v>
      </c>
      <c r="C99" s="0" t="n">
        <v>0</v>
      </c>
    </row>
    <row r="100" customFormat="false" ht="15" hidden="false" customHeight="false" outlineLevel="0" collapsed="false">
      <c r="A100" s="37" t="n">
        <v>40900</v>
      </c>
      <c r="B100" s="38" t="n">
        <v>76998241.31</v>
      </c>
      <c r="C100" s="0" t="n">
        <v>0</v>
      </c>
    </row>
    <row r="101" customFormat="false" ht="15" hidden="false" customHeight="false" outlineLevel="0" collapsed="false">
      <c r="A101" s="37" t="n">
        <v>40907</v>
      </c>
      <c r="B101" s="38" t="n">
        <v>46042461.04</v>
      </c>
      <c r="C101" s="0" t="n">
        <v>1</v>
      </c>
    </row>
    <row r="102" customFormat="false" ht="15" hidden="false" customHeight="false" outlineLevel="0" collapsed="false">
      <c r="A102" s="37" t="n">
        <v>40914</v>
      </c>
      <c r="B102" s="38" t="n">
        <v>44955421.95</v>
      </c>
      <c r="C102" s="0" t="n">
        <v>0</v>
      </c>
    </row>
    <row r="103" customFormat="false" ht="15" hidden="false" customHeight="false" outlineLevel="0" collapsed="false">
      <c r="A103" s="37" t="n">
        <v>40921</v>
      </c>
      <c r="B103" s="38" t="n">
        <v>42023078.48</v>
      </c>
      <c r="C103" s="0" t="n">
        <v>0</v>
      </c>
    </row>
    <row r="104" customFormat="false" ht="15" hidden="false" customHeight="false" outlineLevel="0" collapsed="false">
      <c r="A104" s="37" t="n">
        <v>40928</v>
      </c>
      <c r="B104" s="38" t="n">
        <v>42080996.56</v>
      </c>
      <c r="C104" s="0" t="n">
        <v>0</v>
      </c>
    </row>
    <row r="105" customFormat="false" ht="15" hidden="false" customHeight="false" outlineLevel="0" collapsed="false">
      <c r="A105" s="37" t="n">
        <v>40935</v>
      </c>
      <c r="B105" s="38" t="n">
        <v>39834974.67</v>
      </c>
      <c r="C105" s="0" t="n">
        <v>0</v>
      </c>
    </row>
    <row r="106" customFormat="false" ht="15" hidden="false" customHeight="false" outlineLevel="0" collapsed="false">
      <c r="A106" s="37" t="n">
        <v>40942</v>
      </c>
      <c r="B106" s="38" t="n">
        <v>46085608.09</v>
      </c>
      <c r="C106" s="0" t="n">
        <v>0</v>
      </c>
    </row>
    <row r="107" customFormat="false" ht="15" hidden="false" customHeight="false" outlineLevel="0" collapsed="false">
      <c r="A107" s="37" t="n">
        <v>40949</v>
      </c>
      <c r="B107" s="38" t="n">
        <v>50009407.92</v>
      </c>
      <c r="C107" s="0" t="n">
        <v>1</v>
      </c>
    </row>
    <row r="108" customFormat="false" ht="15" hidden="false" customHeight="false" outlineLevel="0" collapsed="false">
      <c r="A108" s="37" t="n">
        <v>40956</v>
      </c>
      <c r="B108" s="38" t="n">
        <v>50197056.96</v>
      </c>
      <c r="C108" s="0" t="n">
        <v>0</v>
      </c>
    </row>
    <row r="109" customFormat="false" ht="15" hidden="false" customHeight="false" outlineLevel="0" collapsed="false">
      <c r="A109" s="37" t="n">
        <v>40963</v>
      </c>
      <c r="B109" s="38" t="n">
        <v>45771506.57</v>
      </c>
      <c r="C109" s="0" t="n">
        <v>0</v>
      </c>
    </row>
    <row r="110" customFormat="false" ht="15" hidden="false" customHeight="false" outlineLevel="0" collapsed="false">
      <c r="A110" s="37" t="n">
        <v>40970</v>
      </c>
      <c r="B110" s="38" t="n">
        <v>46861034.97</v>
      </c>
      <c r="C110" s="0" t="n">
        <v>0</v>
      </c>
    </row>
    <row r="111" customFormat="false" ht="15" hidden="false" customHeight="false" outlineLevel="0" collapsed="false">
      <c r="A111" s="37" t="n">
        <v>40977</v>
      </c>
      <c r="B111" s="38" t="n">
        <v>47480454.11</v>
      </c>
      <c r="C111" s="0" t="n">
        <v>0</v>
      </c>
    </row>
    <row r="112" customFormat="false" ht="15" hidden="false" customHeight="false" outlineLevel="0" collapsed="false">
      <c r="A112" s="37" t="n">
        <v>40984</v>
      </c>
      <c r="B112" s="38" t="n">
        <v>46901504.94</v>
      </c>
      <c r="C112" s="0" t="n">
        <v>0</v>
      </c>
    </row>
    <row r="113" customFormat="false" ht="15" hidden="false" customHeight="false" outlineLevel="0" collapsed="false">
      <c r="A113" s="37" t="n">
        <v>40991</v>
      </c>
      <c r="B113" s="38" t="n">
        <v>44993794.45</v>
      </c>
      <c r="C113" s="0" t="n">
        <v>0</v>
      </c>
    </row>
    <row r="114" customFormat="false" ht="15" hidden="false" customHeight="false" outlineLevel="0" collapsed="false">
      <c r="A114" s="37" t="n">
        <v>40998</v>
      </c>
      <c r="B114" s="38" t="n">
        <v>45272862.02</v>
      </c>
      <c r="C114" s="0" t="n">
        <v>0</v>
      </c>
    </row>
    <row r="115" customFormat="false" ht="15" hidden="false" customHeight="false" outlineLevel="0" collapsed="false">
      <c r="A115" s="37" t="n">
        <v>41005</v>
      </c>
      <c r="B115" s="38" t="n">
        <v>53502315.87</v>
      </c>
      <c r="C115" s="0" t="n">
        <v>0</v>
      </c>
    </row>
    <row r="116" customFormat="false" ht="15" hidden="false" customHeight="false" outlineLevel="0" collapsed="false">
      <c r="A116" s="37" t="n">
        <v>41012</v>
      </c>
      <c r="B116" s="38" t="n">
        <v>46629261.41</v>
      </c>
      <c r="C116" s="0" t="n">
        <v>0</v>
      </c>
    </row>
    <row r="117" customFormat="false" ht="15" hidden="false" customHeight="false" outlineLevel="0" collapsed="false">
      <c r="A117" s="37" t="n">
        <v>41019</v>
      </c>
      <c r="B117" s="38" t="n">
        <v>45072529.78</v>
      </c>
      <c r="C117" s="0" t="n">
        <v>0</v>
      </c>
    </row>
    <row r="118" customFormat="false" ht="15" hidden="false" customHeight="false" outlineLevel="0" collapsed="false">
      <c r="A118" s="37" t="n">
        <v>41026</v>
      </c>
      <c r="B118" s="38" t="n">
        <v>43716798.89</v>
      </c>
      <c r="C118" s="0" t="n">
        <v>0</v>
      </c>
    </row>
    <row r="119" customFormat="false" ht="15" hidden="false" customHeight="false" outlineLevel="0" collapsed="false">
      <c r="A119" s="37" t="n">
        <v>41033</v>
      </c>
      <c r="B119" s="38" t="n">
        <v>47124197.93</v>
      </c>
      <c r="C119" s="0" t="n">
        <v>0</v>
      </c>
    </row>
    <row r="120" customFormat="false" ht="15" hidden="false" customHeight="false" outlineLevel="0" collapsed="false">
      <c r="A120" s="37" t="n">
        <v>41040</v>
      </c>
      <c r="B120" s="38" t="n">
        <v>46925878.99</v>
      </c>
      <c r="C120" s="0" t="n">
        <v>0</v>
      </c>
    </row>
    <row r="121" customFormat="false" ht="15" hidden="false" customHeight="false" outlineLevel="0" collapsed="false">
      <c r="A121" s="37" t="n">
        <v>41047</v>
      </c>
      <c r="B121" s="38" t="n">
        <v>46823939.22</v>
      </c>
      <c r="C121" s="0" t="n">
        <v>0</v>
      </c>
    </row>
    <row r="122" customFormat="false" ht="15" hidden="false" customHeight="false" outlineLevel="0" collapsed="false">
      <c r="A122" s="37" t="n">
        <v>41054</v>
      </c>
      <c r="B122" s="38" t="n">
        <v>47892463.31</v>
      </c>
      <c r="C122" s="0" t="n">
        <v>0</v>
      </c>
    </row>
    <row r="123" customFormat="false" ht="15" hidden="false" customHeight="false" outlineLevel="0" collapsed="false">
      <c r="A123" s="37" t="n">
        <v>41061</v>
      </c>
      <c r="B123" s="38" t="n">
        <v>48281649.72</v>
      </c>
      <c r="C123" s="0" t="n">
        <v>0</v>
      </c>
    </row>
    <row r="124" customFormat="false" ht="15" hidden="false" customHeight="false" outlineLevel="0" collapsed="false">
      <c r="A124" s="37" t="n">
        <v>41068</v>
      </c>
      <c r="B124" s="38" t="n">
        <v>49651171.78</v>
      </c>
      <c r="C124" s="0" t="n">
        <v>0</v>
      </c>
    </row>
    <row r="125" customFormat="false" ht="15" hidden="false" customHeight="false" outlineLevel="0" collapsed="false">
      <c r="A125" s="37" t="n">
        <v>41075</v>
      </c>
      <c r="B125" s="38" t="n">
        <v>48412110.7</v>
      </c>
      <c r="C125" s="0" t="n">
        <v>0</v>
      </c>
    </row>
    <row r="126" customFormat="false" ht="15" hidden="false" customHeight="false" outlineLevel="0" collapsed="false">
      <c r="A126" s="37" t="n">
        <v>41082</v>
      </c>
      <c r="B126" s="38" t="n">
        <v>47668284.97</v>
      </c>
      <c r="C126" s="0" t="n">
        <v>0</v>
      </c>
    </row>
    <row r="127" customFormat="false" ht="15" hidden="false" customHeight="false" outlineLevel="0" collapsed="false">
      <c r="A127" s="37" t="n">
        <v>41089</v>
      </c>
      <c r="B127" s="38" t="n">
        <v>46597112.12</v>
      </c>
      <c r="C127" s="0" t="n">
        <v>0</v>
      </c>
    </row>
    <row r="128" customFormat="false" ht="15" hidden="false" customHeight="false" outlineLevel="0" collapsed="false">
      <c r="A128" s="37" t="n">
        <v>41096</v>
      </c>
      <c r="B128" s="38" t="n">
        <v>51253021.88</v>
      </c>
      <c r="C128" s="0" t="n">
        <v>0</v>
      </c>
    </row>
    <row r="129" customFormat="false" ht="15" hidden="false" customHeight="false" outlineLevel="0" collapsed="false">
      <c r="A129" s="37" t="n">
        <v>41103</v>
      </c>
      <c r="B129" s="38" t="n">
        <v>46099732.1</v>
      </c>
      <c r="C129" s="0" t="n">
        <v>0</v>
      </c>
    </row>
    <row r="130" customFormat="false" ht="15" hidden="false" customHeight="false" outlineLevel="0" collapsed="false">
      <c r="A130" s="37" t="n">
        <v>41110</v>
      </c>
      <c r="B130" s="38" t="n">
        <v>46059543.45</v>
      </c>
      <c r="C130" s="0" t="n">
        <v>0</v>
      </c>
    </row>
    <row r="131" customFormat="false" ht="15" hidden="false" customHeight="false" outlineLevel="0" collapsed="false">
      <c r="A131" s="37" t="n">
        <v>41117</v>
      </c>
      <c r="B131" s="38" t="n">
        <v>44097154.97</v>
      </c>
      <c r="C131" s="0" t="n">
        <v>0</v>
      </c>
    </row>
    <row r="132" customFormat="false" ht="15" hidden="false" customHeight="false" outlineLevel="0" collapsed="false">
      <c r="A132" s="37" t="n">
        <v>41124</v>
      </c>
      <c r="B132" s="38" t="n">
        <v>47485899.56</v>
      </c>
      <c r="C132" s="0" t="n">
        <v>0</v>
      </c>
    </row>
    <row r="133" customFormat="false" ht="15" hidden="false" customHeight="false" outlineLevel="0" collapsed="false">
      <c r="A133" s="37" t="n">
        <v>41131</v>
      </c>
      <c r="B133" s="38" t="n">
        <v>47403451.04</v>
      </c>
      <c r="C133" s="0" t="n">
        <v>0</v>
      </c>
    </row>
    <row r="134" customFormat="false" ht="15" hidden="false" customHeight="false" outlineLevel="0" collapsed="false">
      <c r="A134" s="37" t="n">
        <v>41138</v>
      </c>
      <c r="B134" s="38" t="n">
        <v>47354452.05</v>
      </c>
      <c r="C134" s="0" t="n">
        <v>0</v>
      </c>
    </row>
    <row r="135" customFormat="false" ht="15" hidden="false" customHeight="false" outlineLevel="0" collapsed="false">
      <c r="A135" s="37" t="n">
        <v>41145</v>
      </c>
      <c r="B135" s="38" t="n">
        <v>47447323.6</v>
      </c>
      <c r="C135" s="0" t="n">
        <v>0</v>
      </c>
    </row>
    <row r="136" customFormat="false" ht="15" hidden="false" customHeight="false" outlineLevel="0" collapsed="false">
      <c r="A136" s="37" t="n">
        <v>41152</v>
      </c>
      <c r="B136" s="38" t="n">
        <v>47159639.43</v>
      </c>
      <c r="C136" s="0" t="n">
        <v>0</v>
      </c>
    </row>
    <row r="137" customFormat="false" ht="15" hidden="false" customHeight="false" outlineLevel="0" collapsed="false">
      <c r="A137" s="37" t="n">
        <v>41159</v>
      </c>
      <c r="B137" s="38" t="n">
        <v>48330059.31</v>
      </c>
      <c r="C137" s="0" t="n">
        <v>1</v>
      </c>
    </row>
    <row r="138" customFormat="false" ht="15" hidden="false" customHeight="false" outlineLevel="0" collapsed="false">
      <c r="A138" s="37" t="n">
        <v>41166</v>
      </c>
      <c r="B138" s="38" t="n">
        <v>44226038.65</v>
      </c>
      <c r="C138" s="0" t="n">
        <v>0</v>
      </c>
    </row>
    <row r="139" customFormat="false" ht="15" hidden="false" customHeight="false" outlineLevel="0" collapsed="false">
      <c r="A139" s="37" t="n">
        <v>41173</v>
      </c>
      <c r="B139" s="38" t="n">
        <v>44354547.11</v>
      </c>
      <c r="C139" s="0" t="n">
        <v>0</v>
      </c>
    </row>
    <row r="140" customFormat="false" ht="15" hidden="false" customHeight="false" outlineLevel="0" collapsed="false">
      <c r="A140" s="37" t="n">
        <v>41180</v>
      </c>
      <c r="B140" s="38" t="n">
        <v>43734899.4</v>
      </c>
      <c r="C140" s="0" t="n">
        <v>0</v>
      </c>
    </row>
    <row r="141" customFormat="false" ht="15" hidden="false" customHeight="false" outlineLevel="0" collapsed="false">
      <c r="A141" s="37" t="n">
        <v>41187</v>
      </c>
      <c r="B141" s="38" t="n">
        <v>47566639.31</v>
      </c>
      <c r="C141" s="0" t="n">
        <v>0</v>
      </c>
    </row>
    <row r="142" customFormat="false" ht="15" hidden="false" customHeight="false" outlineLevel="0" collapsed="false">
      <c r="A142" s="37" t="n">
        <v>41194</v>
      </c>
      <c r="B142" s="38" t="n">
        <v>46128514.25</v>
      </c>
      <c r="C142" s="0" t="n">
        <v>0</v>
      </c>
    </row>
    <row r="143" customFormat="false" ht="15" hidden="false" customHeight="false" outlineLevel="0" collapsed="false">
      <c r="A143" s="37" t="n">
        <v>41201</v>
      </c>
      <c r="B143" s="38" t="n">
        <v>45122410.57</v>
      </c>
      <c r="C143" s="0" t="n">
        <v>0</v>
      </c>
    </row>
    <row r="144" customFormat="false" ht="15" hidden="false" customHeight="false" outlineLevel="0" collapsed="false">
      <c r="A144" s="37" t="n">
        <v>41208</v>
      </c>
      <c r="B144" s="38" t="n">
        <v>45544116.29</v>
      </c>
      <c r="C14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31.5" hidden="false" customHeight="true" outlineLevel="0" collapsed="false">
      <c r="A4" s="11" t="s">
        <v>197</v>
      </c>
      <c r="B4" s="11" t="s">
        <v>198</v>
      </c>
      <c r="C4" s="11" t="s">
        <v>199</v>
      </c>
      <c r="D4" s="11" t="s">
        <v>200</v>
      </c>
    </row>
    <row r="5" customFormat="false" ht="15" hidden="false" customHeight="false" outlineLevel="0" collapsed="false">
      <c r="A5" s="14" t="s">
        <v>201</v>
      </c>
      <c r="B5" s="14" t="s">
        <v>202</v>
      </c>
      <c r="C5" s="26" t="n">
        <v>1</v>
      </c>
      <c r="D5" s="14" t="s">
        <v>203</v>
      </c>
    </row>
    <row r="6" customFormat="false" ht="15" hidden="false" customHeight="false" outlineLevel="0" collapsed="false">
      <c r="A6" s="14" t="s">
        <v>201</v>
      </c>
      <c r="B6" s="14" t="s">
        <v>204</v>
      </c>
      <c r="C6" s="26" t="n">
        <v>45</v>
      </c>
      <c r="D6" s="14" t="s">
        <v>205</v>
      </c>
    </row>
    <row r="7" customFormat="false" ht="15" hidden="false" customHeight="false" outlineLevel="0" collapsed="false">
      <c r="A7" s="14" t="s">
        <v>206</v>
      </c>
      <c r="B7" s="14" t="s">
        <v>204</v>
      </c>
      <c r="C7" s="26" t="n">
        <v>421570</v>
      </c>
      <c r="D7" s="14" t="s">
        <v>207</v>
      </c>
    </row>
    <row r="8" customFormat="false" ht="15" hidden="false" customHeight="false" outlineLevel="0" collapsed="false">
      <c r="A8" s="14" t="s">
        <v>206</v>
      </c>
      <c r="B8" s="14" t="s">
        <v>208</v>
      </c>
      <c r="C8" s="26" t="n">
        <v>0</v>
      </c>
      <c r="D8" s="14" t="s">
        <v>209</v>
      </c>
    </row>
    <row r="9" customFormat="false" ht="15" hidden="false" customHeight="false" outlineLevel="0" collapsed="false">
      <c r="A9" s="14" t="s">
        <v>206</v>
      </c>
      <c r="B9" s="14" t="s">
        <v>210</v>
      </c>
      <c r="C9" s="26" t="n">
        <v>1285</v>
      </c>
      <c r="D9" s="14" t="s">
        <v>211</v>
      </c>
    </row>
    <row r="10" customFormat="false" ht="15" hidden="false" customHeight="false" outlineLevel="0" collapsed="false">
      <c r="A10" s="14" t="s">
        <v>206</v>
      </c>
      <c r="B10" s="14" t="s">
        <v>212</v>
      </c>
      <c r="C10" s="26" t="n">
        <v>421570</v>
      </c>
      <c r="D10" s="14" t="s">
        <v>213</v>
      </c>
    </row>
    <row r="11" customFormat="false" ht="15" hidden="false" customHeight="false" outlineLevel="0" collapsed="false">
      <c r="A11" s="14" t="s">
        <v>206</v>
      </c>
      <c r="B11" s="14" t="s">
        <v>214</v>
      </c>
      <c r="C11" s="26" t="n">
        <v>99665</v>
      </c>
      <c r="D11" s="14" t="s">
        <v>215</v>
      </c>
    </row>
    <row r="12" customFormat="false" ht="15" hidden="false" customHeight="false" outlineLevel="0" collapsed="false">
      <c r="A12" s="14" t="s">
        <v>216</v>
      </c>
      <c r="B12" s="14" t="s">
        <v>217</v>
      </c>
      <c r="C12" s="26" t="n">
        <v>1755</v>
      </c>
      <c r="D12" s="14" t="s">
        <v>218</v>
      </c>
    </row>
    <row r="13" customFormat="false" ht="15" hidden="false" customHeight="false" outlineLevel="0" collapsed="false">
      <c r="A13" s="14" t="s">
        <v>216</v>
      </c>
      <c r="B13" s="14" t="s">
        <v>219</v>
      </c>
      <c r="C13" s="26" t="n">
        <v>4140</v>
      </c>
      <c r="D13" s="14" t="s">
        <v>220</v>
      </c>
    </row>
    <row r="14" customFormat="false" ht="15" hidden="false" customHeight="false" outlineLevel="0" collapsed="false">
      <c r="A14" s="14" t="s">
        <v>216</v>
      </c>
      <c r="B14" s="14" t="s">
        <v>221</v>
      </c>
      <c r="C14" s="26" t="n">
        <v>23</v>
      </c>
      <c r="D14" s="14" t="s">
        <v>222</v>
      </c>
    </row>
    <row r="15" customFormat="false" ht="15" hidden="false" customHeight="false" outlineLevel="0" collapsed="false">
      <c r="A15" s="14" t="s">
        <v>216</v>
      </c>
      <c r="B15" s="14" t="s">
        <v>223</v>
      </c>
      <c r="C15" s="26" t="n">
        <v>0</v>
      </c>
      <c r="D15" s="14" t="s">
        <v>224</v>
      </c>
    </row>
    <row r="16" customFormat="false" ht="15" hidden="false" customHeight="false" outlineLevel="0" collapsed="false">
      <c r="A16" s="14" t="s">
        <v>225</v>
      </c>
      <c r="B16" s="14" t="s">
        <v>226</v>
      </c>
      <c r="C16" s="26" t="n">
        <v>81</v>
      </c>
      <c r="D16" s="14" t="s">
        <v>227</v>
      </c>
    </row>
    <row r="17" customFormat="false" ht="15" hidden="false" customHeight="false" outlineLevel="0" collapsed="false">
      <c r="A17" s="14" t="s">
        <v>228</v>
      </c>
      <c r="B17" s="14" t="s">
        <v>229</v>
      </c>
      <c r="C17" s="26" t="n">
        <v>1098</v>
      </c>
      <c r="D17" s="14" t="s">
        <v>230</v>
      </c>
    </row>
    <row r="18" customFormat="false" ht="15" hidden="false" customHeight="false" outlineLevel="0" collapsed="false">
      <c r="A18" s="14" t="s">
        <v>231</v>
      </c>
      <c r="B18" s="14" t="s">
        <v>232</v>
      </c>
      <c r="C18" s="26" t="n">
        <v>3</v>
      </c>
      <c r="D18" s="14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2026-10-05T22:38:55Z</dcterms:created>
  <dc:creator>openpyxl</dc:creator>
  <dc:description/>
  <dc:language>en-US</dc:language>
  <cp:lastModifiedBy/>
  <dcterms:modified xsi:type="dcterms:W3CDTF">2026-10-05T18:38:59Z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